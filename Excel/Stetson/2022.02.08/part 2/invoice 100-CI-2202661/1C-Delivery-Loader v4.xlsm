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part 2\invoice 100-CI-2202661\"/>
    </mc:Choice>
  </mc:AlternateContent>
  <xr:revisionPtr revIDLastSave="0" documentId="13_ncr:1_{3A10743E-4751-4175-BEB4-74D29D2DAF8D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Форма!$G$1:$AV$73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3" i="42" l="1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51" i="42"/>
  <c r="R50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9" i="42"/>
  <c r="R8" i="42"/>
  <c r="R7" i="42"/>
  <c r="R6" i="42"/>
  <c r="R5" i="42"/>
  <c r="R4" i="42"/>
  <c r="R3" i="42"/>
  <c r="R2" i="42"/>
  <c r="R3" i="9" l="1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" i="39" a="1"/>
  <c r="R3" i="39" l="1"/>
  <c r="S3" i="39"/>
  <c r="S5" i="39"/>
  <c r="S7" i="39"/>
  <c r="S9" i="39"/>
  <c r="S11" i="39"/>
  <c r="S13" i="39"/>
  <c r="R4" i="39"/>
  <c r="AD4" i="39" s="1"/>
  <c r="R6" i="39"/>
  <c r="R8" i="39"/>
  <c r="AD8" i="39" s="1"/>
  <c r="R10" i="39"/>
  <c r="R12" i="39"/>
  <c r="R14" i="39"/>
  <c r="R16" i="39"/>
  <c r="R18" i="39"/>
  <c r="R20" i="39"/>
  <c r="R22" i="39"/>
  <c r="R24" i="39"/>
  <c r="S4" i="39"/>
  <c r="S6" i="39"/>
  <c r="S8" i="39"/>
  <c r="S10" i="39"/>
  <c r="S12" i="39"/>
  <c r="S14" i="39"/>
  <c r="S16" i="39"/>
  <c r="S18" i="39"/>
  <c r="S20" i="39"/>
  <c r="S22" i="39"/>
  <c r="S24" i="39"/>
  <c r="S26" i="39"/>
  <c r="S28" i="39"/>
  <c r="S30" i="39"/>
  <c r="S23" i="39"/>
  <c r="R26" i="39"/>
  <c r="R5" i="39"/>
  <c r="AD5" i="39" s="1"/>
  <c r="R13" i="39"/>
  <c r="S34" i="39"/>
  <c r="R35" i="39"/>
  <c r="R19" i="39"/>
  <c r="S35" i="39"/>
  <c r="R38" i="39"/>
  <c r="R40" i="39"/>
  <c r="R42" i="39"/>
  <c r="R44" i="39"/>
  <c r="R46" i="39"/>
  <c r="R48" i="39"/>
  <c r="R50" i="39"/>
  <c r="R52" i="39"/>
  <c r="R7" i="39"/>
  <c r="R17" i="39"/>
  <c r="S19" i="39"/>
  <c r="R21" i="39"/>
  <c r="R25" i="39"/>
  <c r="R31" i="39"/>
  <c r="R36" i="39"/>
  <c r="S38" i="39"/>
  <c r="S40" i="39"/>
  <c r="S42" i="39"/>
  <c r="S44" i="39"/>
  <c r="S46" i="39"/>
  <c r="S48" i="39"/>
  <c r="R15" i="39"/>
  <c r="S17" i="39"/>
  <c r="S21" i="39"/>
  <c r="S25" i="39"/>
  <c r="R29" i="39"/>
  <c r="R30" i="39"/>
  <c r="S31" i="39"/>
  <c r="S36" i="39"/>
  <c r="R9" i="39"/>
  <c r="AD9" i="39" s="1"/>
  <c r="S15" i="39"/>
  <c r="R27" i="39"/>
  <c r="R28" i="39"/>
  <c r="S32" i="39"/>
  <c r="R33" i="39"/>
  <c r="R37" i="39"/>
  <c r="R39" i="39"/>
  <c r="R41" i="39"/>
  <c r="R43" i="39"/>
  <c r="R45" i="39"/>
  <c r="R47" i="39"/>
  <c r="R49" i="39"/>
  <c r="S33" i="39"/>
  <c r="S43" i="39"/>
  <c r="S55" i="39"/>
  <c r="S57" i="39"/>
  <c r="S59" i="39"/>
  <c r="S61" i="39"/>
  <c r="S63" i="39"/>
  <c r="S65" i="39"/>
  <c r="S67" i="39"/>
  <c r="S69" i="39"/>
  <c r="S71" i="39"/>
  <c r="S73" i="39"/>
  <c r="S27" i="39"/>
  <c r="S52" i="39"/>
  <c r="S53" i="39"/>
  <c r="S54" i="39"/>
  <c r="S56" i="39"/>
  <c r="S58" i="39"/>
  <c r="S60" i="39"/>
  <c r="S62" i="39"/>
  <c r="S64" i="39"/>
  <c r="S66" i="39"/>
  <c r="S68" i="39"/>
  <c r="S70" i="39"/>
  <c r="R23" i="39"/>
  <c r="S49" i="39"/>
  <c r="R51" i="39"/>
  <c r="R32" i="39"/>
  <c r="S41" i="39"/>
  <c r="R53" i="39"/>
  <c r="R59" i="39"/>
  <c r="R66" i="39"/>
  <c r="R11" i="39"/>
  <c r="AD11" i="39" s="1"/>
  <c r="S45" i="39"/>
  <c r="S50" i="39"/>
  <c r="R56" i="39"/>
  <c r="R65" i="39"/>
  <c r="S47" i="39"/>
  <c r="R58" i="39"/>
  <c r="R67" i="39"/>
  <c r="S29" i="39"/>
  <c r="S51" i="39"/>
  <c r="R60" i="39"/>
  <c r="R69" i="39"/>
  <c r="R73" i="39"/>
  <c r="S37" i="39"/>
  <c r="R55" i="39"/>
  <c r="R62" i="39"/>
  <c r="R72" i="39"/>
  <c r="R34" i="39"/>
  <c r="S39" i="39"/>
  <c r="R57" i="39"/>
  <c r="S72" i="39"/>
  <c r="R71" i="39"/>
  <c r="R54" i="39"/>
  <c r="R61" i="39"/>
  <c r="R70" i="39"/>
  <c r="R68" i="39"/>
  <c r="R63" i="39"/>
  <c r="R64" i="39"/>
  <c r="R2" i="39"/>
  <c r="AD6" i="39"/>
  <c r="AD10" i="39"/>
  <c r="AD7" i="39"/>
  <c r="AD3" i="39"/>
  <c r="Z1" i="39"/>
  <c r="A25" i="43" s="1"/>
  <c r="A10" i="39"/>
  <c r="B10" i="39" s="1"/>
  <c r="A18" i="39"/>
  <c r="B18" i="39" s="1"/>
  <c r="A26" i="39"/>
  <c r="B26" i="39" s="1"/>
  <c r="A34" i="39"/>
  <c r="B34" i="39" s="1"/>
  <c r="A42" i="39"/>
  <c r="B42" i="39" s="1"/>
  <c r="A50" i="39"/>
  <c r="B50" i="39" s="1"/>
  <c r="A58" i="39"/>
  <c r="B58" i="39" s="1"/>
  <c r="A66" i="39"/>
  <c r="B66" i="39" s="1"/>
  <c r="A2" i="39"/>
  <c r="B2" i="39" s="1"/>
  <c r="A31" i="39"/>
  <c r="B31" i="39" s="1"/>
  <c r="A8" i="39"/>
  <c r="B8" i="39" s="1"/>
  <c r="A72" i="39"/>
  <c r="A9" i="39"/>
  <c r="B9" i="39" s="1"/>
  <c r="A3" i="39"/>
  <c r="B3" i="39" s="1"/>
  <c r="A11" i="39"/>
  <c r="B11" i="39" s="1"/>
  <c r="A19" i="39"/>
  <c r="B19" i="39" s="1"/>
  <c r="A27" i="39"/>
  <c r="B27" i="39" s="1"/>
  <c r="A35" i="39"/>
  <c r="B35" i="39" s="1"/>
  <c r="A43" i="39"/>
  <c r="B43" i="39" s="1"/>
  <c r="A51" i="39"/>
  <c r="B51" i="39" s="1"/>
  <c r="A59" i="39"/>
  <c r="A67" i="39"/>
  <c r="A39" i="39"/>
  <c r="B39" i="39" s="1"/>
  <c r="A32" i="39"/>
  <c r="B32" i="39" s="1"/>
  <c r="A41" i="39"/>
  <c r="B41" i="39" s="1"/>
  <c r="A4" i="39"/>
  <c r="B4" i="39" s="1"/>
  <c r="A12" i="39"/>
  <c r="B12" i="39" s="1"/>
  <c r="A20" i="39"/>
  <c r="B20" i="39" s="1"/>
  <c r="A28" i="39"/>
  <c r="B28" i="39" s="1"/>
  <c r="A36" i="39"/>
  <c r="B36" i="39" s="1"/>
  <c r="A44" i="39"/>
  <c r="B44" i="39" s="1"/>
  <c r="A52" i="39"/>
  <c r="B52" i="39" s="1"/>
  <c r="A60" i="39"/>
  <c r="B60" i="39" s="1"/>
  <c r="A68" i="39"/>
  <c r="A47" i="39"/>
  <c r="B47" i="39" s="1"/>
  <c r="A24" i="39"/>
  <c r="B24" i="39" s="1"/>
  <c r="A64" i="39"/>
  <c r="A33" i="39"/>
  <c r="B33" i="39" s="1"/>
  <c r="A65" i="39"/>
  <c r="A5" i="39"/>
  <c r="B5" i="39" s="1"/>
  <c r="A13" i="39"/>
  <c r="B13" i="39" s="1"/>
  <c r="A21" i="39"/>
  <c r="B21" i="39" s="1"/>
  <c r="A29" i="39"/>
  <c r="B29" i="39" s="1"/>
  <c r="A37" i="39"/>
  <c r="B37" i="39" s="1"/>
  <c r="A45" i="39"/>
  <c r="B45" i="39" s="1"/>
  <c r="A53" i="39"/>
  <c r="A61" i="39"/>
  <c r="A69" i="39"/>
  <c r="A15" i="39"/>
  <c r="B15" i="39" s="1"/>
  <c r="A16" i="39"/>
  <c r="B16" i="39" s="1"/>
  <c r="A56" i="39"/>
  <c r="A17" i="39"/>
  <c r="B17" i="39" s="1"/>
  <c r="A73" i="39"/>
  <c r="A6" i="39"/>
  <c r="B6" i="39" s="1"/>
  <c r="A14" i="39"/>
  <c r="B14" i="39" s="1"/>
  <c r="A22" i="39"/>
  <c r="B22" i="39" s="1"/>
  <c r="A30" i="39"/>
  <c r="B30" i="39" s="1"/>
  <c r="A38" i="39"/>
  <c r="B38" i="39" s="1"/>
  <c r="A46" i="39"/>
  <c r="B46" i="39" s="1"/>
  <c r="A54" i="39"/>
  <c r="A62" i="39"/>
  <c r="B62" i="39" s="1"/>
  <c r="A70" i="39"/>
  <c r="A7" i="39"/>
  <c r="B7" i="39" s="1"/>
  <c r="A55" i="39"/>
  <c r="B55" i="39" s="1"/>
  <c r="A63" i="39"/>
  <c r="A71" i="39"/>
  <c r="B71" i="39" s="1"/>
  <c r="A40" i="39"/>
  <c r="B40" i="39" s="1"/>
  <c r="A49" i="39"/>
  <c r="B49" i="39" s="1"/>
  <c r="A23" i="39"/>
  <c r="B23" i="39" s="1"/>
  <c r="A48" i="39"/>
  <c r="B48" i="39" s="1"/>
  <c r="A25" i="39"/>
  <c r="B25" i="39" s="1"/>
  <c r="A57" i="39"/>
  <c r="S2" i="39"/>
  <c r="AB3" i="39"/>
  <c r="A17" i="43"/>
  <c r="P2" i="39" l="1"/>
  <c r="AT60" i="39"/>
  <c r="AT52" i="39"/>
  <c r="AT66" i="39"/>
  <c r="AT63" i="39"/>
  <c r="B63" i="39"/>
  <c r="AT68" i="39"/>
  <c r="B68" i="39"/>
  <c r="AT69" i="39"/>
  <c r="B69" i="39"/>
  <c r="AT61" i="39"/>
  <c r="B61" i="39"/>
  <c r="AT65" i="39"/>
  <c r="B65" i="39"/>
  <c r="AT53" i="39"/>
  <c r="B53" i="39"/>
  <c r="AT67" i="39"/>
  <c r="B67" i="39"/>
  <c r="AT57" i="39"/>
  <c r="B57" i="39"/>
  <c r="AT70" i="39"/>
  <c r="B70" i="39"/>
  <c r="AT71" i="39"/>
  <c r="AT73" i="39"/>
  <c r="B73" i="39"/>
  <c r="AT64" i="39"/>
  <c r="B64" i="39"/>
  <c r="AT59" i="39"/>
  <c r="B59" i="39"/>
  <c r="AT54" i="39"/>
  <c r="B54" i="39"/>
  <c r="AT72" i="39"/>
  <c r="B72" i="39"/>
  <c r="AT56" i="39"/>
  <c r="B56" i="39"/>
  <c r="AD2" i="39"/>
  <c r="AB2" i="39"/>
  <c r="I40" i="39"/>
  <c r="Y40" i="39" s="1"/>
  <c r="J40" i="39"/>
  <c r="C40" i="39"/>
  <c r="AA40" i="39" s="1"/>
  <c r="K40" i="39"/>
  <c r="D40" i="39"/>
  <c r="L40" i="39"/>
  <c r="AP40" i="39" s="1"/>
  <c r="F40" i="39"/>
  <c r="N40" i="39"/>
  <c r="O40" i="39"/>
  <c r="E40" i="39"/>
  <c r="G40" i="39"/>
  <c r="Q40" i="39" s="1"/>
  <c r="P40" i="39"/>
  <c r="M40" i="39"/>
  <c r="H40" i="39"/>
  <c r="G62" i="39"/>
  <c r="Q62" i="39" s="1"/>
  <c r="O62" i="39"/>
  <c r="C62" i="39"/>
  <c r="K62" i="39"/>
  <c r="AJ62" i="39" s="1"/>
  <c r="D62" i="39"/>
  <c r="AI62" i="39" s="1"/>
  <c r="L62" i="39"/>
  <c r="AP62" i="39" s="1"/>
  <c r="I62" i="39"/>
  <c r="AN62" i="39" s="1"/>
  <c r="N62" i="39"/>
  <c r="P62" i="39"/>
  <c r="E62" i="39"/>
  <c r="F62" i="39"/>
  <c r="AL62" i="39" s="1"/>
  <c r="J62" i="39"/>
  <c r="AM62" i="39" s="1"/>
  <c r="M62" i="39"/>
  <c r="AR62" i="39" s="1"/>
  <c r="H62" i="39"/>
  <c r="D17" i="39"/>
  <c r="L17" i="39"/>
  <c r="AP17" i="39" s="1"/>
  <c r="E17" i="39"/>
  <c r="M17" i="39"/>
  <c r="F17" i="39"/>
  <c r="N17" i="39"/>
  <c r="G17" i="39"/>
  <c r="Q17" i="39" s="1"/>
  <c r="O17" i="39"/>
  <c r="H17" i="39"/>
  <c r="P17" i="39"/>
  <c r="J17" i="39"/>
  <c r="K17" i="39"/>
  <c r="C17" i="39"/>
  <c r="AA17" i="39" s="1"/>
  <c r="I17" i="39"/>
  <c r="Y17" i="39" s="1"/>
  <c r="E53" i="39"/>
  <c r="M53" i="39"/>
  <c r="AR53" i="39" s="1"/>
  <c r="F53" i="39"/>
  <c r="AL53" i="39" s="1"/>
  <c r="N53" i="39"/>
  <c r="C53" i="39"/>
  <c r="O53" i="39"/>
  <c r="I53" i="39"/>
  <c r="Y53" i="39" s="1"/>
  <c r="J53" i="39"/>
  <c r="AM53" i="39" s="1"/>
  <c r="H53" i="39"/>
  <c r="K53" i="39"/>
  <c r="AJ53" i="39" s="1"/>
  <c r="L53" i="39"/>
  <c r="AP53" i="39" s="1"/>
  <c r="P53" i="39"/>
  <c r="D53" i="39"/>
  <c r="AI53" i="39" s="1"/>
  <c r="G53" i="39"/>
  <c r="Q53" i="39" s="1"/>
  <c r="C65" i="39"/>
  <c r="K65" i="39"/>
  <c r="AJ65" i="39" s="1"/>
  <c r="G65" i="39"/>
  <c r="Q65" i="39" s="1"/>
  <c r="O65" i="39"/>
  <c r="H65" i="39"/>
  <c r="P65" i="39"/>
  <c r="M65" i="39"/>
  <c r="AR65" i="39" s="1"/>
  <c r="E65" i="39"/>
  <c r="F65" i="39"/>
  <c r="AL65" i="39" s="1"/>
  <c r="I65" i="39"/>
  <c r="AN65" i="39" s="1"/>
  <c r="J65" i="39"/>
  <c r="AM65" i="39" s="1"/>
  <c r="D65" i="39"/>
  <c r="AI65" i="39" s="1"/>
  <c r="L65" i="39"/>
  <c r="AP65" i="39" s="1"/>
  <c r="N65" i="39"/>
  <c r="G12" i="39"/>
  <c r="Q12" i="39" s="1"/>
  <c r="O12" i="39"/>
  <c r="H12" i="39"/>
  <c r="P12" i="39"/>
  <c r="I12" i="39"/>
  <c r="Y12" i="39" s="1"/>
  <c r="J12" i="39"/>
  <c r="C12" i="39"/>
  <c r="AA12" i="39" s="1"/>
  <c r="K12" i="39"/>
  <c r="D12" i="39"/>
  <c r="L12" i="39"/>
  <c r="AP12" i="39" s="1"/>
  <c r="E12" i="39"/>
  <c r="F12" i="39"/>
  <c r="M12" i="39"/>
  <c r="N12" i="39"/>
  <c r="E51" i="39"/>
  <c r="M51" i="39"/>
  <c r="F51" i="39"/>
  <c r="N51" i="39"/>
  <c r="K51" i="39"/>
  <c r="G51" i="39"/>
  <c r="Q51" i="39" s="1"/>
  <c r="H51" i="39"/>
  <c r="I51" i="39"/>
  <c r="Y51" i="39" s="1"/>
  <c r="O51" i="39"/>
  <c r="P51" i="39"/>
  <c r="C51" i="39"/>
  <c r="AA51" i="39" s="1"/>
  <c r="D51" i="39"/>
  <c r="J51" i="39"/>
  <c r="L51" i="39"/>
  <c r="AP51" i="39" s="1"/>
  <c r="G31" i="39"/>
  <c r="Q31" i="39" s="1"/>
  <c r="H31" i="39"/>
  <c r="P31" i="39"/>
  <c r="E31" i="39"/>
  <c r="O31" i="39"/>
  <c r="F31" i="39"/>
  <c r="I31" i="39"/>
  <c r="J31" i="39"/>
  <c r="L31" i="39"/>
  <c r="AP31" i="39" s="1"/>
  <c r="K31" i="39"/>
  <c r="M31" i="39"/>
  <c r="N31" i="39"/>
  <c r="C31" i="39"/>
  <c r="AA31" i="39" s="1"/>
  <c r="D31" i="39"/>
  <c r="I26" i="39"/>
  <c r="Y26" i="39" s="1"/>
  <c r="C26" i="39"/>
  <c r="AA26" i="39" s="1"/>
  <c r="K26" i="39"/>
  <c r="D26" i="39"/>
  <c r="L26" i="39"/>
  <c r="AP26" i="39" s="1"/>
  <c r="G26" i="39"/>
  <c r="Q26" i="39" s="1"/>
  <c r="H26" i="39"/>
  <c r="J26" i="39"/>
  <c r="M26" i="39"/>
  <c r="N26" i="39"/>
  <c r="O26" i="39"/>
  <c r="E26" i="39"/>
  <c r="P26" i="39"/>
  <c r="F26" i="39"/>
  <c r="E49" i="39"/>
  <c r="M49" i="39"/>
  <c r="F49" i="39"/>
  <c r="N49" i="39"/>
  <c r="G49" i="39"/>
  <c r="Q49" i="39" s="1"/>
  <c r="O49" i="39"/>
  <c r="H49" i="39"/>
  <c r="P49" i="39"/>
  <c r="J49" i="39"/>
  <c r="D49" i="39"/>
  <c r="I49" i="39"/>
  <c r="AN49" i="39" s="1"/>
  <c r="K49" i="39"/>
  <c r="L49" i="39"/>
  <c r="AP49" i="39" s="1"/>
  <c r="C49" i="39"/>
  <c r="AA49" i="39" s="1"/>
  <c r="I54" i="39"/>
  <c r="AN54" i="39" s="1"/>
  <c r="J54" i="39"/>
  <c r="AM54" i="39" s="1"/>
  <c r="E54" i="39"/>
  <c r="O54" i="39"/>
  <c r="K54" i="39"/>
  <c r="AJ54" i="39" s="1"/>
  <c r="L54" i="39"/>
  <c r="AP54" i="39" s="1"/>
  <c r="P54" i="39"/>
  <c r="F54" i="39"/>
  <c r="AL54" i="39" s="1"/>
  <c r="G54" i="39"/>
  <c r="Q54" i="39" s="1"/>
  <c r="H54" i="39"/>
  <c r="M54" i="39"/>
  <c r="AR54" i="39" s="1"/>
  <c r="D54" i="39"/>
  <c r="AI54" i="39" s="1"/>
  <c r="C54" i="39"/>
  <c r="N54" i="39"/>
  <c r="E45" i="39"/>
  <c r="M45" i="39"/>
  <c r="F45" i="39"/>
  <c r="N45" i="39"/>
  <c r="G45" i="39"/>
  <c r="Q45" i="39" s="1"/>
  <c r="O45" i="39"/>
  <c r="H45" i="39"/>
  <c r="P45" i="39"/>
  <c r="J45" i="39"/>
  <c r="K45" i="39"/>
  <c r="L45" i="39"/>
  <c r="AP45" i="39" s="1"/>
  <c r="D45" i="39"/>
  <c r="I45" i="39"/>
  <c r="Y45" i="39" s="1"/>
  <c r="C45" i="39"/>
  <c r="AA45" i="39" s="1"/>
  <c r="H33" i="39"/>
  <c r="P33" i="39"/>
  <c r="C33" i="39"/>
  <c r="AA33" i="39" s="1"/>
  <c r="L33" i="39"/>
  <c r="AP33" i="39" s="1"/>
  <c r="D33" i="39"/>
  <c r="M33" i="39"/>
  <c r="E33" i="39"/>
  <c r="N33" i="39"/>
  <c r="F33" i="39"/>
  <c r="O33" i="39"/>
  <c r="I33" i="39"/>
  <c r="Y33" i="39" s="1"/>
  <c r="G33" i="39"/>
  <c r="Q33" i="39" s="1"/>
  <c r="J33" i="39"/>
  <c r="K33" i="39"/>
  <c r="G68" i="39"/>
  <c r="Q68" i="39" s="1"/>
  <c r="O68" i="39"/>
  <c r="C68" i="39"/>
  <c r="K68" i="39"/>
  <c r="AJ68" i="39" s="1"/>
  <c r="D68" i="39"/>
  <c r="AI68" i="39" s="1"/>
  <c r="L68" i="39"/>
  <c r="AP68" i="39" s="1"/>
  <c r="E68" i="39"/>
  <c r="I68" i="39"/>
  <c r="Y68" i="39" s="1"/>
  <c r="AO68" i="39" s="1"/>
  <c r="J68" i="39"/>
  <c r="AM68" i="39" s="1"/>
  <c r="M68" i="39"/>
  <c r="AR68" i="39" s="1"/>
  <c r="N68" i="39"/>
  <c r="H68" i="39"/>
  <c r="P68" i="39"/>
  <c r="F68" i="39"/>
  <c r="AL68" i="39" s="1"/>
  <c r="F4" i="39"/>
  <c r="N4" i="39"/>
  <c r="G4" i="39"/>
  <c r="Q4" i="39" s="1"/>
  <c r="O4" i="39"/>
  <c r="H4" i="39"/>
  <c r="P4" i="39"/>
  <c r="I4" i="39"/>
  <c r="Y4" i="39" s="1"/>
  <c r="J4" i="39"/>
  <c r="C4" i="39"/>
  <c r="AA4" i="39" s="1"/>
  <c r="K4" i="39"/>
  <c r="D4" i="39"/>
  <c r="L4" i="39"/>
  <c r="AP4" i="39" s="1"/>
  <c r="E4" i="39"/>
  <c r="M4" i="39"/>
  <c r="E43" i="39"/>
  <c r="M43" i="39"/>
  <c r="F43" i="39"/>
  <c r="N43" i="39"/>
  <c r="G43" i="39"/>
  <c r="Q43" i="39" s="1"/>
  <c r="O43" i="39"/>
  <c r="H43" i="39"/>
  <c r="P43" i="39"/>
  <c r="J43" i="39"/>
  <c r="I43" i="39"/>
  <c r="Y43" i="39" s="1"/>
  <c r="K43" i="39"/>
  <c r="L43" i="39"/>
  <c r="AP43" i="39" s="1"/>
  <c r="C43" i="39"/>
  <c r="AA43" i="39" s="1"/>
  <c r="D43" i="39"/>
  <c r="J2" i="39"/>
  <c r="N2" i="39"/>
  <c r="K2" i="39"/>
  <c r="I2" i="39"/>
  <c r="Y2" i="39" s="1"/>
  <c r="H2" i="39"/>
  <c r="G2" i="39"/>
  <c r="F2" i="39"/>
  <c r="E2" i="39"/>
  <c r="O2" i="39"/>
  <c r="M2" i="39"/>
  <c r="D2" i="39"/>
  <c r="L2" i="39"/>
  <c r="AP2" i="39" s="1"/>
  <c r="C2" i="39"/>
  <c r="AA2" i="39" s="1"/>
  <c r="H18" i="39"/>
  <c r="P18" i="39"/>
  <c r="I18" i="39"/>
  <c r="Y18" i="39" s="1"/>
  <c r="J18" i="39"/>
  <c r="C18" i="39"/>
  <c r="AA18" i="39" s="1"/>
  <c r="K18" i="39"/>
  <c r="D18" i="39"/>
  <c r="L18" i="39"/>
  <c r="AP18" i="39" s="1"/>
  <c r="M18" i="39"/>
  <c r="N18" i="39"/>
  <c r="O18" i="39"/>
  <c r="E18" i="39"/>
  <c r="F18" i="39"/>
  <c r="G18" i="39"/>
  <c r="Q18" i="39" s="1"/>
  <c r="AT62" i="39"/>
  <c r="I48" i="39"/>
  <c r="Y48" i="39" s="1"/>
  <c r="J48" i="39"/>
  <c r="C48" i="39"/>
  <c r="AA48" i="39" s="1"/>
  <c r="K48" i="39"/>
  <c r="D48" i="39"/>
  <c r="L48" i="39"/>
  <c r="AP48" i="39" s="1"/>
  <c r="F48" i="39"/>
  <c r="N48" i="39"/>
  <c r="E48" i="39"/>
  <c r="O48" i="39"/>
  <c r="P48" i="39"/>
  <c r="M48" i="39"/>
  <c r="G48" i="39"/>
  <c r="Q48" i="39" s="1"/>
  <c r="H48" i="39"/>
  <c r="C71" i="39"/>
  <c r="K71" i="39"/>
  <c r="AJ71" i="39" s="1"/>
  <c r="G71" i="39"/>
  <c r="Q71" i="39" s="1"/>
  <c r="H71" i="39"/>
  <c r="P71" i="39"/>
  <c r="I71" i="39"/>
  <c r="Y71" i="39" s="1"/>
  <c r="AO71" i="39" s="1"/>
  <c r="M71" i="39"/>
  <c r="AR71" i="39" s="1"/>
  <c r="N71" i="39"/>
  <c r="D71" i="39"/>
  <c r="AI71" i="39" s="1"/>
  <c r="O71" i="39"/>
  <c r="E71" i="39"/>
  <c r="J71" i="39"/>
  <c r="AM71" i="39" s="1"/>
  <c r="F71" i="39"/>
  <c r="AL71" i="39" s="1"/>
  <c r="L71" i="39"/>
  <c r="AP71" i="39" s="1"/>
  <c r="I46" i="39"/>
  <c r="Y46" i="39" s="1"/>
  <c r="J46" i="39"/>
  <c r="C46" i="39"/>
  <c r="AA46" i="39" s="1"/>
  <c r="K46" i="39"/>
  <c r="D46" i="39"/>
  <c r="L46" i="39"/>
  <c r="AP46" i="39" s="1"/>
  <c r="F46" i="39"/>
  <c r="N46" i="39"/>
  <c r="M46" i="39"/>
  <c r="O46" i="39"/>
  <c r="E46" i="39"/>
  <c r="G46" i="39"/>
  <c r="Q46" i="39" s="1"/>
  <c r="H46" i="39"/>
  <c r="P46" i="39"/>
  <c r="G56" i="39"/>
  <c r="Q56" i="39" s="1"/>
  <c r="O56" i="39"/>
  <c r="C56" i="39"/>
  <c r="K56" i="39"/>
  <c r="AJ56" i="39" s="1"/>
  <c r="D56" i="39"/>
  <c r="AI56" i="39" s="1"/>
  <c r="L56" i="39"/>
  <c r="AP56" i="39" s="1"/>
  <c r="N56" i="39"/>
  <c r="F56" i="39"/>
  <c r="AL56" i="39" s="1"/>
  <c r="H56" i="39"/>
  <c r="I56" i="39"/>
  <c r="AN56" i="39" s="1"/>
  <c r="J56" i="39"/>
  <c r="AM56" i="39" s="1"/>
  <c r="M56" i="39"/>
  <c r="AR56" i="39" s="1"/>
  <c r="P56" i="39"/>
  <c r="E56" i="39"/>
  <c r="E37" i="39"/>
  <c r="M37" i="39"/>
  <c r="F37" i="39"/>
  <c r="N37" i="39"/>
  <c r="G37" i="39"/>
  <c r="Q37" i="39" s="1"/>
  <c r="O37" i="39"/>
  <c r="H37" i="39"/>
  <c r="P37" i="39"/>
  <c r="J37" i="39"/>
  <c r="K37" i="39"/>
  <c r="C37" i="39"/>
  <c r="AA37" i="39" s="1"/>
  <c r="I37" i="39"/>
  <c r="Y37" i="39" s="1"/>
  <c r="L37" i="39"/>
  <c r="AP37" i="39" s="1"/>
  <c r="D37" i="39"/>
  <c r="G64" i="39"/>
  <c r="Q64" i="39" s="1"/>
  <c r="O64" i="39"/>
  <c r="C64" i="39"/>
  <c r="K64" i="39"/>
  <c r="AJ64" i="39" s="1"/>
  <c r="D64" i="39"/>
  <c r="AI64" i="39" s="1"/>
  <c r="L64" i="39"/>
  <c r="AP64" i="39" s="1"/>
  <c r="H64" i="39"/>
  <c r="M64" i="39"/>
  <c r="AR64" i="39" s="1"/>
  <c r="N64" i="39"/>
  <c r="P64" i="39"/>
  <c r="E64" i="39"/>
  <c r="J64" i="39"/>
  <c r="AM64" i="39" s="1"/>
  <c r="F64" i="39"/>
  <c r="AL64" i="39" s="1"/>
  <c r="I64" i="39"/>
  <c r="Y64" i="39" s="1"/>
  <c r="AO64" i="39" s="1"/>
  <c r="G60" i="39"/>
  <c r="Q60" i="39" s="1"/>
  <c r="O60" i="39"/>
  <c r="C60" i="39"/>
  <c r="AA60" i="39" s="1"/>
  <c r="K60" i="39"/>
  <c r="AJ60" i="39" s="1"/>
  <c r="D60" i="39"/>
  <c r="AI60" i="39" s="1"/>
  <c r="L60" i="39"/>
  <c r="AP60" i="39" s="1"/>
  <c r="J60" i="39"/>
  <c r="AM60" i="39" s="1"/>
  <c r="P60" i="39"/>
  <c r="E60" i="39"/>
  <c r="F60" i="39"/>
  <c r="AL60" i="39" s="1"/>
  <c r="H60" i="39"/>
  <c r="I60" i="39"/>
  <c r="Y60" i="39" s="1"/>
  <c r="AO60" i="39" s="1"/>
  <c r="M60" i="39"/>
  <c r="AR60" i="39" s="1"/>
  <c r="N60" i="39"/>
  <c r="H35" i="39"/>
  <c r="P35" i="39"/>
  <c r="I35" i="39"/>
  <c r="Y35" i="39" s="1"/>
  <c r="J35" i="39"/>
  <c r="K35" i="39"/>
  <c r="C35" i="39"/>
  <c r="AA35" i="39" s="1"/>
  <c r="L35" i="39"/>
  <c r="AP35" i="39" s="1"/>
  <c r="E35" i="39"/>
  <c r="N35" i="39"/>
  <c r="D35" i="39"/>
  <c r="O35" i="39"/>
  <c r="G35" i="39"/>
  <c r="Q35" i="39" s="1"/>
  <c r="M35" i="39"/>
  <c r="F35" i="39"/>
  <c r="G10" i="39"/>
  <c r="Q10" i="39" s="1"/>
  <c r="O10" i="39"/>
  <c r="H10" i="39"/>
  <c r="P10" i="39"/>
  <c r="I10" i="39"/>
  <c r="Y10" i="39" s="1"/>
  <c r="J10" i="39"/>
  <c r="C10" i="39"/>
  <c r="AA10" i="39" s="1"/>
  <c r="K10" i="39"/>
  <c r="D10" i="39"/>
  <c r="L10" i="39"/>
  <c r="AP10" i="39" s="1"/>
  <c r="M10" i="39"/>
  <c r="N10" i="39"/>
  <c r="E10" i="39"/>
  <c r="F10" i="39"/>
  <c r="C57" i="39"/>
  <c r="AG57" i="39" s="1"/>
  <c r="K57" i="39"/>
  <c r="AJ57" i="39" s="1"/>
  <c r="G57" i="39"/>
  <c r="Q57" i="39" s="1"/>
  <c r="O57" i="39"/>
  <c r="H57" i="39"/>
  <c r="P57" i="39"/>
  <c r="F57" i="39"/>
  <c r="AL57" i="39" s="1"/>
  <c r="L57" i="39"/>
  <c r="AP57" i="39" s="1"/>
  <c r="M57" i="39"/>
  <c r="AR57" i="39" s="1"/>
  <c r="N57" i="39"/>
  <c r="D57" i="39"/>
  <c r="AI57" i="39" s="1"/>
  <c r="E57" i="39"/>
  <c r="I57" i="39"/>
  <c r="AN57" i="39" s="1"/>
  <c r="J57" i="39"/>
  <c r="AM57" i="39" s="1"/>
  <c r="C63" i="39"/>
  <c r="K63" i="39"/>
  <c r="AJ63" i="39" s="1"/>
  <c r="G63" i="39"/>
  <c r="Q63" i="39" s="1"/>
  <c r="O63" i="39"/>
  <c r="H63" i="39"/>
  <c r="P63" i="39"/>
  <c r="N63" i="39"/>
  <c r="F63" i="39"/>
  <c r="AL63" i="39" s="1"/>
  <c r="I63" i="39"/>
  <c r="Y63" i="39" s="1"/>
  <c r="J63" i="39"/>
  <c r="AM63" i="39" s="1"/>
  <c r="L63" i="39"/>
  <c r="AP63" i="39" s="1"/>
  <c r="E63" i="39"/>
  <c r="M63" i="39"/>
  <c r="AR63" i="39" s="1"/>
  <c r="D63" i="39"/>
  <c r="AI63" i="39" s="1"/>
  <c r="I38" i="39"/>
  <c r="Y38" i="39" s="1"/>
  <c r="J38" i="39"/>
  <c r="C38" i="39"/>
  <c r="AA38" i="39" s="1"/>
  <c r="K38" i="39"/>
  <c r="D38" i="39"/>
  <c r="L38" i="39"/>
  <c r="AP38" i="39" s="1"/>
  <c r="F38" i="39"/>
  <c r="N38" i="39"/>
  <c r="M38" i="39"/>
  <c r="E38" i="39"/>
  <c r="H38" i="39"/>
  <c r="G38" i="39"/>
  <c r="Q38" i="39" s="1"/>
  <c r="O38" i="39"/>
  <c r="P38" i="39"/>
  <c r="H16" i="39"/>
  <c r="P16" i="39"/>
  <c r="I16" i="39"/>
  <c r="Y16" i="39" s="1"/>
  <c r="J16" i="39"/>
  <c r="C16" i="39"/>
  <c r="AA16" i="39" s="1"/>
  <c r="K16" i="39"/>
  <c r="D16" i="39"/>
  <c r="L16" i="39"/>
  <c r="AP16" i="39" s="1"/>
  <c r="G16" i="39"/>
  <c r="Q16" i="39" s="1"/>
  <c r="M16" i="39"/>
  <c r="N16" i="39"/>
  <c r="O16" i="39"/>
  <c r="E16" i="39"/>
  <c r="F16" i="39"/>
  <c r="G29" i="39"/>
  <c r="Q29" i="39" s="1"/>
  <c r="O29" i="39"/>
  <c r="H29" i="39"/>
  <c r="P29" i="39"/>
  <c r="C29" i="39"/>
  <c r="AA29" i="39" s="1"/>
  <c r="M29" i="39"/>
  <c r="D29" i="39"/>
  <c r="N29" i="39"/>
  <c r="E29" i="39"/>
  <c r="F29" i="39"/>
  <c r="J29" i="39"/>
  <c r="I29" i="39"/>
  <c r="Y29" i="39" s="1"/>
  <c r="K29" i="39"/>
  <c r="L29" i="39"/>
  <c r="AP29" i="39" s="1"/>
  <c r="I24" i="39"/>
  <c r="Y24" i="39" s="1"/>
  <c r="J24" i="39"/>
  <c r="C24" i="39"/>
  <c r="AA24" i="39" s="1"/>
  <c r="K24" i="39"/>
  <c r="D24" i="39"/>
  <c r="L24" i="39"/>
  <c r="AP24" i="39" s="1"/>
  <c r="O24" i="39"/>
  <c r="P24" i="39"/>
  <c r="E24" i="39"/>
  <c r="F24" i="39"/>
  <c r="G24" i="39"/>
  <c r="Q24" i="39" s="1"/>
  <c r="H24" i="39"/>
  <c r="M24" i="39"/>
  <c r="N24" i="39"/>
  <c r="I52" i="39"/>
  <c r="Y52" i="39" s="1"/>
  <c r="AO52" i="39" s="1"/>
  <c r="J52" i="39"/>
  <c r="AM52" i="39" s="1"/>
  <c r="C52" i="39"/>
  <c r="M52" i="39"/>
  <c r="AR52" i="39" s="1"/>
  <c r="G52" i="39"/>
  <c r="Q52" i="39" s="1"/>
  <c r="H52" i="39"/>
  <c r="E52" i="39"/>
  <c r="L52" i="39"/>
  <c r="AP52" i="39" s="1"/>
  <c r="N52" i="39"/>
  <c r="O52" i="39"/>
  <c r="P52" i="39"/>
  <c r="D52" i="39"/>
  <c r="AI52" i="39" s="1"/>
  <c r="K52" i="39"/>
  <c r="AJ52" i="39" s="1"/>
  <c r="F52" i="39"/>
  <c r="AL52" i="39" s="1"/>
  <c r="G27" i="39"/>
  <c r="Q27" i="39" s="1"/>
  <c r="O27" i="39"/>
  <c r="H27" i="39"/>
  <c r="P27" i="39"/>
  <c r="J27" i="39"/>
  <c r="K27" i="39"/>
  <c r="L27" i="39"/>
  <c r="AP27" i="39" s="1"/>
  <c r="C27" i="39"/>
  <c r="AA27" i="39" s="1"/>
  <c r="M27" i="39"/>
  <c r="D27" i="39"/>
  <c r="N27" i="39"/>
  <c r="E27" i="39"/>
  <c r="F27" i="39"/>
  <c r="I27" i="39"/>
  <c r="Y27" i="39" s="1"/>
  <c r="G66" i="39"/>
  <c r="Q66" i="39" s="1"/>
  <c r="O66" i="39"/>
  <c r="C66" i="39"/>
  <c r="K66" i="39"/>
  <c r="AJ66" i="39" s="1"/>
  <c r="D66" i="39"/>
  <c r="AI66" i="39" s="1"/>
  <c r="L66" i="39"/>
  <c r="AP66" i="39" s="1"/>
  <c r="F66" i="39"/>
  <c r="AL66" i="39" s="1"/>
  <c r="J66" i="39"/>
  <c r="AM66" i="39" s="1"/>
  <c r="M66" i="39"/>
  <c r="AR66" i="39" s="1"/>
  <c r="N66" i="39"/>
  <c r="P66" i="39"/>
  <c r="H66" i="39"/>
  <c r="E66" i="39"/>
  <c r="I66" i="39"/>
  <c r="AN66" i="39" s="1"/>
  <c r="E25" i="39"/>
  <c r="M25" i="39"/>
  <c r="F25" i="39"/>
  <c r="N25" i="39"/>
  <c r="G25" i="39"/>
  <c r="Q25" i="39" s="1"/>
  <c r="O25" i="39"/>
  <c r="H25" i="39"/>
  <c r="P25" i="39"/>
  <c r="K25" i="39"/>
  <c r="L25" i="39"/>
  <c r="AP25" i="39" s="1"/>
  <c r="C25" i="39"/>
  <c r="AA25" i="39" s="1"/>
  <c r="D25" i="39"/>
  <c r="I25" i="39"/>
  <c r="Y25" i="39" s="1"/>
  <c r="J25" i="39"/>
  <c r="E23" i="39"/>
  <c r="M23" i="39"/>
  <c r="F23" i="39"/>
  <c r="N23" i="39"/>
  <c r="G23" i="39"/>
  <c r="Q23" i="39" s="1"/>
  <c r="O23" i="39"/>
  <c r="H23" i="39"/>
  <c r="P23" i="39"/>
  <c r="C23" i="39"/>
  <c r="AA23" i="39" s="1"/>
  <c r="D23" i="39"/>
  <c r="I23" i="39"/>
  <c r="Y23" i="39" s="1"/>
  <c r="J23" i="39"/>
  <c r="K23" i="39"/>
  <c r="L23" i="39"/>
  <c r="AP23" i="39" s="1"/>
  <c r="C55" i="39"/>
  <c r="K55" i="39"/>
  <c r="AJ55" i="39" s="1"/>
  <c r="G55" i="39"/>
  <c r="Q55" i="39" s="1"/>
  <c r="O55" i="39"/>
  <c r="H55" i="39"/>
  <c r="P55" i="39"/>
  <c r="I55" i="39"/>
  <c r="AN55" i="39" s="1"/>
  <c r="M55" i="39"/>
  <c r="AR55" i="39" s="1"/>
  <c r="N55" i="39"/>
  <c r="D55" i="39"/>
  <c r="AI55" i="39" s="1"/>
  <c r="E55" i="39"/>
  <c r="F55" i="39"/>
  <c r="AL55" i="39" s="1"/>
  <c r="J55" i="39"/>
  <c r="AM55" i="39" s="1"/>
  <c r="L55" i="39"/>
  <c r="AP55" i="39" s="1"/>
  <c r="C30" i="39"/>
  <c r="AA30" i="39" s="1"/>
  <c r="K30" i="39"/>
  <c r="D30" i="39"/>
  <c r="L30" i="39"/>
  <c r="AP30" i="39" s="1"/>
  <c r="E30" i="39"/>
  <c r="O30" i="39"/>
  <c r="F30" i="39"/>
  <c r="P30" i="39"/>
  <c r="G30" i="39"/>
  <c r="Q30" i="39" s="1"/>
  <c r="H30" i="39"/>
  <c r="J30" i="39"/>
  <c r="N30" i="39"/>
  <c r="M30" i="39"/>
  <c r="I30" i="39"/>
  <c r="Y30" i="39" s="1"/>
  <c r="C15" i="39"/>
  <c r="AA15" i="39" s="1"/>
  <c r="D15" i="39"/>
  <c r="L15" i="39"/>
  <c r="AP15" i="39" s="1"/>
  <c r="E15" i="39"/>
  <c r="M15" i="39"/>
  <c r="F15" i="39"/>
  <c r="N15" i="39"/>
  <c r="G15" i="39"/>
  <c r="Q15" i="39" s="1"/>
  <c r="O15" i="39"/>
  <c r="H15" i="39"/>
  <c r="P15" i="39"/>
  <c r="I15" i="39"/>
  <c r="Y15" i="39" s="1"/>
  <c r="J15" i="39"/>
  <c r="K15" i="39"/>
  <c r="E21" i="39"/>
  <c r="M21" i="39"/>
  <c r="F21" i="39"/>
  <c r="N21" i="39"/>
  <c r="G21" i="39"/>
  <c r="Q21" i="39" s="1"/>
  <c r="O21" i="39"/>
  <c r="H21" i="39"/>
  <c r="P21" i="39"/>
  <c r="K21" i="39"/>
  <c r="L21" i="39"/>
  <c r="AP21" i="39" s="1"/>
  <c r="C21" i="39"/>
  <c r="AA21" i="39" s="1"/>
  <c r="D21" i="39"/>
  <c r="I21" i="39"/>
  <c r="Y21" i="39" s="1"/>
  <c r="J21" i="39"/>
  <c r="I44" i="39"/>
  <c r="AN44" i="39" s="1"/>
  <c r="J44" i="39"/>
  <c r="C44" i="39"/>
  <c r="AA44" i="39" s="1"/>
  <c r="K44" i="39"/>
  <c r="D44" i="39"/>
  <c r="L44" i="39"/>
  <c r="AP44" i="39" s="1"/>
  <c r="F44" i="39"/>
  <c r="N44" i="39"/>
  <c r="H44" i="39"/>
  <c r="M44" i="39"/>
  <c r="E44" i="39"/>
  <c r="G44" i="39"/>
  <c r="Q44" i="39" s="1"/>
  <c r="O44" i="39"/>
  <c r="P44" i="39"/>
  <c r="E39" i="39"/>
  <c r="M39" i="39"/>
  <c r="F39" i="39"/>
  <c r="N39" i="39"/>
  <c r="G39" i="39"/>
  <c r="Q39" i="39" s="1"/>
  <c r="O39" i="39"/>
  <c r="H39" i="39"/>
  <c r="P39" i="39"/>
  <c r="J39" i="39"/>
  <c r="L39" i="39"/>
  <c r="AP39" i="39" s="1"/>
  <c r="C39" i="39"/>
  <c r="AA39" i="39" s="1"/>
  <c r="D39" i="39"/>
  <c r="I39" i="39"/>
  <c r="Y39" i="39" s="1"/>
  <c r="K39" i="39"/>
  <c r="D19" i="39"/>
  <c r="L19" i="39"/>
  <c r="AP19" i="39" s="1"/>
  <c r="E19" i="39"/>
  <c r="M19" i="39"/>
  <c r="F19" i="39"/>
  <c r="N19" i="39"/>
  <c r="G19" i="39"/>
  <c r="Q19" i="39" s="1"/>
  <c r="O19" i="39"/>
  <c r="H19" i="39"/>
  <c r="P19" i="39"/>
  <c r="K19" i="39"/>
  <c r="C19" i="39"/>
  <c r="AA19" i="39" s="1"/>
  <c r="I19" i="39"/>
  <c r="Y19" i="39" s="1"/>
  <c r="J19" i="39"/>
  <c r="G58" i="39"/>
  <c r="Q58" i="39" s="1"/>
  <c r="O58" i="39"/>
  <c r="C58" i="39"/>
  <c r="K58" i="39"/>
  <c r="AJ58" i="39" s="1"/>
  <c r="D58" i="39"/>
  <c r="AI58" i="39" s="1"/>
  <c r="L58" i="39"/>
  <c r="M58" i="39"/>
  <c r="AR58" i="39" s="1"/>
  <c r="E58" i="39"/>
  <c r="F58" i="39"/>
  <c r="AL58" i="39" s="1"/>
  <c r="H58" i="39"/>
  <c r="I58" i="39"/>
  <c r="AN58" i="39" s="1"/>
  <c r="J58" i="39"/>
  <c r="AM58" i="39" s="1"/>
  <c r="N58" i="39"/>
  <c r="P58" i="39"/>
  <c r="C7" i="39"/>
  <c r="AA7" i="39" s="1"/>
  <c r="K7" i="39"/>
  <c r="D7" i="39"/>
  <c r="L7" i="39"/>
  <c r="AP7" i="39" s="1"/>
  <c r="E7" i="39"/>
  <c r="M7" i="39"/>
  <c r="F7" i="39"/>
  <c r="N7" i="39"/>
  <c r="G7" i="39"/>
  <c r="Q7" i="39" s="1"/>
  <c r="O7" i="39"/>
  <c r="H7" i="39"/>
  <c r="P7" i="39"/>
  <c r="I7" i="39"/>
  <c r="Y7" i="39" s="1"/>
  <c r="AO7" i="39" s="1"/>
  <c r="J7" i="39"/>
  <c r="I22" i="39"/>
  <c r="Y22" i="39" s="1"/>
  <c r="J22" i="39"/>
  <c r="C22" i="39"/>
  <c r="AA22" i="39" s="1"/>
  <c r="K22" i="39"/>
  <c r="D22" i="39"/>
  <c r="L22" i="39"/>
  <c r="AP22" i="39" s="1"/>
  <c r="G22" i="39"/>
  <c r="Q22" i="39" s="1"/>
  <c r="H22" i="39"/>
  <c r="M22" i="39"/>
  <c r="N22" i="39"/>
  <c r="O22" i="39"/>
  <c r="P22" i="39"/>
  <c r="E22" i="39"/>
  <c r="F22" i="39"/>
  <c r="C13" i="39"/>
  <c r="AA13" i="39" s="1"/>
  <c r="K13" i="39"/>
  <c r="D13" i="39"/>
  <c r="L13" i="39"/>
  <c r="AP13" i="39" s="1"/>
  <c r="E13" i="39"/>
  <c r="M13" i="39"/>
  <c r="F13" i="39"/>
  <c r="N13" i="39"/>
  <c r="G13" i="39"/>
  <c r="Q13" i="39" s="1"/>
  <c r="O13" i="39"/>
  <c r="H13" i="39"/>
  <c r="P13" i="39"/>
  <c r="I13" i="39"/>
  <c r="Y13" i="39" s="1"/>
  <c r="J13" i="39"/>
  <c r="D36" i="39"/>
  <c r="L36" i="39"/>
  <c r="AP36" i="39" s="1"/>
  <c r="G36" i="39"/>
  <c r="Q36" i="39" s="1"/>
  <c r="P36" i="39"/>
  <c r="H36" i="39"/>
  <c r="I36" i="39"/>
  <c r="Y36" i="39" s="1"/>
  <c r="J36" i="39"/>
  <c r="C36" i="39"/>
  <c r="AA36" i="39" s="1"/>
  <c r="M36" i="39"/>
  <c r="F36" i="39"/>
  <c r="N36" i="39"/>
  <c r="E36" i="39"/>
  <c r="K36" i="39"/>
  <c r="O36" i="39"/>
  <c r="C11" i="39"/>
  <c r="AA11" i="39" s="1"/>
  <c r="K11" i="39"/>
  <c r="D11" i="39"/>
  <c r="L11" i="39"/>
  <c r="AP11" i="39" s="1"/>
  <c r="E11" i="39"/>
  <c r="M11" i="39"/>
  <c r="F11" i="39"/>
  <c r="N11" i="39"/>
  <c r="G11" i="39"/>
  <c r="Q11" i="39" s="1"/>
  <c r="O11" i="39"/>
  <c r="H11" i="39"/>
  <c r="P11" i="39"/>
  <c r="I11" i="39"/>
  <c r="Y11" i="39" s="1"/>
  <c r="J11" i="39"/>
  <c r="I50" i="39"/>
  <c r="AN50" i="39" s="1"/>
  <c r="J50" i="39"/>
  <c r="C50" i="39"/>
  <c r="AA50" i="39" s="1"/>
  <c r="K50" i="39"/>
  <c r="D50" i="39"/>
  <c r="L50" i="39"/>
  <c r="AP50" i="39" s="1"/>
  <c r="F50" i="39"/>
  <c r="G50" i="39"/>
  <c r="Q50" i="39" s="1"/>
  <c r="O50" i="39"/>
  <c r="P50" i="39"/>
  <c r="H50" i="39"/>
  <c r="E50" i="39"/>
  <c r="M50" i="39"/>
  <c r="N50" i="39"/>
  <c r="G14" i="39"/>
  <c r="Q14" i="39" s="1"/>
  <c r="O14" i="39"/>
  <c r="H14" i="39"/>
  <c r="P14" i="39"/>
  <c r="I14" i="39"/>
  <c r="Y14" i="39" s="1"/>
  <c r="J14" i="39"/>
  <c r="C14" i="39"/>
  <c r="AA14" i="39" s="1"/>
  <c r="K14" i="39"/>
  <c r="D14" i="39"/>
  <c r="L14" i="39"/>
  <c r="AP14" i="39" s="1"/>
  <c r="E14" i="39"/>
  <c r="F14" i="39"/>
  <c r="M14" i="39"/>
  <c r="N14" i="39"/>
  <c r="C69" i="39"/>
  <c r="K69" i="39"/>
  <c r="AJ69" i="39" s="1"/>
  <c r="G69" i="39"/>
  <c r="Q69" i="39" s="1"/>
  <c r="O69" i="39"/>
  <c r="H69" i="39"/>
  <c r="P69" i="39"/>
  <c r="J69" i="39"/>
  <c r="AM69" i="39" s="1"/>
  <c r="N69" i="39"/>
  <c r="D69" i="39"/>
  <c r="AI69" i="39" s="1"/>
  <c r="E69" i="39"/>
  <c r="F69" i="39"/>
  <c r="AL69" i="39" s="1"/>
  <c r="M69" i="39"/>
  <c r="AR69" i="39" s="1"/>
  <c r="I69" i="39"/>
  <c r="Y69" i="39" s="1"/>
  <c r="AO69" i="39" s="1"/>
  <c r="L69" i="39"/>
  <c r="AP69" i="39" s="1"/>
  <c r="C5" i="39"/>
  <c r="AA5" i="39" s="1"/>
  <c r="K5" i="39"/>
  <c r="D5" i="39"/>
  <c r="L5" i="39"/>
  <c r="AP5" i="39" s="1"/>
  <c r="E5" i="39"/>
  <c r="M5" i="39"/>
  <c r="F5" i="39"/>
  <c r="N5" i="39"/>
  <c r="G5" i="39"/>
  <c r="Q5" i="39" s="1"/>
  <c r="O5" i="39"/>
  <c r="H5" i="39"/>
  <c r="P5" i="39"/>
  <c r="I5" i="39"/>
  <c r="Y5" i="39" s="1"/>
  <c r="J5" i="39"/>
  <c r="C28" i="39"/>
  <c r="AA28" i="39" s="1"/>
  <c r="K28" i="39"/>
  <c r="D28" i="39"/>
  <c r="L28" i="39"/>
  <c r="AP28" i="39" s="1"/>
  <c r="M28" i="39"/>
  <c r="N28" i="39"/>
  <c r="E28" i="39"/>
  <c r="O28" i="39"/>
  <c r="F28" i="39"/>
  <c r="P28" i="39"/>
  <c r="H28" i="39"/>
  <c r="J28" i="39"/>
  <c r="I28" i="39"/>
  <c r="Y28" i="39" s="1"/>
  <c r="G28" i="39"/>
  <c r="Q28" i="39" s="1"/>
  <c r="C67" i="39"/>
  <c r="K67" i="39"/>
  <c r="AJ67" i="39" s="1"/>
  <c r="G67" i="39"/>
  <c r="Q67" i="39" s="1"/>
  <c r="O67" i="39"/>
  <c r="H67" i="39"/>
  <c r="P67" i="39"/>
  <c r="L67" i="39"/>
  <c r="AP67" i="39" s="1"/>
  <c r="D67" i="39"/>
  <c r="AI67" i="39" s="1"/>
  <c r="E67" i="39"/>
  <c r="F67" i="39"/>
  <c r="AL67" i="39" s="1"/>
  <c r="I67" i="39"/>
  <c r="AN67" i="39" s="1"/>
  <c r="N67" i="39"/>
  <c r="J67" i="39"/>
  <c r="AM67" i="39" s="1"/>
  <c r="M67" i="39"/>
  <c r="AR67" i="39" s="1"/>
  <c r="J3" i="39"/>
  <c r="C3" i="39"/>
  <c r="AA3" i="39" s="1"/>
  <c r="K3" i="39"/>
  <c r="D3" i="39"/>
  <c r="L3" i="39"/>
  <c r="AP3" i="39" s="1"/>
  <c r="E3" i="39"/>
  <c r="M3" i="39"/>
  <c r="F3" i="39"/>
  <c r="N3" i="39"/>
  <c r="G3" i="39"/>
  <c r="Q3" i="39" s="1"/>
  <c r="O3" i="39"/>
  <c r="H3" i="39"/>
  <c r="P3" i="39"/>
  <c r="I3" i="39"/>
  <c r="Y3" i="39" s="1"/>
  <c r="G72" i="39"/>
  <c r="Q72" i="39" s="1"/>
  <c r="O72" i="39"/>
  <c r="D72" i="39"/>
  <c r="AI72" i="39" s="1"/>
  <c r="L72" i="39"/>
  <c r="AP72" i="39" s="1"/>
  <c r="J72" i="39"/>
  <c r="AM72" i="39" s="1"/>
  <c r="C72" i="39"/>
  <c r="AA72" i="39" s="1"/>
  <c r="N72" i="39"/>
  <c r="E72" i="39"/>
  <c r="P72" i="39"/>
  <c r="F72" i="39"/>
  <c r="AL72" i="39" s="1"/>
  <c r="H72" i="39"/>
  <c r="I72" i="39"/>
  <c r="AN72" i="39" s="1"/>
  <c r="K72" i="39"/>
  <c r="AJ72" i="39" s="1"/>
  <c r="M72" i="39"/>
  <c r="AR72" i="39" s="1"/>
  <c r="I42" i="39"/>
  <c r="Y42" i="39" s="1"/>
  <c r="J42" i="39"/>
  <c r="C42" i="39"/>
  <c r="AA42" i="39" s="1"/>
  <c r="K42" i="39"/>
  <c r="D42" i="39"/>
  <c r="L42" i="39"/>
  <c r="AP42" i="39" s="1"/>
  <c r="F42" i="39"/>
  <c r="N42" i="39"/>
  <c r="P42" i="39"/>
  <c r="G42" i="39"/>
  <c r="Q42" i="39" s="1"/>
  <c r="H42" i="39"/>
  <c r="M42" i="39"/>
  <c r="O42" i="39"/>
  <c r="E42" i="39"/>
  <c r="G70" i="39"/>
  <c r="Q70" i="39" s="1"/>
  <c r="O70" i="39"/>
  <c r="C70" i="39"/>
  <c r="AA70" i="39" s="1"/>
  <c r="K70" i="39"/>
  <c r="AJ70" i="39" s="1"/>
  <c r="D70" i="39"/>
  <c r="AI70" i="39" s="1"/>
  <c r="L70" i="39"/>
  <c r="AP70" i="39" s="1"/>
  <c r="P70" i="39"/>
  <c r="H70" i="39"/>
  <c r="I70" i="39"/>
  <c r="Y70" i="39" s="1"/>
  <c r="J70" i="39"/>
  <c r="AM70" i="39" s="1"/>
  <c r="M70" i="39"/>
  <c r="AR70" i="39" s="1"/>
  <c r="E70" i="39"/>
  <c r="F70" i="39"/>
  <c r="AL70" i="39" s="1"/>
  <c r="N70" i="39"/>
  <c r="G6" i="39"/>
  <c r="Q6" i="39" s="1"/>
  <c r="O6" i="39"/>
  <c r="H6" i="39"/>
  <c r="P6" i="39"/>
  <c r="I6" i="39"/>
  <c r="Y6" i="39" s="1"/>
  <c r="AO6" i="39" s="1"/>
  <c r="J6" i="39"/>
  <c r="C6" i="39"/>
  <c r="AA6" i="39" s="1"/>
  <c r="K6" i="39"/>
  <c r="D6" i="39"/>
  <c r="L6" i="39"/>
  <c r="AP6" i="39" s="1"/>
  <c r="E6" i="39"/>
  <c r="F6" i="39"/>
  <c r="M6" i="39"/>
  <c r="N6" i="39"/>
  <c r="C73" i="39"/>
  <c r="AA73" i="39" s="1"/>
  <c r="K73" i="39"/>
  <c r="AJ73" i="39" s="1"/>
  <c r="H73" i="39"/>
  <c r="P73" i="39"/>
  <c r="L73" i="39"/>
  <c r="AP73" i="39" s="1"/>
  <c r="E73" i="39"/>
  <c r="O73" i="39"/>
  <c r="F73" i="39"/>
  <c r="AL73" i="39" s="1"/>
  <c r="G73" i="39"/>
  <c r="Q73" i="39" s="1"/>
  <c r="I73" i="39"/>
  <c r="Y73" i="39" s="1"/>
  <c r="AO73" i="39" s="1"/>
  <c r="D73" i="39"/>
  <c r="AI73" i="39" s="1"/>
  <c r="J73" i="39"/>
  <c r="AM73" i="39" s="1"/>
  <c r="M73" i="39"/>
  <c r="AR73" i="39" s="1"/>
  <c r="N73" i="39"/>
  <c r="C61" i="39"/>
  <c r="K61" i="39"/>
  <c r="AJ61" i="39" s="1"/>
  <c r="G61" i="39"/>
  <c r="Q61" i="39" s="1"/>
  <c r="O61" i="39"/>
  <c r="H61" i="39"/>
  <c r="P61" i="39"/>
  <c r="D61" i="39"/>
  <c r="AI61" i="39" s="1"/>
  <c r="I61" i="39"/>
  <c r="Y61" i="39" s="1"/>
  <c r="AO61" i="39" s="1"/>
  <c r="J61" i="39"/>
  <c r="AM61" i="39" s="1"/>
  <c r="L61" i="39"/>
  <c r="AP61" i="39" s="1"/>
  <c r="M61" i="39"/>
  <c r="AR61" i="39" s="1"/>
  <c r="E61" i="39"/>
  <c r="N61" i="39"/>
  <c r="F61" i="39"/>
  <c r="AL61" i="39" s="1"/>
  <c r="E47" i="39"/>
  <c r="M47" i="39"/>
  <c r="F47" i="39"/>
  <c r="N47" i="39"/>
  <c r="G47" i="39"/>
  <c r="Q47" i="39" s="1"/>
  <c r="O47" i="39"/>
  <c r="H47" i="39"/>
  <c r="P47" i="39"/>
  <c r="J47" i="39"/>
  <c r="C47" i="39"/>
  <c r="AA47" i="39" s="1"/>
  <c r="L47" i="39"/>
  <c r="AP47" i="39" s="1"/>
  <c r="K47" i="39"/>
  <c r="D47" i="39"/>
  <c r="I47" i="39"/>
  <c r="Y47" i="39" s="1"/>
  <c r="H20" i="39"/>
  <c r="P20" i="39"/>
  <c r="I20" i="39"/>
  <c r="Y20" i="39" s="1"/>
  <c r="J20" i="39"/>
  <c r="C20" i="39"/>
  <c r="AA20" i="39" s="1"/>
  <c r="K20" i="39"/>
  <c r="D20" i="39"/>
  <c r="L20" i="39"/>
  <c r="AP20" i="39" s="1"/>
  <c r="N20" i="39"/>
  <c r="O20" i="39"/>
  <c r="E20" i="39"/>
  <c r="F20" i="39"/>
  <c r="G20" i="39"/>
  <c r="Q20" i="39" s="1"/>
  <c r="M20" i="39"/>
  <c r="E41" i="39"/>
  <c r="M41" i="39"/>
  <c r="F41" i="39"/>
  <c r="N41" i="39"/>
  <c r="G41" i="39"/>
  <c r="Q41" i="39" s="1"/>
  <c r="O41" i="39"/>
  <c r="H41" i="39"/>
  <c r="P41" i="39"/>
  <c r="J41" i="39"/>
  <c r="D41" i="39"/>
  <c r="I41" i="39"/>
  <c r="Y41" i="39" s="1"/>
  <c r="C41" i="39"/>
  <c r="AA41" i="39" s="1"/>
  <c r="K41" i="39"/>
  <c r="L41" i="39"/>
  <c r="AP41" i="39" s="1"/>
  <c r="D32" i="39"/>
  <c r="L32" i="39"/>
  <c r="AP32" i="39" s="1"/>
  <c r="E32" i="39"/>
  <c r="N32" i="39"/>
  <c r="F32" i="39"/>
  <c r="O32" i="39"/>
  <c r="G32" i="39"/>
  <c r="Q32" i="39" s="1"/>
  <c r="P32" i="39"/>
  <c r="H32" i="39"/>
  <c r="J32" i="39"/>
  <c r="M32" i="39"/>
  <c r="C32" i="39"/>
  <c r="AA32" i="39" s="1"/>
  <c r="I32" i="39"/>
  <c r="Y32" i="39" s="1"/>
  <c r="K32" i="39"/>
  <c r="C59" i="39"/>
  <c r="K59" i="39"/>
  <c r="AJ59" i="39" s="1"/>
  <c r="G59" i="39"/>
  <c r="Q59" i="39" s="1"/>
  <c r="O59" i="39"/>
  <c r="H59" i="39"/>
  <c r="P59" i="39"/>
  <c r="E59" i="39"/>
  <c r="J59" i="39"/>
  <c r="AM59" i="39" s="1"/>
  <c r="L59" i="39"/>
  <c r="AP59" i="39" s="1"/>
  <c r="M59" i="39"/>
  <c r="AR59" i="39" s="1"/>
  <c r="N59" i="39"/>
  <c r="I59" i="39"/>
  <c r="AN59" i="39" s="1"/>
  <c r="D59" i="39"/>
  <c r="AI59" i="39" s="1"/>
  <c r="F59" i="39"/>
  <c r="AL59" i="39" s="1"/>
  <c r="C9" i="39"/>
  <c r="AA9" i="39" s="1"/>
  <c r="K9" i="39"/>
  <c r="D9" i="39"/>
  <c r="L9" i="39"/>
  <c r="AP9" i="39" s="1"/>
  <c r="E9" i="39"/>
  <c r="M9" i="39"/>
  <c r="F9" i="39"/>
  <c r="N9" i="39"/>
  <c r="G9" i="39"/>
  <c r="Q9" i="39" s="1"/>
  <c r="O9" i="39"/>
  <c r="H9" i="39"/>
  <c r="P9" i="39"/>
  <c r="I9" i="39"/>
  <c r="Y9" i="39" s="1"/>
  <c r="J9" i="39"/>
  <c r="G8" i="39"/>
  <c r="Q8" i="39" s="1"/>
  <c r="O8" i="39"/>
  <c r="H8" i="39"/>
  <c r="P8" i="39"/>
  <c r="I8" i="39"/>
  <c r="Y8" i="39" s="1"/>
  <c r="J8" i="39"/>
  <c r="C8" i="39"/>
  <c r="AA8" i="39" s="1"/>
  <c r="K8" i="39"/>
  <c r="D8" i="39"/>
  <c r="L8" i="39"/>
  <c r="AP8" i="39" s="1"/>
  <c r="E8" i="39"/>
  <c r="F8" i="39"/>
  <c r="M8" i="39"/>
  <c r="N8" i="39"/>
  <c r="D34" i="39"/>
  <c r="L34" i="39"/>
  <c r="AP34" i="39" s="1"/>
  <c r="J34" i="39"/>
  <c r="K34" i="39"/>
  <c r="C34" i="39"/>
  <c r="AA34" i="39" s="1"/>
  <c r="M34" i="39"/>
  <c r="E34" i="39"/>
  <c r="N34" i="39"/>
  <c r="G34" i="39"/>
  <c r="Q34" i="39" s="1"/>
  <c r="P34" i="39"/>
  <c r="I34" i="39"/>
  <c r="Y34" i="39" s="1"/>
  <c r="O34" i="39"/>
  <c r="F34" i="39"/>
  <c r="H34" i="39"/>
  <c r="Y55" i="39"/>
  <c r="AO55" i="39" s="1"/>
  <c r="AP58" i="39"/>
  <c r="AT58" i="39"/>
  <c r="AT55" i="39"/>
  <c r="Y59" i="39"/>
  <c r="AO59" i="39" s="1"/>
  <c r="Y44" i="39"/>
  <c r="Y65" i="39"/>
  <c r="AO65" i="39" s="1"/>
  <c r="Y57" i="39"/>
  <c r="AO57" i="39" s="1"/>
  <c r="Y72" i="39"/>
  <c r="Y49" i="39"/>
  <c r="AO56" i="39"/>
  <c r="Y62" i="39"/>
  <c r="Y66" i="39"/>
  <c r="Y54" i="39"/>
  <c r="Y58" i="39"/>
  <c r="Y67" i="39"/>
  <c r="AO67" i="39" s="1"/>
  <c r="AN31" i="39"/>
  <c r="AN46" i="39"/>
  <c r="AN23" i="39"/>
  <c r="AN48" i="39"/>
  <c r="AN73" i="39"/>
  <c r="AN40" i="39"/>
  <c r="AN26" i="39"/>
  <c r="AN10" i="39"/>
  <c r="AO63" i="39"/>
  <c r="AN63" i="39"/>
  <c r="AN51" i="39"/>
  <c r="AN16" i="39"/>
  <c r="AN35" i="39"/>
  <c r="AN17" i="39"/>
  <c r="AN29" i="39"/>
  <c r="AN45" i="39"/>
  <c r="AN5" i="39"/>
  <c r="AO70" i="39"/>
  <c r="AN70" i="39"/>
  <c r="AN68" i="39"/>
  <c r="AN25" i="39"/>
  <c r="AO53" i="39"/>
  <c r="AN53" i="39"/>
  <c r="AE52" i="39"/>
  <c r="AA66" i="39"/>
  <c r="AG66" i="39"/>
  <c r="AQ60" i="39"/>
  <c r="AQ54" i="39"/>
  <c r="AG63" i="39"/>
  <c r="AA63" i="39"/>
  <c r="AB59" i="39"/>
  <c r="AK59" i="39"/>
  <c r="AD59" i="39"/>
  <c r="AE63" i="39"/>
  <c r="X53" i="39"/>
  <c r="W53" i="39"/>
  <c r="AC53" i="39"/>
  <c r="AA65" i="39"/>
  <c r="AG65" i="39"/>
  <c r="AB68" i="39"/>
  <c r="AK68" i="39"/>
  <c r="AD68" i="39"/>
  <c r="AQ56" i="39"/>
  <c r="AD73" i="39"/>
  <c r="AB73" i="39"/>
  <c r="AK73" i="39"/>
  <c r="AD70" i="39"/>
  <c r="AK70" i="39"/>
  <c r="AB70" i="39"/>
  <c r="AE72" i="39"/>
  <c r="AQ62" i="39"/>
  <c r="AB57" i="39"/>
  <c r="AK57" i="39"/>
  <c r="AD57" i="39"/>
  <c r="W71" i="39"/>
  <c r="AE59" i="39"/>
  <c r="AB55" i="39"/>
  <c r="AK55" i="39"/>
  <c r="AD55" i="39"/>
  <c r="AE54" i="39"/>
  <c r="AE56" i="39"/>
  <c r="AK52" i="39"/>
  <c r="AB52" i="39"/>
  <c r="AD52" i="39"/>
  <c r="AA68" i="39"/>
  <c r="AG68" i="39"/>
  <c r="AG56" i="39"/>
  <c r="AA56" i="39"/>
  <c r="AD61" i="39"/>
  <c r="AK61" i="39"/>
  <c r="AB61" i="39"/>
  <c r="AB71" i="39"/>
  <c r="AK71" i="39"/>
  <c r="AD71" i="39"/>
  <c r="AQ67" i="39"/>
  <c r="AD53" i="39"/>
  <c r="AB53" i="39"/>
  <c r="AK53" i="39"/>
  <c r="AG64" i="39"/>
  <c r="AA64" i="39"/>
  <c r="AE68" i="39"/>
  <c r="AA57" i="39"/>
  <c r="AE53" i="39"/>
  <c r="AA62" i="39"/>
  <c r="AG62" i="39"/>
  <c r="AB60" i="39"/>
  <c r="AK60" i="39"/>
  <c r="AD60" i="39"/>
  <c r="AC57" i="39"/>
  <c r="W57" i="39"/>
  <c r="X57" i="39"/>
  <c r="AD62" i="39"/>
  <c r="AB62" i="39"/>
  <c r="AK62" i="39"/>
  <c r="X59" i="39"/>
  <c r="AC59" i="39"/>
  <c r="AC52" i="39"/>
  <c r="W52" i="39"/>
  <c r="X52" i="39"/>
  <c r="AG52" i="39"/>
  <c r="AA52" i="39"/>
  <c r="AC54" i="39"/>
  <c r="W54" i="39"/>
  <c r="X54" i="39"/>
  <c r="AC56" i="39"/>
  <c r="W56" i="39"/>
  <c r="X56" i="39"/>
  <c r="AB64" i="39"/>
  <c r="AK64" i="39"/>
  <c r="AD64" i="39"/>
  <c r="AE58" i="39"/>
  <c r="AQ53" i="39"/>
  <c r="AQ58" i="39"/>
  <c r="AG67" i="39"/>
  <c r="AA67" i="39"/>
  <c r="AB69" i="39"/>
  <c r="AK69" i="39"/>
  <c r="AD69" i="39"/>
  <c r="AQ72" i="39"/>
  <c r="AD56" i="39"/>
  <c r="AB56" i="39"/>
  <c r="AK56" i="39"/>
  <c r="AE70" i="39"/>
  <c r="AB72" i="39"/>
  <c r="AK72" i="39"/>
  <c r="AD72" i="39"/>
  <c r="AC62" i="39"/>
  <c r="W62" i="39"/>
  <c r="X62" i="39"/>
  <c r="AG73" i="39"/>
  <c r="AE69" i="39"/>
  <c r="AE60" i="39"/>
  <c r="AE65" i="39"/>
  <c r="AA54" i="39"/>
  <c r="AG54" i="39"/>
  <c r="AO66" i="39"/>
  <c r="AQ63" i="39"/>
  <c r="AQ65" i="39"/>
  <c r="AD54" i="39"/>
  <c r="AK54" i="39"/>
  <c r="AB54" i="39"/>
  <c r="AQ71" i="39"/>
  <c r="AB67" i="39"/>
  <c r="AK67" i="39"/>
  <c r="AD67" i="39"/>
  <c r="AE66" i="39"/>
  <c r="AG69" i="39"/>
  <c r="AA69" i="39"/>
  <c r="AO54" i="39"/>
  <c r="AQ70" i="39"/>
  <c r="W58" i="39"/>
  <c r="X58" i="39"/>
  <c r="AC58" i="39"/>
  <c r="AO72" i="39"/>
  <c r="AQ69" i="39"/>
  <c r="AO62" i="39"/>
  <c r="AK66" i="39"/>
  <c r="AB66" i="39"/>
  <c r="AD66" i="39"/>
  <c r="X63" i="39"/>
  <c r="AC63" i="39"/>
  <c r="W63" i="39"/>
  <c r="AC68" i="39"/>
  <c r="W68" i="39"/>
  <c r="X68" i="39"/>
  <c r="AG59" i="39"/>
  <c r="AA59" i="39"/>
  <c r="AE55" i="39"/>
  <c r="AG61" i="39"/>
  <c r="AA61" i="39"/>
  <c r="AE57" i="39"/>
  <c r="W70" i="39"/>
  <c r="AC70" i="39"/>
  <c r="X70" i="39"/>
  <c r="AB65" i="39"/>
  <c r="AK65" i="39"/>
  <c r="AD65" i="39"/>
  <c r="X61" i="39"/>
  <c r="W61" i="39"/>
  <c r="AC61" i="39"/>
  <c r="AE73" i="39"/>
  <c r="AQ68" i="39"/>
  <c r="AG55" i="39"/>
  <c r="AA55" i="39"/>
  <c r="AO58" i="39"/>
  <c r="AQ55" i="39"/>
  <c r="AQ57" i="39"/>
  <c r="AA58" i="39"/>
  <c r="AG58" i="39"/>
  <c r="AE61" i="39"/>
  <c r="AE71" i="39"/>
  <c r="AC64" i="39"/>
  <c r="W64" i="39"/>
  <c r="X64" i="39"/>
  <c r="X73" i="39"/>
  <c r="AC73" i="39"/>
  <c r="W73" i="39"/>
  <c r="AQ64" i="39"/>
  <c r="AG71" i="39"/>
  <c r="AA71" i="39"/>
  <c r="AE67" i="39"/>
  <c r="AB58" i="39"/>
  <c r="AD58" i="39"/>
  <c r="AK58" i="39"/>
  <c r="AC55" i="39"/>
  <c r="W55" i="39"/>
  <c r="AB63" i="39"/>
  <c r="AK63" i="39"/>
  <c r="AD63" i="39"/>
  <c r="W60" i="39"/>
  <c r="X60" i="39"/>
  <c r="AE62" i="39"/>
  <c r="AE64" i="39"/>
  <c r="AG53" i="39"/>
  <c r="AA53" i="39"/>
  <c r="W20" i="39"/>
  <c r="W38" i="39"/>
  <c r="W43" i="39"/>
  <c r="X34" i="39"/>
  <c r="X24" i="39"/>
  <c r="X9" i="39"/>
  <c r="W29" i="39"/>
  <c r="X13" i="39"/>
  <c r="W4" i="39"/>
  <c r="X18" i="39"/>
  <c r="X40" i="39"/>
  <c r="X10" i="39"/>
  <c r="X36" i="39"/>
  <c r="W7" i="39"/>
  <c r="X47" i="39"/>
  <c r="X27" i="39"/>
  <c r="X17" i="39"/>
  <c r="W37" i="39"/>
  <c r="X51" i="39"/>
  <c r="X5" i="39"/>
  <c r="X44" i="39"/>
  <c r="W49" i="39"/>
  <c r="X41" i="39"/>
  <c r="X30" i="39"/>
  <c r="W6" i="39"/>
  <c r="X23" i="39"/>
  <c r="W32" i="39"/>
  <c r="W46" i="39"/>
  <c r="X48" i="39"/>
  <c r="W42" i="39"/>
  <c r="W16" i="39"/>
  <c r="X21" i="39"/>
  <c r="X25" i="39"/>
  <c r="W31" i="39"/>
  <c r="X39" i="39"/>
  <c r="W36" i="39"/>
  <c r="X22" i="39"/>
  <c r="W10" i="39"/>
  <c r="W17" i="39"/>
  <c r="X26" i="39"/>
  <c r="W34" i="39"/>
  <c r="W41" i="39"/>
  <c r="W26" i="39"/>
  <c r="X6" i="39"/>
  <c r="W13" i="39"/>
  <c r="W44" i="39"/>
  <c r="W51" i="39"/>
  <c r="W24" i="39"/>
  <c r="X8" i="39"/>
  <c r="W22" i="39"/>
  <c r="W50" i="39"/>
  <c r="W18" i="39"/>
  <c r="X37" i="39"/>
  <c r="W9" i="39"/>
  <c r="X45" i="39"/>
  <c r="W2" i="39"/>
  <c r="W8" i="39"/>
  <c r="X19" i="39"/>
  <c r="W35" i="39"/>
  <c r="X35" i="39"/>
  <c r="W23" i="39"/>
  <c r="W40" i="39"/>
  <c r="W19" i="39"/>
  <c r="X29" i="39"/>
  <c r="W48" i="39"/>
  <c r="W28" i="39"/>
  <c r="W14" i="39"/>
  <c r="X3" i="39"/>
  <c r="W11" i="39"/>
  <c r="X14" i="39"/>
  <c r="X50" i="39"/>
  <c r="X28" i="39"/>
  <c r="X11" i="39"/>
  <c r="X31" i="39"/>
  <c r="W39" i="39"/>
  <c r="X32" i="39"/>
  <c r="X7" i="39"/>
  <c r="X38" i="39"/>
  <c r="X16" i="39"/>
  <c r="X4" i="39"/>
  <c r="W45" i="39"/>
  <c r="W25" i="39"/>
  <c r="X46" i="39"/>
  <c r="W12" i="39"/>
  <c r="W47" i="39"/>
  <c r="X20" i="39"/>
  <c r="B2" i="43"/>
  <c r="Q2" i="39"/>
  <c r="X43" i="39"/>
  <c r="W30" i="39"/>
  <c r="X49" i="39"/>
  <c r="W27" i="39"/>
  <c r="W33" i="39"/>
  <c r="X33" i="39"/>
  <c r="W21" i="39"/>
  <c r="W5" i="39"/>
  <c r="X15" i="39"/>
  <c r="AR51" i="39"/>
  <c r="AQ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AR49" i="39"/>
  <c r="AQ49" i="39"/>
  <c r="AM49" i="39"/>
  <c r="AL49" i="39"/>
  <c r="AK49" i="39"/>
  <c r="AJ49" i="39"/>
  <c r="AI49" i="39"/>
  <c r="AG49" i="39"/>
  <c r="AD49" i="39"/>
  <c r="AC49" i="39"/>
  <c r="AT49" i="39"/>
  <c r="AO49" i="39" s="1"/>
  <c r="AB49" i="39"/>
  <c r="AE49" i="39" s="1"/>
  <c r="AR48" i="39"/>
  <c r="AQ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AR47" i="39"/>
  <c r="AQ47" i="39"/>
  <c r="AM47" i="39"/>
  <c r="AL47" i="39"/>
  <c r="AK47" i="39"/>
  <c r="AJ47" i="39"/>
  <c r="AI47" i="39"/>
  <c r="AG47" i="39"/>
  <c r="AD47" i="39"/>
  <c r="AC47" i="39"/>
  <c r="AT47" i="39"/>
  <c r="AO47" i="39" s="1"/>
  <c r="AB47" i="39"/>
  <c r="AE47" i="39" s="1"/>
  <c r="AT46" i="39"/>
  <c r="AO46" i="39" s="1"/>
  <c r="AR46" i="39"/>
  <c r="AQ46" i="39"/>
  <c r="AM46" i="39"/>
  <c r="AL46" i="39"/>
  <c r="AK46" i="39"/>
  <c r="AJ46" i="39"/>
  <c r="AI46" i="39"/>
  <c r="AD46" i="39"/>
  <c r="AC46" i="39"/>
  <c r="AB46" i="39"/>
  <c r="AE46" i="39" s="1"/>
  <c r="AR45" i="39"/>
  <c r="AQ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AT44" i="39"/>
  <c r="AR44" i="39"/>
  <c r="AQ44" i="39"/>
  <c r="AM44" i="39"/>
  <c r="AL44" i="39"/>
  <c r="AK44" i="39"/>
  <c r="AJ44" i="39"/>
  <c r="AI44" i="39"/>
  <c r="AG44" i="39"/>
  <c r="AD44" i="39"/>
  <c r="AC44" i="39"/>
  <c r="AB44" i="39"/>
  <c r="AE44" i="39" s="1"/>
  <c r="AR43" i="39"/>
  <c r="AQ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M41" i="39"/>
  <c r="AL41" i="39"/>
  <c r="AK41" i="39"/>
  <c r="AJ41" i="39"/>
  <c r="AI41" i="39"/>
  <c r="AG41" i="39"/>
  <c r="AD41" i="39"/>
  <c r="AC41" i="39"/>
  <c r="AT41" i="39"/>
  <c r="AO41" i="39" s="1"/>
  <c r="AB41" i="39"/>
  <c r="AE41" i="39" s="1"/>
  <c r="AR40" i="39"/>
  <c r="AQ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AR37" i="39"/>
  <c r="AQ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AR36" i="39"/>
  <c r="AQ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AR35" i="39"/>
  <c r="AQ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AR33" i="39"/>
  <c r="AQ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AR32" i="39"/>
  <c r="AQ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AT31" i="39"/>
  <c r="AR31" i="39"/>
  <c r="AQ31" i="39"/>
  <c r="AM31" i="39"/>
  <c r="AL31" i="39"/>
  <c r="AK31" i="39"/>
  <c r="AJ31" i="39"/>
  <c r="AI31" i="39"/>
  <c r="AG31" i="39"/>
  <c r="AD31" i="39"/>
  <c r="AC31" i="39"/>
  <c r="AB31" i="39"/>
  <c r="AE31" i="39" s="1"/>
  <c r="AT30" i="39"/>
  <c r="AR30" i="39"/>
  <c r="AQ30" i="39"/>
  <c r="AM30" i="39"/>
  <c r="AL30" i="39"/>
  <c r="AK30" i="39"/>
  <c r="AJ30" i="39"/>
  <c r="AI30" i="39"/>
  <c r="AG30" i="39"/>
  <c r="AD30" i="39"/>
  <c r="AC30" i="39"/>
  <c r="AB30" i="39"/>
  <c r="AE30" i="39" s="1"/>
  <c r="AR29" i="39"/>
  <c r="AQ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AR28" i="39"/>
  <c r="AQ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AR26" i="39"/>
  <c r="AQ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AT25" i="39"/>
  <c r="AR25" i="39"/>
  <c r="AQ25" i="39"/>
  <c r="AM25" i="39"/>
  <c r="AL25" i="39"/>
  <c r="AK25" i="39"/>
  <c r="AJ25" i="39"/>
  <c r="AI25" i="39"/>
  <c r="AG25" i="39"/>
  <c r="AD25" i="39"/>
  <c r="AC25" i="39"/>
  <c r="AB25" i="39"/>
  <c r="AE25" i="39" s="1"/>
  <c r="AR24" i="39"/>
  <c r="AQ24" i="39"/>
  <c r="AM24" i="39"/>
  <c r="AL24" i="39"/>
  <c r="AK24" i="39"/>
  <c r="AJ24" i="39"/>
  <c r="AI24" i="39"/>
  <c r="AG24" i="39"/>
  <c r="AD24" i="39"/>
  <c r="AC24" i="39"/>
  <c r="AT24" i="39"/>
  <c r="AO24" i="39" s="1"/>
  <c r="AB24" i="39"/>
  <c r="AE24" i="39" s="1"/>
  <c r="AR23" i="39"/>
  <c r="AQ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AR22" i="39"/>
  <c r="AQ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AR21" i="39"/>
  <c r="AQ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AR20" i="39"/>
  <c r="AQ20" i="39"/>
  <c r="AM20" i="39"/>
  <c r="AL20" i="39"/>
  <c r="AK20" i="39"/>
  <c r="AJ20" i="39"/>
  <c r="AI20" i="39"/>
  <c r="AG20" i="39"/>
  <c r="AD20" i="39"/>
  <c r="AC20" i="39"/>
  <c r="AT20" i="39"/>
  <c r="AO20" i="39" s="1"/>
  <c r="AB20" i="39"/>
  <c r="AE20" i="39" s="1"/>
  <c r="AH20" i="39"/>
  <c r="AR19" i="39"/>
  <c r="AQ19" i="39"/>
  <c r="AM19" i="39"/>
  <c r="AL19" i="39"/>
  <c r="AK19" i="39"/>
  <c r="AJ19" i="39"/>
  <c r="AI19" i="39"/>
  <c r="AG19" i="39"/>
  <c r="AD19" i="39"/>
  <c r="AC19" i="39"/>
  <c r="AT19" i="39"/>
  <c r="AO19" i="39" s="1"/>
  <c r="AB19" i="39"/>
  <c r="AE19" i="39" s="1"/>
  <c r="AH19" i="39"/>
  <c r="AR18" i="39"/>
  <c r="AQ18" i="39"/>
  <c r="AM18" i="39"/>
  <c r="AL18" i="39"/>
  <c r="AK18" i="39"/>
  <c r="AJ18" i="39"/>
  <c r="AI18" i="39"/>
  <c r="AG18" i="39"/>
  <c r="AD18" i="39"/>
  <c r="AC18" i="39"/>
  <c r="AT18" i="39"/>
  <c r="AO18" i="39" s="1"/>
  <c r="AB18" i="39"/>
  <c r="AE18" i="39" s="1"/>
  <c r="AH18" i="39"/>
  <c r="AT17" i="39"/>
  <c r="AR17" i="39"/>
  <c r="AQ17" i="39"/>
  <c r="AM17" i="39"/>
  <c r="AL17" i="39"/>
  <c r="AK17" i="39"/>
  <c r="AJ17" i="39"/>
  <c r="AI17" i="39"/>
  <c r="AG17" i="39"/>
  <c r="AD17" i="39"/>
  <c r="AC17" i="39"/>
  <c r="AB17" i="39"/>
  <c r="AE17" i="39" s="1"/>
  <c r="AR16" i="39"/>
  <c r="AQ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M15" i="39"/>
  <c r="AL15" i="39"/>
  <c r="AK15" i="39"/>
  <c r="AJ15" i="39"/>
  <c r="AI15" i="39"/>
  <c r="AG15" i="39"/>
  <c r="AD15" i="39"/>
  <c r="AC15" i="39"/>
  <c r="AT15" i="39"/>
  <c r="AO15" i="39" s="1"/>
  <c r="AB15" i="39"/>
  <c r="AE15" i="39" s="1"/>
  <c r="AR14" i="39"/>
  <c r="AQ14" i="39"/>
  <c r="AM14" i="39"/>
  <c r="AL14" i="39"/>
  <c r="AK14" i="39"/>
  <c r="AJ14" i="39"/>
  <c r="AI14" i="39"/>
  <c r="AG14" i="39"/>
  <c r="AD14" i="39"/>
  <c r="AC14" i="39"/>
  <c r="AT14" i="39"/>
  <c r="AO14" i="39" s="1"/>
  <c r="AB14" i="39"/>
  <c r="AE14" i="39" s="1"/>
  <c r="AR13" i="39"/>
  <c r="AQ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AR12" i="39"/>
  <c r="AQ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M11" i="39"/>
  <c r="AL11" i="39"/>
  <c r="AK11" i="39"/>
  <c r="AJ11" i="39"/>
  <c r="AI11" i="39"/>
  <c r="AG11" i="39"/>
  <c r="AC11" i="39"/>
  <c r="AT11" i="39"/>
  <c r="AO11" i="39" s="1"/>
  <c r="AB11" i="39"/>
  <c r="AE11" i="39" s="1"/>
  <c r="AH11" i="39"/>
  <c r="AR10" i="39"/>
  <c r="AQ10" i="39"/>
  <c r="AM10" i="39"/>
  <c r="AL10" i="39"/>
  <c r="AK10" i="39"/>
  <c r="AJ10" i="39"/>
  <c r="AI10" i="39"/>
  <c r="AG10" i="39"/>
  <c r="AC10" i="39"/>
  <c r="AT10" i="39"/>
  <c r="AB10" i="39"/>
  <c r="AE10" i="39" s="1"/>
  <c r="AR9" i="39"/>
  <c r="AQ9" i="39"/>
  <c r="AM9" i="39"/>
  <c r="AL9" i="39"/>
  <c r="AK9" i="39"/>
  <c r="AJ9" i="39"/>
  <c r="AI9" i="39"/>
  <c r="AG9" i="39"/>
  <c r="AC9" i="39"/>
  <c r="AT9" i="39"/>
  <c r="AB9" i="39"/>
  <c r="AE9" i="39" s="1"/>
  <c r="AR8" i="39"/>
  <c r="AQ8" i="39"/>
  <c r="AM8" i="39"/>
  <c r="AL8" i="39"/>
  <c r="AK8" i="39"/>
  <c r="AJ8" i="39"/>
  <c r="AI8" i="39"/>
  <c r="AG8" i="39"/>
  <c r="AC8" i="39"/>
  <c r="AT8" i="39"/>
  <c r="AB8" i="39"/>
  <c r="AE8" i="39" s="1"/>
  <c r="AR7" i="39"/>
  <c r="AQ7" i="39"/>
  <c r="AM7" i="39"/>
  <c r="AL7" i="39"/>
  <c r="AK7" i="39"/>
  <c r="AJ7" i="39"/>
  <c r="AI7" i="39"/>
  <c r="AG7" i="39"/>
  <c r="AC7" i="39"/>
  <c r="AT7" i="39"/>
  <c r="AB7" i="39"/>
  <c r="AE7" i="39" s="1"/>
  <c r="AR6" i="39"/>
  <c r="AQ6" i="39"/>
  <c r="AM6" i="39"/>
  <c r="AL6" i="39"/>
  <c r="AK6" i="39"/>
  <c r="AJ6" i="39"/>
  <c r="AI6" i="39"/>
  <c r="AG6" i="39"/>
  <c r="AC6" i="39"/>
  <c r="AB6" i="39"/>
  <c r="AE6" i="39" s="1"/>
  <c r="AR5" i="39"/>
  <c r="AQ5" i="39"/>
  <c r="AM5" i="39"/>
  <c r="AL5" i="39"/>
  <c r="AK5" i="39"/>
  <c r="AJ5" i="39"/>
  <c r="AI5" i="39"/>
  <c r="AG5" i="39"/>
  <c r="AC5" i="39"/>
  <c r="AB5" i="39"/>
  <c r="AE5" i="39" s="1"/>
  <c r="AH5" i="39"/>
  <c r="AR4" i="39"/>
  <c r="AQ4" i="39"/>
  <c r="AM4" i="39"/>
  <c r="AL4" i="39"/>
  <c r="AK4" i="39"/>
  <c r="AJ4" i="39"/>
  <c r="AI4" i="39"/>
  <c r="AG4" i="39"/>
  <c r="AC4" i="39"/>
  <c r="AB4" i="39"/>
  <c r="AE4" i="39" s="1"/>
  <c r="AH4" i="39"/>
  <c r="AR3" i="39"/>
  <c r="AQ3" i="39"/>
  <c r="AM3" i="39"/>
  <c r="AL3" i="39"/>
  <c r="AK3" i="39"/>
  <c r="AJ3" i="39"/>
  <c r="AI3" i="39"/>
  <c r="AG3" i="39"/>
  <c r="AC3" i="39"/>
  <c r="AE3" i="39"/>
  <c r="AR2" i="39"/>
  <c r="AQ2" i="39"/>
  <c r="AM2" i="39"/>
  <c r="AL2" i="39"/>
  <c r="AK2" i="39"/>
  <c r="AJ2" i="39"/>
  <c r="AI2" i="39"/>
  <c r="AG2" i="39"/>
  <c r="AC2" i="39"/>
  <c r="AT2" i="39"/>
  <c r="AO2" i="39" s="1"/>
  <c r="AE2" i="39"/>
  <c r="AQ66" i="39" l="1"/>
  <c r="AN12" i="39"/>
  <c r="AG60" i="39"/>
  <c r="AQ52" i="39"/>
  <c r="X72" i="39"/>
  <c r="AG70" i="39"/>
  <c r="AC69" i="39"/>
  <c r="W59" i="39"/>
  <c r="AQ59" i="39"/>
  <c r="AN42" i="39"/>
  <c r="W72" i="39"/>
  <c r="X55" i="39"/>
  <c r="AQ73" i="39"/>
  <c r="AQ61" i="39"/>
  <c r="AN32" i="39"/>
  <c r="X65" i="39"/>
  <c r="AN38" i="39"/>
  <c r="AC65" i="39"/>
  <c r="AN30" i="39"/>
  <c r="X71" i="39"/>
  <c r="AC72" i="39"/>
  <c r="AC71" i="39"/>
  <c r="W65" i="39"/>
  <c r="AN27" i="39"/>
  <c r="AC67" i="39"/>
  <c r="X66" i="39"/>
  <c r="AN9" i="39"/>
  <c r="AG46" i="39"/>
  <c r="W15" i="39"/>
  <c r="X42" i="39"/>
  <c r="W3" i="39"/>
  <c r="X12" i="39"/>
  <c r="AC60" i="39"/>
  <c r="AG72" i="39"/>
  <c r="X67" i="39"/>
  <c r="AC66" i="39"/>
  <c r="AN37" i="39"/>
  <c r="AN6" i="39"/>
  <c r="X69" i="39"/>
  <c r="W67" i="39"/>
  <c r="W66" i="39"/>
  <c r="AN33" i="39"/>
  <c r="AN4" i="39"/>
  <c r="AN21" i="39"/>
  <c r="AN43" i="39"/>
  <c r="AN22" i="39"/>
  <c r="AN18" i="39"/>
  <c r="AN13" i="39"/>
  <c r="W69" i="39"/>
  <c r="AN20" i="39"/>
  <c r="AN19" i="39"/>
  <c r="AN41" i="39"/>
  <c r="AN60" i="39"/>
  <c r="AN24" i="39"/>
  <c r="AN7" i="39"/>
  <c r="AN64" i="39"/>
  <c r="AN36" i="39"/>
  <c r="AN47" i="39"/>
  <c r="AN69" i="39"/>
  <c r="AN14" i="39"/>
  <c r="AN15" i="39"/>
  <c r="AN39" i="39"/>
  <c r="AN71" i="39"/>
  <c r="AN11" i="39"/>
  <c r="AN2" i="39"/>
  <c r="AN3" i="39"/>
  <c r="AN8" i="39"/>
  <c r="X2" i="39"/>
  <c r="AN61" i="39"/>
  <c r="AN34" i="39"/>
  <c r="AN52" i="39"/>
  <c r="AN28" i="39"/>
  <c r="U73" i="39"/>
  <c r="V73" i="39"/>
  <c r="U60" i="39"/>
  <c r="V60" i="39"/>
  <c r="U28" i="39"/>
  <c r="V28" i="39"/>
  <c r="U11" i="39"/>
  <c r="V11" i="39"/>
  <c r="AV11" i="39" s="1"/>
  <c r="U36" i="39"/>
  <c r="V36" i="39"/>
  <c r="U46" i="39"/>
  <c r="V46" i="39"/>
  <c r="AV46" i="39" s="1"/>
  <c r="V45" i="39"/>
  <c r="AV45" i="39" s="1"/>
  <c r="U45" i="39"/>
  <c r="U62" i="39"/>
  <c r="V62" i="39"/>
  <c r="V47" i="39"/>
  <c r="U47" i="39"/>
  <c r="U22" i="39"/>
  <c r="V22" i="39"/>
  <c r="AU22" i="39" s="1"/>
  <c r="U15" i="39"/>
  <c r="V15" i="39"/>
  <c r="V25" i="39"/>
  <c r="AU25" i="39" s="1"/>
  <c r="U25" i="39"/>
  <c r="V27" i="39"/>
  <c r="U27" i="39"/>
  <c r="U35" i="39"/>
  <c r="V35" i="39"/>
  <c r="AV35" i="39" s="1"/>
  <c r="U59" i="39"/>
  <c r="V59" i="39"/>
  <c r="U52" i="39"/>
  <c r="V52" i="39"/>
  <c r="U56" i="39"/>
  <c r="V56" i="39"/>
  <c r="U38" i="39"/>
  <c r="V38" i="39"/>
  <c r="AV38" i="39" s="1"/>
  <c r="U10" i="39"/>
  <c r="V10" i="39"/>
  <c r="AV10" i="39" s="1"/>
  <c r="V37" i="39"/>
  <c r="AV37" i="39" s="1"/>
  <c r="U37" i="39"/>
  <c r="V53" i="39"/>
  <c r="U53" i="39"/>
  <c r="U70" i="39"/>
  <c r="V70" i="39"/>
  <c r="V55" i="39"/>
  <c r="U55" i="39"/>
  <c r="U57" i="39"/>
  <c r="V57" i="39"/>
  <c r="U68" i="39"/>
  <c r="V68" i="39"/>
  <c r="U65" i="39"/>
  <c r="V65" i="39"/>
  <c r="U66" i="39"/>
  <c r="V66" i="39"/>
  <c r="U9" i="39"/>
  <c r="V9" i="39"/>
  <c r="AU9" i="39" s="1"/>
  <c r="V21" i="39"/>
  <c r="AS21" i="39" s="1"/>
  <c r="U21" i="39"/>
  <c r="U29" i="39"/>
  <c r="V29" i="39"/>
  <c r="AS29" i="39" s="1"/>
  <c r="U16" i="39"/>
  <c r="V16" i="39"/>
  <c r="V43" i="39"/>
  <c r="AU43" i="39" s="1"/>
  <c r="U43" i="39"/>
  <c r="V51" i="39"/>
  <c r="U51" i="39"/>
  <c r="U71" i="39"/>
  <c r="V71" i="39"/>
  <c r="U54" i="39"/>
  <c r="V54" i="39"/>
  <c r="U20" i="39"/>
  <c r="V20" i="39"/>
  <c r="AV20" i="39" s="1"/>
  <c r="U19" i="39"/>
  <c r="V19" i="39"/>
  <c r="U44" i="39"/>
  <c r="V44" i="39"/>
  <c r="AV44" i="39" s="1"/>
  <c r="U58" i="39"/>
  <c r="V58" i="39"/>
  <c r="U72" i="39"/>
  <c r="V72" i="39"/>
  <c r="U8" i="39"/>
  <c r="V8" i="39"/>
  <c r="V23" i="39"/>
  <c r="AV23" i="39" s="1"/>
  <c r="U23" i="39"/>
  <c r="V49" i="39"/>
  <c r="U49" i="39"/>
  <c r="V31" i="39"/>
  <c r="AV31" i="39" s="1"/>
  <c r="U31" i="39"/>
  <c r="U69" i="39"/>
  <c r="V69" i="39"/>
  <c r="U67" i="39"/>
  <c r="V67" i="39"/>
  <c r="U63" i="39"/>
  <c r="V63" i="39"/>
  <c r="U34" i="39"/>
  <c r="V34" i="39"/>
  <c r="AU34" i="39" s="1"/>
  <c r="V41" i="39"/>
  <c r="U41" i="39"/>
  <c r="U14" i="39"/>
  <c r="V14" i="39"/>
  <c r="AU14" i="39" s="1"/>
  <c r="V50" i="39"/>
  <c r="AU50" i="39" s="1"/>
  <c r="U50" i="39"/>
  <c r="U13" i="39"/>
  <c r="V13" i="39"/>
  <c r="AV13" i="39" s="1"/>
  <c r="U7" i="39"/>
  <c r="V7" i="39"/>
  <c r="U30" i="39"/>
  <c r="V30" i="39"/>
  <c r="AU30" i="39" s="1"/>
  <c r="U48" i="39"/>
  <c r="V48" i="39"/>
  <c r="U18" i="39"/>
  <c r="V18" i="39"/>
  <c r="AS18" i="39" s="1"/>
  <c r="V33" i="39"/>
  <c r="AU33" i="39" s="1"/>
  <c r="U33" i="39"/>
  <c r="U26" i="39"/>
  <c r="V26" i="39"/>
  <c r="AV26" i="39" s="1"/>
  <c r="V61" i="39"/>
  <c r="U61" i="39"/>
  <c r="U64" i="39"/>
  <c r="V64" i="39"/>
  <c r="U32" i="39"/>
  <c r="V32" i="39"/>
  <c r="AV32" i="39" s="1"/>
  <c r="U6" i="39"/>
  <c r="V6" i="39"/>
  <c r="AU6" i="39" s="1"/>
  <c r="U42" i="39"/>
  <c r="V42" i="39"/>
  <c r="U3" i="39"/>
  <c r="V3" i="39"/>
  <c r="U5" i="39"/>
  <c r="V5" i="39"/>
  <c r="V39" i="39"/>
  <c r="U39" i="39"/>
  <c r="U24" i="39"/>
  <c r="V24" i="39"/>
  <c r="AU24" i="39" s="1"/>
  <c r="V2" i="39"/>
  <c r="AU2" i="39" s="1"/>
  <c r="U2" i="39"/>
  <c r="U4" i="39"/>
  <c r="V4" i="39"/>
  <c r="U12" i="39"/>
  <c r="V12" i="39"/>
  <c r="AV12" i="39" s="1"/>
  <c r="U17" i="39"/>
  <c r="V17" i="39"/>
  <c r="AS17" i="39" s="1"/>
  <c r="U40" i="39"/>
  <c r="V40" i="39"/>
  <c r="AV40" i="39" s="1"/>
  <c r="AH70" i="39"/>
  <c r="AH59" i="39"/>
  <c r="AH71" i="39"/>
  <c r="AH69" i="39"/>
  <c r="AH64" i="39"/>
  <c r="AH68" i="39"/>
  <c r="AH60" i="39"/>
  <c r="AH52" i="39"/>
  <c r="AH62" i="39"/>
  <c r="AH56" i="39"/>
  <c r="AH54" i="39"/>
  <c r="AH63" i="39"/>
  <c r="AH66" i="39"/>
  <c r="AH57" i="39"/>
  <c r="AH72" i="39"/>
  <c r="AH58" i="39"/>
  <c r="AH55" i="39"/>
  <c r="AH61" i="39"/>
  <c r="AH53" i="39"/>
  <c r="AH67" i="39"/>
  <c r="AH65" i="39"/>
  <c r="AH73" i="39"/>
  <c r="AO23" i="39"/>
  <c r="AO50" i="39"/>
  <c r="AO12" i="39"/>
  <c r="AO22" i="39"/>
  <c r="AO38" i="39"/>
  <c r="AO9" i="39"/>
  <c r="AO25" i="39"/>
  <c r="AO28" i="39"/>
  <c r="AO36" i="39"/>
  <c r="AO44" i="39"/>
  <c r="AO10" i="39"/>
  <c r="AO29" i="39"/>
  <c r="AO8" i="39"/>
  <c r="AO21" i="39"/>
  <c r="AO48" i="39"/>
  <c r="AO31" i="39"/>
  <c r="AO16" i="39"/>
  <c r="AO34" i="39"/>
  <c r="AO26" i="39"/>
  <c r="AO33" i="39"/>
  <c r="AO45" i="39"/>
  <c r="AO51" i="39"/>
  <c r="AO37" i="39"/>
  <c r="AO35" i="39"/>
  <c r="AO27" i="39"/>
  <c r="AO30" i="39"/>
  <c r="AO32" i="39"/>
  <c r="AO39" i="39"/>
  <c r="AO13" i="39"/>
  <c r="AO17" i="39"/>
  <c r="AH33" i="39"/>
  <c r="AV19" i="39"/>
  <c r="AT3" i="39"/>
  <c r="AT43" i="39"/>
  <c r="AH45" i="39"/>
  <c r="AH50" i="39"/>
  <c r="AH36" i="39"/>
  <c r="AS10" i="39"/>
  <c r="AT5" i="39"/>
  <c r="AS36" i="39"/>
  <c r="AH46" i="39"/>
  <c r="AT4" i="39"/>
  <c r="AH48" i="39"/>
  <c r="AH29" i="39"/>
  <c r="AH13" i="39"/>
  <c r="AH31" i="39"/>
  <c r="AH41" i="39"/>
  <c r="AU48" i="39"/>
  <c r="AS22" i="39"/>
  <c r="AH10" i="39"/>
  <c r="AV27" i="39"/>
  <c r="AS33" i="39"/>
  <c r="AH2" i="39"/>
  <c r="AH7" i="39"/>
  <c r="AH14" i="39"/>
  <c r="AH16" i="39"/>
  <c r="AH6" i="39"/>
  <c r="AH3" i="39"/>
  <c r="AH8" i="39"/>
  <c r="AH15" i="39"/>
  <c r="AH22" i="39"/>
  <c r="AH23" i="39"/>
  <c r="AH37" i="39"/>
  <c r="AU41" i="39"/>
  <c r="AS41" i="39"/>
  <c r="AT42" i="39"/>
  <c r="AH51" i="39"/>
  <c r="AH21" i="39"/>
  <c r="AH24" i="39"/>
  <c r="AH25" i="39"/>
  <c r="AH30" i="39"/>
  <c r="AH9" i="39"/>
  <c r="AH17" i="39"/>
  <c r="AS23" i="39"/>
  <c r="AV33" i="39"/>
  <c r="AV41" i="39"/>
  <c r="AH44" i="39"/>
  <c r="AH28" i="39"/>
  <c r="AH47" i="39"/>
  <c r="AH39" i="39"/>
  <c r="AT40" i="39"/>
  <c r="AH42" i="39"/>
  <c r="AV22" i="39"/>
  <c r="AH27" i="39"/>
  <c r="AH34" i="39"/>
  <c r="AU46" i="39"/>
  <c r="AS46" i="39"/>
  <c r="AH49" i="39"/>
  <c r="AU32" i="39"/>
  <c r="AS32" i="39"/>
  <c r="AH38" i="39"/>
  <c r="AH26" i="39"/>
  <c r="AH32" i="39"/>
  <c r="AU45" i="39"/>
  <c r="AS45" i="39"/>
  <c r="AS30" i="39" l="1"/>
  <c r="AS26" i="39"/>
  <c r="AS14" i="39"/>
  <c r="AV25" i="39"/>
  <c r="AU31" i="39"/>
  <c r="AS25" i="39"/>
  <c r="AU10" i="39"/>
  <c r="AS13" i="39"/>
  <c r="AS34" i="39"/>
  <c r="AV14" i="39"/>
  <c r="AV30" i="39"/>
  <c r="AS2" i="39"/>
  <c r="AV34" i="39"/>
  <c r="AU26" i="39"/>
  <c r="AS44" i="39"/>
  <c r="AU44" i="39"/>
  <c r="AU13" i="39"/>
  <c r="AV2" i="39"/>
  <c r="AS37" i="39"/>
  <c r="AS31" i="39"/>
  <c r="AU37" i="39"/>
  <c r="AU23" i="39"/>
  <c r="AU17" i="39"/>
  <c r="AS9" i="39"/>
  <c r="AS24" i="39"/>
  <c r="AV24" i="39"/>
  <c r="AV17" i="39"/>
  <c r="AV9" i="39"/>
  <c r="AU12" i="39"/>
  <c r="AS65" i="39"/>
  <c r="AU65" i="39"/>
  <c r="AV65" i="39"/>
  <c r="AS57" i="39"/>
  <c r="AU57" i="39"/>
  <c r="AV57" i="39"/>
  <c r="AS69" i="39"/>
  <c r="AV69" i="39"/>
  <c r="AU69" i="39"/>
  <c r="AS63" i="39"/>
  <c r="AU63" i="39"/>
  <c r="AV63" i="39"/>
  <c r="AU62" i="39"/>
  <c r="AV62" i="39"/>
  <c r="AS62" i="39"/>
  <c r="AS55" i="39"/>
  <c r="AV55" i="39"/>
  <c r="AU55" i="39"/>
  <c r="AU54" i="39"/>
  <c r="AV54" i="39"/>
  <c r="AS54" i="39"/>
  <c r="AS52" i="39"/>
  <c r="AU52" i="39"/>
  <c r="AV52" i="39"/>
  <c r="AV64" i="39"/>
  <c r="AS64" i="39"/>
  <c r="AU64" i="39"/>
  <c r="AU53" i="39"/>
  <c r="AS53" i="39"/>
  <c r="AV53" i="39"/>
  <c r="AS60" i="39"/>
  <c r="AV60" i="39"/>
  <c r="AU60" i="39"/>
  <c r="AS71" i="39"/>
  <c r="AU71" i="39"/>
  <c r="AV71" i="39"/>
  <c r="AS72" i="39"/>
  <c r="AU72" i="39"/>
  <c r="AV72" i="39"/>
  <c r="AS67" i="39"/>
  <c r="AU67" i="39"/>
  <c r="AV67" i="39"/>
  <c r="AU61" i="39"/>
  <c r="AV61" i="39"/>
  <c r="AS61" i="39"/>
  <c r="AV56" i="39"/>
  <c r="AU56" i="39"/>
  <c r="AS56" i="39"/>
  <c r="AU73" i="39"/>
  <c r="AV73" i="39"/>
  <c r="AS73" i="39"/>
  <c r="AV58" i="39"/>
  <c r="AS58" i="39"/>
  <c r="AU58" i="39"/>
  <c r="AV66" i="39"/>
  <c r="AS66" i="39"/>
  <c r="AU66" i="39"/>
  <c r="AS59" i="39"/>
  <c r="AU59" i="39"/>
  <c r="AV59" i="39"/>
  <c r="AV70" i="39"/>
  <c r="AS70" i="39"/>
  <c r="AU70" i="39"/>
  <c r="AV68" i="39"/>
  <c r="AU68" i="39"/>
  <c r="AS68" i="39"/>
  <c r="AU35" i="39"/>
  <c r="AS35" i="39"/>
  <c r="AS11" i="39"/>
  <c r="AO40" i="39"/>
  <c r="AO5" i="39"/>
  <c r="AO43" i="39"/>
  <c r="AO42" i="39"/>
  <c r="AO4" i="39"/>
  <c r="AO3" i="39"/>
  <c r="AS12" i="39"/>
  <c r="AU11" i="39"/>
  <c r="AV29" i="39"/>
  <c r="AV21" i="39"/>
  <c r="AV50" i="39"/>
  <c r="AU21" i="39"/>
  <c r="AS20" i="39"/>
  <c r="AU20" i="39"/>
  <c r="AS19" i="39"/>
  <c r="AS50" i="39"/>
  <c r="AU29" i="39"/>
  <c r="AU38" i="39"/>
  <c r="AS38" i="39"/>
  <c r="AU19" i="39"/>
  <c r="AU40" i="39"/>
  <c r="AS5" i="39"/>
  <c r="AU36" i="39"/>
  <c r="AU5" i="39"/>
  <c r="AS43" i="39"/>
  <c r="AS27" i="39"/>
  <c r="AV36" i="39"/>
  <c r="AU27" i="39"/>
  <c r="AV5" i="39"/>
  <c r="AV43" i="39"/>
  <c r="AV6" i="39"/>
  <c r="AV48" i="39"/>
  <c r="AS48" i="39"/>
  <c r="AV18" i="39"/>
  <c r="AU1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S3" i="39"/>
  <c r="AV3" i="39"/>
  <c r="AU3" i="39"/>
  <c r="AT6" i="39" l="1"/>
  <c r="AS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<sst xmlns="http://schemas.openxmlformats.org/spreadsheetml/2006/main" count="33770" uniqueCount="28484">
  <si>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</si>
  <si>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</si>
  <si>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</si>
  <si>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</si>
  <si>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</si>
  <si>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</si>
  <si>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</si>
  <si>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</si>
  <si>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</si>
  <si>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</si>
  <si>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</si>
  <si>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</si>
  <si>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</si>
  <si>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</si>
  <si>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</si>
  <si>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</si>
  <si>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</si>
  <si>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</si>
  <si>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</si>
  <si>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</si>
  <si>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</si>
  <si>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</si>
  <si>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</si>
  <si>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</si>
  <si>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</si>
  <si>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</si>
  <si>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</si>
  <si>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</si>
  <si>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</si>
  <si>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</si>
  <si>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</si>
  <si>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</si>
  <si>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</si>
  <si>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</si>
  <si>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</si>
  <si>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</si>
  <si>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</si>
  <si>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</si>
  <si>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</si>
  <si>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</si>
  <si>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</si>
  <si>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</si>
  <si>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</si>
  <si>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</si>
  <si>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</si>
  <si>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</si>
  <si>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</si>
  <si>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</si>
  <si>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</si>
  <si>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</si>
  <si>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</si>
  <si>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</si>
  <si>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</si>
  <si>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</si>
  <si>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</si>
  <si>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</si>
  <si>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</si>
  <si>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</si>
  <si>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</si>
  <si>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</si>
  <si>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</si>
  <si>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</si>
  <si>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</si>
  <si>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</si>
  <si>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</si>
  <si>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</si>
  <si>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</si>
  <si>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</si>
  <si>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</si>
  <si>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</si>
  <si>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</si>
  <si>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</si>
  <si>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</si>
  <si>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</si>
  <si>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</si>
  <si>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</si>
  <si>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</si>
  <si>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</si>
  <si>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</si>
  <si>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</si>
  <si>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</si>
  <si>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</si>
  <si>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</si>
  <si>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</si>
  <si>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</si>
  <si>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</si>
  <si>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</si>
  <si>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</si>
  <si>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</si>
  <si>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</si>
  <si>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</si>
  <si>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</si>
  <si>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</si>
  <si>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</si>
  <si>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</si>
  <si>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</si>
  <si>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</si>
  <si>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</si>
  <si>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</si>
  <si>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</si>
  <si>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</si>
  <si>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</si>
  <si>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</si>
  <si>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</si>
  <si>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</si>
  <si>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</si>
  <si>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</si>
  <si>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</si>
  <si>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</si>
  <si>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</si>
  <si>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</si>
  <si>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</si>
  <si>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</si>
  <si>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</si>
  <si>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</si>
  <si>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</si>
  <si>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</si>
  <si>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</si>
  <si>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</si>
  <si>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</si>
  <si>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</si>
  <si>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</si>
  <si>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</si>
  <si>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</si>
  <si>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</si>
  <si>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</si>
  <si>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</si>
  <si>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</si>
  <si>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</si>
  <si>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</si>
  <si>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</si>
  <si>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</si>
  <si>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</si>
  <si>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</si>
  <si>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</si>
  <si>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</si>
  <si>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</si>
  <si>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</si>
  <si>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</si>
  <si>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</si>
  <si>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</si>
  <si>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</si>
  <si>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</si>
  <si>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</si>
  <si>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</si>
  <si>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</si>
  <si>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</si>
  <si>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</si>
  <si>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</si>
  <si>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</si>
  <si>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</si>
  <si>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</si>
  <si>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</si>
  <si>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</si>
  <si>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</si>
  <si>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</si>
  <si>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</si>
  <si>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</si>
  <si>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</si>
  <si>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</si>
  <si>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</si>
  <si>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</si>
  <si>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</si>
  <si>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</si>
  <si>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</si>
  <si>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</si>
  <si>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</si>
  <si>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</si>
  <si>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</si>
  <si>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</si>
  <si>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</si>
  <si>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</si>
  <si>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</si>
  <si>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</si>
  <si>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</si>
  <si>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</si>
  <si>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</si>
  <si>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</si>
  <si>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</si>
  <si>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</si>
  <si>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</si>
  <si>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</si>
  <si>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</si>
  <si>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</si>
  <si>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</si>
  <si>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</si>
  <si>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</si>
  <si>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</si>
  <si>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</si>
  <si>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</si>
  <si>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</si>
  <si>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</si>
  <si>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</si>
  <si>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</si>
  <si>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</si>
  <si>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</si>
  <si>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</si>
  <si>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</si>
  <si>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</si>
  <si>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</si>
  <si>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</si>
  <si>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</si>
  <si>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</si>
  <si>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</si>
  <si>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</si>
  <si>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</si>
  <si>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</si>
  <si>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</si>
  <si>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</si>
  <si>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</si>
  <si>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</si>
  <si>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</si>
  <si>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</si>
  <si>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</si>
  <si>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</si>
  <si>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</si>
  <si>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</si>
  <si>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</si>
  <si>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</si>
  <si>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</si>
  <si>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</si>
  <si>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</si>
  <si>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</si>
  <si>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</si>
  <si>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</si>
  <si>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</si>
  <si>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</si>
  <si>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</si>
  <si>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</si>
  <si>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</si>
  <si>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</si>
  <si>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</si>
  <si>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</si>
  <si>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</si>
  <si>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</si>
  <si>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</si>
  <si>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</si>
  <si>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</si>
  <si>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</si>
  <si>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</si>
  <si>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</si>
  <si>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</si>
  <si>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</si>
  <si>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</si>
  <si>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</si>
  <si>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</si>
  <si>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</si>
  <si>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</si>
  <si>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</si>
  <si>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</si>
  <si>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</si>
  <si>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</si>
  <si>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</si>
  <si>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</si>
  <si>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</si>
  <si>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</si>
  <si>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</si>
  <si>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</si>
  <si>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</si>
  <si>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</si>
  <si>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</si>
  <si>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</si>
  <si>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</si>
  <si>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</si>
  <si>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</si>
  <si>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</si>
  <si>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</si>
  <si>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</si>
  <si>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</si>
  <si>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</si>
  <si>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</si>
  <si>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</si>
  <si>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</si>
  <si>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</si>
  <si>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</si>
  <si>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</si>
  <si>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</si>
  <si>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</si>
  <si>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</si>
  <si>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</si>
  <si>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</si>
  <si>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</si>
  <si>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</si>
  <si>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</si>
  <si>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</si>
  <si>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</si>
  <si>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</si>
  <si>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</si>
  <si>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</si>
  <si>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</si>
  <si>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</si>
  <si>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</si>
  <si>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</si>
  <si>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</si>
  <si>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</si>
  <si>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</si>
  <si>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</si>
  <si>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</si>
  <si>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</si>
  <si>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</si>
  <si>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</si>
  <si>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</si>
  <si>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</si>
  <si>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</si>
  <si>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</si>
  <si>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</si>
  <si>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</si>
  <si>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</si>
  <si>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</si>
  <si>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</si>
  <si>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</si>
  <si>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</si>
  <si>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</si>
  <si>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</si>
  <si>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</si>
  <si>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</si>
  <si>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</si>
  <si>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</si>
  <si>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</si>
  <si>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</si>
  <si>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</si>
  <si>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</si>
  <si>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</si>
  <si>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</si>
  <si>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</si>
  <si>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</si>
  <si>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</si>
  <si>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</si>
  <si>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</si>
  <si>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</si>
  <si>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</si>
  <si>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</si>
  <si>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</si>
  <si>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</si>
  <si>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</si>
  <si>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</si>
  <si>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</si>
  <si>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</si>
  <si>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</si>
  <si>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</si>
  <si>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</si>
  <si>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</si>
  <si>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</si>
  <si>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</si>
  <si>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</si>
  <si>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</si>
  <si>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</si>
  <si>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</si>
  <si>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</si>
  <si>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</si>
  <si>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</si>
  <si>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</si>
  <si>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</si>
  <si>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</si>
  <si>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</si>
  <si>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</si>
  <si>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</si>
  <si>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</si>
  <si>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</si>
  <si>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</si>
  <si>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</si>
  <si>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</si>
  <si>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</si>
  <si>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</si>
  <si>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</si>
  <si>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</si>
  <si>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</si>
  <si>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</si>
  <si>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</si>
  <si>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</si>
  <si>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</si>
  <si>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</si>
  <si>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</si>
  <si>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</si>
  <si>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</si>
  <si>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</si>
  <si>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</si>
  <si>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</si>
  <si>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</si>
  <si>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</si>
  <si>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</si>
  <si>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</si>
  <si>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</si>
  <si>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</si>
  <si>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</si>
  <si>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</si>
  <si>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</si>
  <si>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</si>
  <si>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</si>
  <si>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</si>
  <si>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</si>
  <si>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</si>
  <si>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</si>
  <si>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</si>
  <si>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</si>
  <si>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</si>
  <si>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</si>
  <si>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</si>
  <si>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</si>
  <si>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</si>
  <si>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</si>
  <si>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</si>
  <si>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</si>
  <si>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</si>
  <si>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</si>
  <si>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</si>
  <si>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</si>
  <si>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</si>
  <si>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</si>
  <si>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</si>
  <si>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</si>
  <si>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</si>
  <si>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</si>
  <si>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</si>
  <si>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</si>
  <si>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</si>
  <si>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</si>
  <si>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</si>
  <si>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</si>
  <si>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</si>
  <si>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</si>
  <si>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</si>
  <si>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</si>
  <si>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</si>
  <si>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</si>
  <si>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</si>
  <si>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</si>
  <si>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</si>
  <si>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</si>
  <si>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</si>
  <si>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</si>
  <si>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</si>
  <si>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</si>
  <si>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</si>
  <si>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</si>
  <si>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</si>
  <si>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</si>
  <si>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</si>
  <si>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</si>
  <si>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</si>
  <si>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</si>
  <si>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</si>
  <si>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</si>
  <si>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</si>
  <si>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</si>
  <si>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</si>
  <si>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</si>
  <si>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</si>
  <si>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</si>
  <si>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</si>
  <si>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</si>
  <si>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</si>
  <si>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</si>
  <si>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</si>
  <si>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</si>
  <si>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</si>
  <si>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</si>
  <si>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</si>
  <si>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</si>
  <si>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</si>
  <si>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</si>
  <si>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</si>
  <si>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</si>
  <si>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</si>
  <si>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</si>
  <si>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</si>
  <si>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</si>
  <si>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</si>
  <si>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</si>
  <si>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</si>
  <si>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</si>
  <si>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</si>
  <si>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</si>
  <si>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</si>
  <si>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</si>
  <si>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</si>
  <si>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</si>
  <si>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</si>
  <si>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</si>
  <si>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</si>
  <si>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</si>
  <si>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</si>
  <si>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</si>
  <si>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</si>
  <si>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</si>
  <si>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</si>
  <si>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</si>
  <si>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</si>
  <si>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</si>
  <si>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</si>
  <si>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</si>
  <si>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</si>
  <si>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</si>
  <si>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</si>
  <si>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</si>
  <si>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</si>
  <si>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</si>
  <si>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</si>
  <si>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</si>
  <si>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</si>
  <si>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</si>
  <si>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</si>
  <si>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</si>
  <si>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</si>
  <si>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</si>
  <si>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</si>
  <si>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</si>
  <si>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</si>
  <si>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</si>
  <si>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</si>
  <si>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</si>
  <si>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</si>
  <si>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</si>
  <si>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</si>
  <si>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</si>
  <si>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</si>
  <si>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</si>
  <si>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</si>
  <si>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</si>
  <si>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</si>
  <si>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</si>
  <si>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</si>
  <si>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</si>
  <si>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</si>
  <si>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</si>
  <si>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</si>
  <si>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</si>
  <si>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</si>
  <si>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</si>
  <si>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</si>
  <si>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</si>
  <si>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</si>
  <si>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</si>
  <si>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</si>
  <si>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</si>
  <si>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</si>
  <si>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</si>
  <si>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</si>
  <si>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</si>
  <si>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</si>
  <si>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</si>
  <si>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</si>
  <si>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</si>
  <si>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</si>
  <si>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</si>
  <si>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</si>
  <si>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</si>
  <si>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</si>
  <si>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</si>
  <si>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</si>
  <si>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</si>
  <si>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</si>
  <si>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</si>
  <si>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</si>
  <si>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</si>
  <si>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</si>
  <si>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</si>
  <si>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</si>
  <si>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</si>
  <si>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</si>
  <si>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</si>
  <si>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</si>
  <si>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</si>
  <si>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</si>
  <si>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</si>
  <si>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</si>
  <si>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</si>
  <si>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</si>
  <si>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</si>
  <si>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</si>
  <si>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</si>
  <si>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</si>
  <si>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</si>
  <si>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</si>
  <si>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</si>
  <si>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</si>
  <si>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</si>
  <si>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</si>
  <si>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</si>
  <si>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</si>
  <si>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</si>
  <si>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</si>
  <si>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</si>
  <si>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</si>
  <si>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</si>
  <si>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</si>
  <si>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</si>
  <si>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</si>
  <si>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</si>
  <si>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</si>
  <si>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</si>
  <si>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</si>
  <si>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</si>
  <si>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</si>
  <si>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</si>
  <si>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</si>
  <si>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</si>
  <si>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</si>
  <si>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</si>
  <si>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</si>
  <si>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</si>
  <si>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</si>
  <si>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</si>
  <si>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</si>
  <si>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</si>
  <si>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</si>
  <si>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</si>
  <si>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</si>
  <si>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</si>
  <si>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</si>
  <si>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</si>
  <si>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</si>
  <si>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</si>
  <si>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</si>
  <si>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</si>
  <si>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</si>
  <si>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</si>
  <si>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</si>
  <si>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</si>
  <si>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</si>
  <si>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</si>
  <si>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</si>
  <si>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</si>
  <si>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</si>
  <si>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</si>
  <si>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</si>
  <si>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</si>
  <si>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</si>
  <si>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</si>
  <si>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</si>
  <si>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</si>
  <si>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</si>
  <si>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</si>
  <si>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</si>
  <si>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</si>
  <si>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</si>
  <si>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</si>
  <si>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</si>
  <si>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</si>
  <si>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</si>
  <si>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</si>
  <si>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</si>
  <si>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</si>
  <si>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</si>
  <si>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</si>
  <si>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</si>
  <si>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</si>
  <si>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</si>
  <si>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</si>
  <si>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</si>
  <si>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</si>
  <si>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</si>
  <si>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</si>
  <si>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</si>
  <si>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</si>
  <si>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</si>
  <si>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</si>
  <si>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</si>
  <si>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</si>
  <si>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</si>
  <si>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</si>
  <si>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</si>
  <si>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</si>
  <si>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</si>
  <si>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</si>
  <si>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</si>
  <si>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</si>
  <si>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</si>
  <si>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</si>
  <si>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</si>
  <si>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</si>
  <si>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</si>
  <si>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</si>
  <si>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</si>
  <si>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</si>
  <si>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</si>
  <si>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</si>
  <si>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</si>
  <si>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</si>
  <si>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</si>
  <si>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</si>
  <si>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</si>
  <si>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</si>
  <si>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</si>
  <si>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</si>
  <si>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</si>
  <si>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</si>
  <si>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</si>
  <si>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</si>
  <si>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</si>
  <si>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</si>
  <si>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</si>
  <si>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</si>
  <si>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</si>
  <si>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</si>
  <si>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</si>
  <si>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</si>
  <si>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</si>
  <si>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</si>
  <si>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</si>
  <si>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</si>
  <si>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</si>
  <si>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</si>
  <si>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</si>
  <si>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</si>
  <si>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</si>
  <si>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</si>
  <si>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</si>
  <si>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</si>
  <si>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</si>
  <si>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</si>
  <si>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</si>
  <si>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</si>
  <si>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</si>
  <si>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</si>
  <si>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</si>
  <si>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</si>
  <si>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</si>
  <si>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</si>
  <si>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</si>
  <si>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</si>
  <si>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</si>
  <si>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</si>
  <si>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</si>
  <si>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</si>
  <si>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</si>
  <si>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</si>
  <si>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</si>
  <si>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</si>
  <si>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</si>
  <si>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</si>
  <si>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</si>
  <si>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</si>
  <si>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</si>
  <si>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</si>
  <si>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</si>
  <si>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</si>
  <si>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</si>
  <si>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</si>
  <si>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</si>
  <si>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</si>
  <si>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</si>
  <si>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</si>
  <si>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</si>
  <si>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</si>
  <si>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</si>
  <si>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</si>
  <si>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</si>
  <si>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</si>
  <si>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</si>
  <si>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</si>
  <si>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</si>
  <si>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</si>
  <si>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</si>
  <si>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</si>
  <si>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</si>
  <si>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</si>
  <si>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</si>
  <si>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</si>
  <si>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</si>
  <si>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</si>
  <si>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</si>
  <si>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</si>
  <si>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</si>
  <si>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</si>
  <si>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</si>
  <si>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</si>
  <si>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</si>
  <si>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</si>
  <si>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</si>
  <si>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</si>
  <si>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</si>
  <si>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</si>
  <si>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</si>
  <si>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</si>
  <si>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</si>
  <si>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</si>
  <si>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</si>
  <si>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</si>
  <si>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</si>
  <si>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</si>
  <si>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</si>
  <si>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</si>
  <si>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</si>
  <si>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</si>
  <si>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</si>
  <si>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</si>
  <si>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</si>
  <si>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</si>
  <si>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</si>
  <si>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</si>
  <si>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</si>
  <si>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</si>
  <si>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</si>
  <si>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</si>
  <si>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</si>
  <si>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</si>
  <si>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</si>
  <si>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</si>
  <si>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</si>
  <si>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</si>
  <si>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</si>
  <si>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</si>
  <si>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</si>
  <si>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</si>
  <si>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</si>
  <si>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</si>
  <si>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</si>
  <si>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</si>
  <si>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</si>
  <si>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</si>
  <si>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</si>
  <si>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</si>
  <si>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</si>
  <si>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</si>
  <si>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</si>
  <si>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</si>
  <si>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</si>
  <si>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</si>
  <si>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</si>
  <si>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</si>
  <si>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</si>
  <si>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</si>
  <si>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</si>
  <si>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</si>
  <si>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</si>
  <si>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</si>
  <si>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</si>
  <si>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</si>
  <si>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</si>
  <si>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</si>
  <si>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</si>
  <si>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</si>
  <si>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</si>
  <si>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</si>
  <si>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</si>
  <si>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</si>
  <si>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</si>
  <si>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</si>
  <si>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</si>
  <si>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</si>
  <si>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</si>
  <si>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</si>
  <si>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</si>
  <si>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</si>
  <si>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</si>
  <si>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</si>
  <si>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</si>
  <si>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</si>
  <si>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</si>
  <si>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</si>
  <si>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</si>
  <si>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</si>
  <si>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</si>
  <si>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</si>
  <si>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</si>
  <si>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</si>
  <si>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</si>
  <si>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</si>
  <si>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</si>
  <si>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</si>
  <si>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</si>
  <si>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</si>
  <si>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</si>
  <si>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</si>
  <si>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</si>
  <si>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</si>
  <si>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</si>
  <si>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</si>
  <si>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</si>
  <si>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</si>
  <si>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</si>
  <si>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</si>
  <si>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</si>
  <si>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</si>
  <si>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</si>
  <si>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</si>
  <si>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</si>
  <si>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</si>
  <si>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</si>
  <si>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</si>
  <si>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</si>
  <si>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</si>
  <si>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</si>
  <si>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</si>
  <si>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</si>
  <si>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</si>
  <si>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</si>
  <si>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</si>
  <si>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</si>
  <si>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</si>
  <si>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</si>
  <si>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</si>
  <si>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</si>
  <si>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</si>
  <si>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</si>
  <si>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</si>
  <si>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</si>
  <si>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</si>
  <si>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</si>
  <si>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</si>
  <si>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</si>
  <si>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</si>
  <si>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</si>
  <si>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</si>
  <si>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</si>
  <si>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</si>
  <si>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</si>
  <si>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</si>
  <si>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</si>
  <si>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</si>
  <si>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</si>
  <si>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</si>
  <si>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</si>
  <si>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</si>
  <si>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</si>
  <si>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</si>
  <si>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</si>
  <si>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</si>
  <si>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</si>
  <si>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</si>
  <si>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</si>
  <si>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</si>
  <si>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</si>
  <si>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</si>
  <si>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</si>
  <si>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</si>
  <si>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</si>
  <si>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</si>
  <si>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</si>
  <si>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</si>
  <si>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</si>
  <si>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</si>
  <si>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</si>
  <si>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</si>
  <si>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</si>
  <si>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</si>
  <si>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</si>
  <si>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</si>
  <si>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</si>
  <si>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</si>
  <si>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</si>
  <si>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</si>
  <si>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</si>
  <si>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</si>
  <si>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</si>
  <si>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</si>
  <si>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</si>
  <si>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</si>
  <si>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</si>
  <si>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</si>
  <si>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</si>
  <si>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</si>
  <si>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</si>
  <si>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</si>
  <si>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</si>
  <si>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</si>
  <si>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</si>
  <si>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</si>
  <si>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</si>
  <si>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</si>
  <si>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</si>
  <si>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</si>
  <si>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</si>
  <si>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</si>
  <si>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</si>
  <si>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</si>
  <si>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</si>
  <si>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</si>
  <si>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</si>
  <si>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</si>
  <si>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</si>
  <si>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</si>
  <si>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</si>
  <si>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</si>
  <si>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</si>
  <si>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</si>
  <si>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</si>
  <si>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</si>
  <si>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</si>
  <si>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</si>
  <si>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</si>
  <si>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</si>
  <si>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</si>
  <si>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</si>
  <si>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</si>
  <si>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</si>
  <si>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</si>
  <si>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</si>
  <si>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</si>
  <si>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</si>
  <si>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</si>
  <si>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</si>
  <si>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</si>
  <si>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</si>
  <si>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</si>
  <si>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</si>
  <si>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</si>
  <si>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</si>
  <si>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</si>
  <si>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</si>
  <si>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</si>
  <si>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</si>
  <si>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</si>
  <si>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</si>
  <si>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</si>
  <si>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</si>
  <si>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</si>
  <si>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</si>
  <si>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</si>
  <si>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</si>
  <si>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</si>
  <si>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</si>
  <si>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</si>
  <si>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</si>
  <si>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</si>
  <si>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</si>
  <si>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</si>
  <si>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</si>
  <si>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</si>
  <si>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</si>
  <si>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</si>
  <si>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</si>
  <si>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</si>
  <si>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</si>
  <si>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</si>
  <si>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</si>
  <si>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</si>
  <si>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</si>
  <si>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</si>
  <si>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</si>
  <si>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</si>
  <si>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</si>
  <si>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</si>
  <si>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</si>
  <si>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</si>
  <si>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</si>
  <si>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</si>
  <si>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</si>
  <si>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</si>
  <si>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</si>
  <si>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</si>
  <si>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</si>
  <si>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</si>
  <si>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</si>
  <si>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</si>
  <si>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</si>
  <si>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</si>
  <si>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</si>
  <si>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</si>
  <si>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</si>
  <si>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</si>
  <si>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</si>
  <si>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</si>
  <si>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</si>
  <si>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</si>
  <si>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</si>
  <si>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</si>
  <si>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</si>
  <si>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</si>
  <si>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</si>
  <si>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</si>
  <si>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</si>
  <si>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</si>
  <si>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</si>
  <si>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</si>
  <si>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</si>
  <si>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</si>
  <si>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</si>
  <si>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</si>
  <si>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</si>
  <si>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</si>
  <si>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</si>
  <si>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</si>
  <si>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</si>
  <si>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</si>
  <si>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</si>
  <si>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</si>
  <si>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</si>
  <si>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</si>
  <si>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</si>
  <si>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</si>
  <si>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</si>
  <si>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</si>
  <si>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</si>
  <si>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</si>
  <si>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</si>
  <si>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</si>
  <si>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</si>
  <si>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</si>
  <si>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</si>
  <si>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</si>
  <si>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</si>
  <si>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</si>
  <si>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</si>
  <si>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</si>
  <si>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</si>
  <si>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</si>
  <si>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</si>
  <si>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</si>
  <si>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</si>
  <si>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</si>
  <si>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</si>
  <si>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</si>
  <si>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</si>
  <si>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</si>
  <si>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</si>
  <si>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</si>
  <si>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</si>
  <si>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</si>
  <si>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</si>
  <si>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</si>
  <si>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</si>
  <si>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</si>
  <si>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</si>
  <si>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</si>
  <si>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</si>
  <si>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</si>
  <si>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</si>
  <si>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</si>
  <si>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</si>
  <si>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</si>
  <si>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</si>
  <si>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</si>
  <si>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</si>
  <si>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</si>
  <si>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</si>
  <si>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</si>
  <si>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</si>
  <si>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</si>
  <si>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</si>
  <si>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</si>
  <si>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</si>
  <si>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</si>
  <si>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</si>
  <si>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</si>
  <si>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</si>
  <si>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</si>
  <si>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</si>
  <si>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</si>
  <si>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</si>
  <si>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</si>
  <si>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</si>
  <si>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</si>
  <si>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</si>
  <si>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</si>
  <si>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</si>
  <si>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</si>
  <si>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</si>
  <si>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</si>
  <si>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</si>
  <si>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</si>
  <si>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</si>
  <si>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</si>
  <si>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</si>
  <si>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</si>
  <si>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</si>
  <si>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</si>
  <si>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</si>
  <si>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</si>
  <si>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</si>
  <si>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</si>
  <si>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</si>
  <si>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</si>
  <si>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</si>
  <si>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</si>
  <si>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</si>
  <si>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</si>
  <si>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</si>
  <si>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</si>
  <si>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</si>
  <si>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</si>
  <si>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</si>
  <si>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</si>
  <si>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</si>
  <si>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</si>
  <si>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</si>
  <si>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</si>
  <si>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</si>
  <si>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</si>
  <si>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</si>
  <si>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</si>
  <si>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</si>
  <si>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</si>
  <si>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</si>
  <si>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</si>
  <si>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</si>
  <si>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</si>
  <si>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</si>
  <si>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</si>
  <si>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</si>
  <si>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</si>
  <si>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</si>
  <si>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</si>
  <si>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</si>
  <si>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</si>
  <si>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</si>
  <si>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</si>
  <si>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</si>
  <si>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</si>
  <si>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</si>
  <si>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</si>
  <si>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</si>
  <si>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</si>
  <si>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</si>
  <si>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</si>
  <si>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</si>
  <si>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</si>
  <si>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</si>
  <si>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</si>
  <si>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</si>
  <si>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</si>
  <si>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</si>
  <si>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</si>
  <si>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</si>
  <si>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</si>
  <si>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</si>
  <si>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</si>
  <si>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</si>
  <si>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</si>
  <si>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</si>
  <si>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</si>
  <si>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</si>
  <si>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</si>
  <si>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</si>
  <si>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</si>
  <si>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</si>
  <si>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</si>
  <si>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</si>
  <si>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</si>
  <si>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</si>
  <si>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</si>
  <si>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</si>
  <si>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</si>
  <si>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</si>
  <si>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</si>
  <si>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</si>
  <si>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</si>
  <si>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</si>
  <si>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</si>
  <si>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</si>
  <si>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</si>
  <si>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</si>
  <si>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</si>
  <si>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</si>
  <si>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</si>
  <si>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</si>
  <si>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</si>
  <si>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</si>
  <si>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</si>
  <si>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</si>
  <si>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</si>
  <si>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</si>
  <si>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</si>
  <si>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</si>
  <si>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</si>
  <si>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</si>
  <si>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</si>
  <si>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</si>
  <si>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</si>
  <si>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</si>
  <si>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</si>
  <si>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</si>
  <si>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</si>
  <si>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</si>
  <si>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</si>
  <si>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</si>
  <si>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</si>
  <si>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</si>
  <si>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</si>
  <si>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</si>
  <si>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</si>
  <si>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</si>
  <si>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</si>
  <si>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</si>
  <si>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</si>
  <si>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</si>
  <si>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</si>
  <si>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</si>
  <si>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</si>
  <si>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</si>
  <si>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</si>
  <si>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</si>
  <si>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</si>
  <si>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</si>
  <si>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</si>
  <si>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</si>
  <si>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</si>
  <si>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</si>
  <si>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</si>
  <si>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</si>
  <si>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</si>
  <si>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</si>
  <si>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</si>
  <si>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</si>
  <si>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</si>
  <si>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</si>
  <si>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</si>
  <si>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</si>
  <si>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</si>
  <si>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</si>
  <si>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</si>
  <si>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</si>
  <si>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</si>
  <si>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</si>
  <si>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</si>
  <si>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</si>
  <si>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</si>
  <si>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</si>
  <si>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</si>
  <si>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</si>
  <si>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</si>
  <si>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</si>
  <si>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</si>
  <si>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</si>
  <si>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</si>
  <si>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</si>
  <si>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</si>
  <si>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</si>
  <si>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</si>
  <si>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</si>
  <si>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</si>
  <si>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</si>
  <si>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</si>
  <si>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</si>
  <si>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</si>
  <si>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</si>
  <si>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</si>
  <si>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</si>
  <si>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</si>
  <si>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</si>
  <si>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</si>
  <si>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</si>
  <si>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</si>
  <si>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</si>
  <si>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</si>
  <si>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</si>
  <si>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</si>
  <si>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</si>
  <si>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</si>
  <si>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</si>
  <si>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</si>
  <si>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</si>
  <si>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</si>
  <si>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</si>
  <si>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</si>
  <si>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</si>
  <si>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</si>
  <si>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</si>
  <si>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</si>
  <si>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</si>
  <si>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</si>
  <si>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</si>
  <si>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</si>
  <si>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</si>
  <si>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</si>
  <si>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</si>
  <si>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</si>
  <si>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</si>
  <si>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</si>
  <si>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</si>
  <si>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</si>
  <si>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</si>
  <si>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</si>
  <si>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</si>
  <si>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</si>
  <si>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</si>
  <si>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</si>
  <si>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</si>
  <si>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</si>
  <si>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</si>
  <si>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</si>
  <si>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</si>
  <si>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</si>
  <si>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</si>
  <si>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</si>
  <si>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</si>
  <si>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</si>
  <si>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</si>
  <si>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</si>
  <si>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</si>
  <si>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</si>
  <si>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</si>
  <si>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</si>
  <si>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</si>
  <si>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</si>
  <si>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</si>
  <si>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</si>
  <si>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</si>
  <si>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</si>
  <si>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</si>
  <si>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</si>
  <si>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</si>
  <si>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</si>
  <si>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</si>
  <si>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</si>
  <si>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</si>
  <si>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</si>
  <si>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</si>
  <si>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</si>
  <si>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</si>
  <si>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</si>
  <si>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</si>
  <si>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</si>
  <si>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</si>
  <si>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</si>
  <si>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</si>
  <si>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</si>
  <si>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</si>
  <si>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</si>
  <si>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</si>
  <si>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</si>
  <si>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</si>
  <si>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</si>
  <si>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</si>
  <si>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</si>
  <si>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</si>
  <si>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</si>
  <si>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</si>
  <si>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</si>
  <si>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</si>
  <si>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</si>
  <si>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</si>
  <si>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</si>
  <si>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</si>
  <si>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</si>
  <si>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</si>
  <si>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</si>
  <si>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</si>
  <si>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</si>
  <si>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</si>
  <si>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</si>
  <si>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</si>
  <si>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</si>
  <si>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</si>
  <si>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</si>
  <si>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</si>
  <si>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</si>
  <si>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</si>
  <si>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</si>
  <si>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</si>
  <si>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</si>
  <si>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</si>
  <si>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</si>
  <si>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</si>
  <si>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</si>
  <si>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</si>
  <si>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</si>
  <si>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</si>
  <si>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</si>
  <si>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</si>
  <si>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</si>
  <si>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</si>
  <si>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</si>
  <si>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</si>
  <si>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</si>
  <si>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</si>
  <si>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</si>
  <si>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</si>
  <si>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</si>
  <si>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</si>
  <si>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</si>
  <si>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</si>
  <si>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</si>
  <si>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</si>
  <si>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</si>
  <si>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</si>
  <si>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</si>
  <si>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</si>
  <si>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</si>
  <si>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</si>
  <si>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</si>
  <si>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</si>
  <si>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</si>
  <si>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</si>
  <si>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</si>
  <si>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</si>
  <si>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</si>
  <si>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</si>
  <si>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</si>
  <si>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</si>
  <si>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</si>
  <si>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</si>
  <si>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</si>
  <si>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</si>
  <si>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</si>
  <si>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</si>
  <si>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</si>
  <si>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</si>
  <si>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</si>
  <si>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</si>
  <si>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</si>
  <si>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</si>
  <si>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</si>
  <si>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</si>
  <si>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</si>
  <si>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</si>
  <si>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</si>
  <si>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</si>
  <si>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</si>
  <si>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</si>
  <si>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</si>
  <si>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</si>
  <si>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</si>
  <si>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</si>
  <si>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</si>
  <si>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</si>
  <si>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</si>
  <si>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</si>
  <si>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</si>
  <si>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</si>
  <si>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</si>
  <si>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</si>
  <si>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</si>
  <si>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</si>
  <si>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</si>
  <si>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</si>
  <si>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</si>
  <si>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</si>
  <si>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</si>
  <si>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</si>
  <si>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</si>
  <si>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</si>
  <si>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</si>
  <si>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</si>
  <si>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</si>
  <si>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</si>
  <si>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</si>
  <si>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</si>
  <si>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</si>
  <si>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</si>
  <si>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</si>
  <si>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</si>
  <si>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</si>
  <si>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</si>
  <si>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</si>
  <si>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</si>
  <si>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</si>
  <si>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</si>
  <si>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</si>
  <si>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</si>
  <si>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</si>
  <si>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</si>
  <si>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</si>
  <si>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</si>
  <si>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</si>
  <si>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</si>
  <si>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</si>
  <si>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</si>
  <si>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</si>
  <si>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</si>
  <si>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</si>
  <si>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</si>
  <si>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</si>
  <si>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</si>
  <si>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</si>
  <si>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</si>
  <si>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</si>
  <si>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</si>
  <si>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</si>
  <si>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</si>
  <si>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</si>
  <si>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</si>
  <si>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</si>
  <si>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</si>
  <si>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</si>
  <si>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</si>
  <si>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</si>
  <si>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</si>
  <si>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</si>
  <si>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</si>
  <si>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</si>
  <si>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</si>
  <si>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</si>
  <si>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</si>
  <si>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</si>
  <si>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</si>
  <si>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</si>
  <si>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</si>
  <si>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</si>
  <si>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</si>
  <si>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</si>
  <si>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</si>
  <si>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</si>
  <si>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</si>
  <si>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</si>
  <si>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</si>
  <si>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</si>
  <si>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</si>
  <si>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</si>
  <si>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</si>
  <si>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</si>
  <si>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</si>
  <si>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</si>
  <si>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</si>
  <si>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</si>
  <si>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</si>
  <si>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</si>
  <si>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</si>
  <si>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</si>
  <si>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</si>
  <si>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</si>
  <si>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</si>
  <si>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</si>
  <si>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</si>
  <si>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</si>
  <si>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</si>
  <si>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</si>
  <si>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</si>
  <si>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</si>
  <si>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</si>
  <si>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</si>
  <si>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</si>
  <si>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</si>
  <si>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</si>
  <si>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</si>
  <si>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</si>
  <si>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</si>
  <si>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</si>
  <si>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</si>
  <si>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</si>
  <si>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</si>
  <si>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</si>
  <si>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</si>
  <si>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</si>
  <si>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</si>
  <si>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</si>
  <si>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</si>
  <si>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</si>
  <si>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</si>
  <si>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</si>
  <si>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</si>
  <si>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</si>
  <si>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</si>
  <si>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</si>
  <si>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</si>
  <si>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</si>
  <si>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</si>
  <si>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</si>
  <si>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</si>
  <si>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</si>
  <si>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</si>
  <si>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</si>
  <si>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</si>
  <si>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</si>
  <si>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</si>
  <si>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</si>
  <si>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</si>
  <si>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</si>
  <si>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</si>
  <si>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</si>
  <si>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</si>
  <si>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</si>
  <si>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</si>
  <si>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</si>
  <si>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</si>
  <si>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</si>
  <si>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</si>
  <si>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</si>
  <si>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</si>
  <si>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</si>
  <si>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</si>
  <si>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</si>
  <si>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</si>
  <si>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</si>
  <si>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</si>
  <si>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</si>
  <si>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</si>
  <si>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</si>
  <si>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</si>
  <si>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</si>
  <si>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</si>
  <si>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</si>
  <si>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</si>
  <si>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</si>
  <si>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</si>
  <si>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</si>
  <si>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</si>
  <si>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</si>
  <si>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</si>
  <si>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</si>
  <si>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</si>
  <si>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</si>
  <si>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</si>
  <si>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</si>
  <si>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</si>
  <si>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</si>
  <si>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</si>
  <si>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</si>
  <si>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</si>
  <si>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</si>
  <si>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</si>
  <si>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</si>
  <si>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</si>
  <si>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</si>
  <si>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</si>
  <si>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</si>
  <si>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</si>
  <si>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</si>
  <si>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</si>
  <si>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</si>
  <si>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</si>
  <si>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</si>
  <si>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</si>
  <si>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</si>
  <si>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</si>
  <si>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</si>
  <si>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</si>
  <si>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</si>
  <si>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</si>
  <si>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</si>
  <si>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</si>
  <si>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</si>
  <si>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</si>
  <si>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</si>
  <si>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</si>
  <si>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</si>
  <si>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</si>
  <si>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</si>
  <si>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</si>
  <si>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</si>
  <si>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</si>
  <si>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</si>
  <si>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</si>
  <si>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</si>
  <si>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</si>
  <si>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</si>
  <si>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</si>
  <si>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</si>
  <si>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</si>
  <si>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</si>
  <si>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</si>
  <si>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</si>
  <si>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</si>
  <si>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</si>
  <si>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</si>
  <si>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</si>
  <si>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</si>
  <si>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</si>
  <si>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</si>
  <si>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</si>
  <si>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</si>
  <si>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</si>
  <si>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</si>
  <si>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</si>
  <si>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</si>
  <si>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</si>
  <si>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</si>
  <si>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</si>
  <si>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</si>
  <si>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</si>
  <si>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</si>
  <si>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</si>
  <si>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</si>
  <si>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</si>
  <si>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</si>
  <si>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</si>
  <si>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</si>
  <si>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</si>
  <si>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</si>
  <si>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</si>
  <si>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</si>
  <si>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</si>
  <si>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</si>
  <si>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</si>
  <si>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</si>
  <si>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</si>
  <si>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</si>
  <si>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</si>
  <si>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</si>
  <si>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</si>
  <si>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</si>
  <si>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</si>
  <si>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</si>
  <si>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</si>
  <si>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</si>
  <si>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</si>
  <si>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</si>
  <si>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</si>
  <si>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</si>
  <si>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</si>
  <si>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</si>
  <si>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</si>
  <si>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</si>
  <si>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</si>
  <si>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</si>
  <si>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</si>
  <si>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</si>
  <si>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</si>
  <si>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</si>
  <si>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</si>
  <si>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</si>
  <si>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</si>
  <si>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</si>
  <si>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</si>
  <si>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</si>
  <si>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</si>
  <si>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</si>
  <si>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</si>
  <si>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</si>
  <si>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</si>
  <si>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</si>
  <si>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</si>
  <si>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</si>
  <si>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</si>
  <si>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</si>
  <si>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</si>
  <si>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</si>
  <si>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</si>
  <si>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</si>
  <si>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</si>
  <si>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</si>
  <si>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</si>
  <si>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</si>
  <si>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</si>
  <si>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</si>
  <si>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</si>
  <si>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</si>
  <si>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</si>
  <si>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</si>
  <si>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</si>
  <si>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</si>
  <si>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</si>
  <si>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</si>
  <si>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</si>
  <si>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</si>
  <si>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</si>
  <si>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</si>
  <si>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</si>
  <si>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</si>
  <si>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</si>
  <si>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</si>
  <si>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</si>
  <si>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</si>
  <si>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</si>
  <si>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</si>
  <si>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</si>
  <si>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</si>
  <si>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</si>
  <si>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</si>
  <si>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</si>
  <si>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</si>
  <si>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</si>
  <si>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</si>
  <si>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</si>
  <si>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</si>
  <si>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</si>
  <si>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</si>
  <si>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</si>
  <si>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</si>
  <si>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</si>
  <si>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</si>
  <si>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</si>
  <si>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</si>
  <si>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</si>
  <si>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</si>
  <si>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</si>
  <si>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</si>
  <si>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</si>
  <si>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</si>
  <si>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</si>
  <si>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</si>
  <si>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</si>
  <si>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</si>
  <si>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</si>
  <si>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</si>
  <si>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</si>
  <si>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</si>
  <si>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</si>
  <si>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</si>
  <si>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</si>
  <si>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</si>
  <si>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</si>
  <si>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</si>
  <si>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</si>
  <si>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</si>
  <si>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</si>
  <si>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</si>
  <si>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</si>
  <si>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</si>
  <si>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</si>
  <si>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</si>
  <si>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</si>
  <si>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</si>
  <si>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</si>
  <si>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</si>
  <si>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</si>
  <si>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</si>
  <si>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</si>
  <si>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</si>
  <si>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</si>
  <si>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</si>
  <si>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</si>
  <si>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</si>
  <si>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</si>
  <si>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</si>
  <si>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</si>
  <si>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</si>
  <si>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</si>
  <si>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</si>
  <si>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</si>
  <si>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</si>
  <si>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</si>
  <si>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</si>
  <si>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</si>
  <si>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</si>
  <si>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</si>
  <si>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</si>
  <si>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</si>
  <si>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</si>
  <si>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</si>
  <si>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</si>
  <si>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</si>
  <si>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</si>
  <si>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</si>
  <si>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</si>
  <si>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</si>
  <si>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</si>
  <si>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</si>
  <si>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</si>
  <si>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</si>
  <si>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</si>
  <si>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</si>
  <si>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</si>
  <si>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</si>
  <si>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</si>
  <si>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</si>
  <si>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</si>
  <si>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</si>
  <si>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</si>
  <si>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</si>
  <si>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</si>
  <si>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</si>
  <si>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</si>
  <si>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</si>
  <si>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</si>
  <si>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</si>
  <si>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</si>
  <si>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</si>
  <si>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</si>
  <si>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</si>
  <si>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</si>
  <si>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</si>
  <si>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</si>
  <si>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</si>
  <si>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</si>
  <si>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</si>
  <si>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</si>
  <si>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</si>
  <si>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</si>
  <si>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</si>
  <si>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</si>
  <si>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</si>
  <si>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</si>
  <si>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</si>
  <si>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</si>
  <si>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</si>
  <si>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</si>
  <si>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</si>
  <si>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</si>
  <si>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</si>
  <si>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</si>
  <si>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</si>
  <si>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</si>
  <si>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</si>
  <si>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</si>
  <si>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</si>
  <si>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</si>
  <si>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</si>
  <si>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</si>
  <si>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</si>
  <si>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</si>
  <si>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</si>
  <si>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</si>
  <si>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</si>
  <si>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</si>
  <si>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</si>
  <si>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</si>
  <si>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</si>
  <si>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</si>
  <si>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</si>
  <si>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</si>
  <si>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</si>
  <si>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</si>
  <si>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</si>
  <si>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</si>
  <si>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</si>
  <si>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</si>
  <si>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</si>
  <si>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</si>
  <si>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</si>
  <si>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</si>
  <si>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</si>
  <si>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</si>
  <si>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</si>
  <si>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</si>
  <si>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</si>
  <si>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</si>
  <si>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</si>
  <si>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</si>
  <si>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</si>
  <si>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</si>
  <si>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</si>
  <si>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</si>
  <si>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</si>
  <si>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</si>
  <si>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</si>
  <si>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</si>
  <si>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</si>
  <si>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</si>
  <si>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</si>
  <si>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</si>
  <si>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</si>
  <si>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</si>
  <si>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</si>
  <si>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</si>
  <si>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</si>
  <si>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</si>
  <si>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</si>
  <si>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</si>
  <si>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</si>
  <si>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</si>
  <si>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</si>
  <si>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</si>
  <si>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</si>
  <si>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</si>
  <si>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</si>
  <si>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</si>
  <si>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</si>
  <si>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</si>
  <si>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</si>
  <si>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</si>
  <si>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</si>
  <si>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</si>
  <si>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</si>
  <si>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</si>
  <si>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</si>
  <si>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</si>
  <si>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</si>
  <si>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</si>
  <si>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</si>
  <si>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</si>
  <si>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</si>
  <si>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</si>
  <si>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</si>
  <si>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</si>
  <si>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</si>
  <si>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</si>
  <si>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</si>
  <si>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</si>
  <si>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</si>
  <si>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</si>
  <si>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</si>
  <si>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</si>
  <si>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</si>
  <si>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</si>
  <si>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</si>
  <si>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</si>
  <si>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</si>
  <si>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</si>
  <si>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</si>
  <si>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</si>
  <si>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</si>
  <si>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</si>
  <si>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</si>
  <si>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</si>
  <si>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</si>
  <si>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</si>
  <si>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</si>
  <si>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</si>
  <si>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</si>
  <si>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</si>
  <si>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</si>
  <si>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</si>
  <si>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</si>
  <si>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</si>
  <si>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</si>
  <si>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</si>
  <si>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</si>
  <si>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</si>
  <si>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</si>
  <si>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</si>
  <si>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</si>
  <si>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</si>
  <si>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</si>
  <si>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</si>
  <si>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</si>
  <si>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</si>
  <si>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</si>
  <si>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</si>
  <si>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</si>
  <si>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</si>
  <si>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</si>
  <si>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</si>
  <si>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</si>
  <si>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</si>
  <si>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</si>
  <si>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</si>
  <si>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</si>
  <si>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</si>
  <si>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</si>
  <si>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</si>
  <si>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</si>
  <si>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</si>
  <si>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</si>
  <si>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</si>
  <si>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</si>
  <si>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</si>
  <si>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</si>
  <si>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</si>
  <si>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</si>
  <si>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</si>
  <si>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</si>
  <si>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</si>
  <si>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</si>
  <si>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</si>
  <si>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</si>
  <si>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</si>
  <si>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</si>
  <si>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</si>
  <si>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</si>
  <si>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</si>
  <si>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</si>
  <si>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</si>
  <si>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</si>
  <si>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</si>
  <si>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</si>
  <si>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</si>
  <si>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</si>
  <si>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</si>
  <si>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</si>
  <si>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</si>
  <si>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</si>
  <si>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</si>
  <si>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</si>
  <si>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</si>
  <si>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</si>
  <si>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</si>
  <si>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</si>
  <si>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</si>
  <si>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</si>
  <si>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</si>
  <si>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</si>
  <si>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</si>
  <si>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</si>
  <si>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</si>
  <si>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</si>
  <si>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</si>
  <si>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</si>
  <si>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</si>
  <si>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</si>
  <si>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</si>
  <si>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</si>
  <si>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</si>
  <si>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</si>
  <si>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</si>
  <si>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</si>
  <si>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</si>
  <si>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</si>
  <si>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</si>
  <si>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</si>
  <si>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</si>
  <si>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</si>
  <si>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</si>
  <si>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</si>
  <si>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</si>
  <si>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</si>
  <si>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</si>
  <si>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</si>
  <si>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</si>
  <si>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</si>
  <si>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</si>
  <si>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</si>
  <si>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</si>
  <si>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</si>
  <si>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</si>
  <si>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</si>
  <si>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</si>
  <si>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</si>
  <si>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</si>
  <si>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</si>
  <si>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</si>
  <si>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</si>
  <si>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</si>
  <si>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</si>
  <si>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</si>
  <si>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</si>
  <si>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</si>
  <si>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</si>
  <si>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</si>
  <si>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</si>
  <si>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</si>
  <si>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</si>
  <si>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</si>
  <si>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</si>
  <si>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</si>
  <si>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</si>
  <si>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</si>
  <si>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</si>
  <si>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</si>
  <si>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</si>
  <si>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</si>
  <si>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</si>
  <si>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</si>
  <si>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</si>
  <si>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</si>
  <si>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</si>
  <si>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</si>
  <si>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</si>
  <si>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</si>
  <si>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</si>
  <si>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</si>
  <si>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</si>
  <si>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</si>
  <si>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</si>
  <si>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</si>
  <si>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</si>
  <si>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</si>
  <si>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</si>
  <si>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</si>
  <si>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</si>
  <si>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</si>
  <si>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</si>
  <si>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</si>
  <si>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</si>
  <si>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</si>
  <si>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</si>
  <si>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</si>
  <si>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</si>
  <si>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</si>
  <si>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</si>
  <si>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</si>
  <si>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</si>
  <si>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</si>
  <si>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</si>
  <si>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</si>
  <si>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</si>
  <si>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</si>
  <si>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</si>
  <si>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</si>
  <si>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</si>
  <si>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</si>
  <si>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</si>
  <si>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</si>
  <si>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</si>
  <si>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</si>
  <si>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</si>
  <si>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</si>
  <si>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</si>
  <si>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</si>
  <si>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</si>
  <si>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</si>
  <si>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</si>
  <si>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</si>
  <si>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</si>
  <si>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</si>
  <si>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</si>
  <si>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</si>
  <si>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</si>
  <si>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</si>
  <si>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</si>
  <si>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</si>
  <si>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</si>
  <si>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</si>
  <si>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</si>
  <si>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</si>
  <si>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</si>
  <si>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</si>
  <si>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</si>
  <si>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</si>
  <si>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</si>
  <si>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</si>
  <si>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</si>
  <si>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</si>
  <si>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</si>
  <si>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</si>
  <si>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</si>
  <si>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</si>
  <si>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</si>
  <si>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</si>
  <si>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</si>
  <si>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</si>
  <si>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</si>
  <si>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</si>
  <si>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</si>
  <si>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</si>
  <si>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</si>
  <si>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</si>
  <si>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</si>
  <si>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</si>
  <si>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</si>
  <si>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</si>
  <si>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</si>
  <si>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</si>
  <si>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</si>
  <si>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</si>
  <si>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</si>
  <si>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</si>
  <si>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</si>
  <si>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</si>
  <si>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</si>
  <si>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</si>
  <si>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</si>
  <si>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</si>
  <si>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</si>
  <si>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</si>
  <si>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</si>
  <si>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</si>
  <si>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</si>
  <si>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</si>
  <si>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</si>
  <si>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</si>
  <si>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</si>
  <si>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</si>
  <si>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</si>
  <si>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</si>
  <si>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</si>
  <si>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</si>
  <si>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</si>
  <si>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</si>
  <si>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</si>
  <si>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</si>
  <si>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</si>
  <si>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</si>
  <si>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</si>
  <si>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</si>
  <si>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</si>
  <si>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</si>
  <si>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</si>
  <si>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</si>
  <si>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</si>
  <si>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</si>
  <si>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</si>
  <si>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</si>
  <si>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</si>
  <si>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</si>
  <si>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</si>
  <si>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</si>
  <si>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</si>
  <si>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</si>
  <si>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</si>
  <si>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</si>
  <si>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</si>
  <si>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</si>
  <si>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</si>
  <si>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</si>
  <si>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</si>
  <si>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</si>
  <si>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</si>
  <si>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</si>
  <si>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</si>
  <si>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</si>
  <si>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</si>
  <si>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</si>
  <si>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</si>
  <si>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</si>
  <si>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</si>
  <si>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</si>
  <si>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</si>
  <si>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</si>
  <si>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</si>
  <si>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</si>
  <si>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</si>
  <si>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</si>
  <si>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</si>
  <si>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</si>
  <si>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</si>
  <si>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</si>
  <si>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</si>
  <si>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</si>
  <si>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</si>
  <si>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</si>
  <si>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</si>
  <si>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</si>
  <si>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</si>
  <si>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</si>
  <si>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</si>
  <si>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</si>
  <si>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</si>
  <si>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</si>
  <si>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</si>
  <si>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</si>
  <si>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</si>
  <si>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</si>
  <si>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</si>
  <si>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</si>
  <si>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</si>
  <si>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</si>
  <si>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</si>
  <si>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</si>
  <si>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</si>
  <si>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</si>
  <si>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</si>
  <si>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</si>
  <si>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</si>
  <si>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</si>
  <si>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</si>
  <si>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</si>
  <si>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</si>
  <si>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</si>
  <si>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</si>
  <si>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</si>
  <si>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</si>
  <si>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</si>
  <si>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</si>
  <si>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</si>
  <si>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</si>
  <si>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</si>
  <si>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</si>
  <si>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</si>
  <si>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</si>
  <si>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</si>
  <si>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</si>
  <si>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</si>
  <si>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</si>
  <si>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</si>
  <si>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</si>
  <si>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</si>
  <si>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</si>
  <si>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</si>
  <si>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</si>
  <si>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</si>
  <si>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</si>
  <si>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</si>
  <si>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</si>
  <si>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</si>
  <si>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</si>
  <si>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</si>
  <si>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</si>
  <si>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</si>
  <si>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</si>
  <si>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</si>
  <si>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</si>
  <si>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</si>
  <si>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</si>
  <si>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</si>
  <si>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</si>
  <si>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</si>
  <si>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</si>
  <si>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</si>
  <si>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</si>
  <si>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</si>
  <si>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</si>
  <si>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</si>
  <si>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</si>
  <si>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</si>
  <si>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</si>
  <si>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</si>
  <si>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</si>
  <si>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</si>
  <si>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</si>
  <si>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</si>
  <si>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</si>
  <si>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</si>
  <si>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</si>
  <si>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</si>
  <si>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</si>
  <si>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</si>
  <si>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</si>
  <si>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</si>
  <si>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</si>
  <si>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</si>
  <si>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</si>
  <si>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</si>
  <si>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</si>
  <si>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</si>
  <si>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</si>
  <si>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</si>
  <si>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</si>
  <si>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</si>
  <si>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</si>
  <si>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</si>
  <si>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</si>
  <si>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</si>
  <si>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</si>
  <si>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</si>
  <si>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</si>
  <si>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</si>
  <si>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</si>
  <si>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</si>
  <si>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</si>
  <si>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</si>
  <si>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</si>
  <si>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</si>
  <si>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</si>
  <si>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</si>
  <si>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</si>
  <si>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</si>
  <si>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</si>
  <si>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</si>
  <si>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</si>
  <si>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</si>
  <si>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</si>
  <si>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</si>
  <si>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</si>
  <si>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</si>
  <si>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</si>
  <si>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</si>
  <si>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</si>
  <si>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</si>
  <si>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</si>
  <si>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</si>
  <si>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</si>
  <si>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</si>
  <si>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</si>
  <si>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</si>
  <si>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</si>
  <si>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</si>
  <si>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</si>
  <si>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</si>
  <si>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</si>
  <si>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</si>
  <si>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</si>
  <si>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</si>
  <si>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</si>
  <si>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</si>
  <si>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</si>
  <si>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</si>
  <si>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</si>
  <si>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</si>
  <si>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</si>
  <si>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</si>
  <si>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</si>
  <si>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</si>
  <si>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</si>
  <si>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</si>
  <si>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</si>
  <si>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</si>
  <si>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</si>
  <si>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</si>
  <si>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</si>
  <si>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</si>
  <si>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</si>
  <si>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</si>
  <si>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</si>
  <si>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</si>
  <si>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</si>
  <si>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</si>
  <si>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</si>
  <si>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</si>
  <si>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</si>
  <si>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</si>
  <si>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</si>
  <si>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</si>
  <si>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</si>
  <si>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</si>
  <si>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</si>
  <si>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</si>
  <si>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</si>
  <si>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</si>
  <si>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</si>
  <si>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</si>
  <si>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</si>
  <si>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</si>
  <si>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</si>
  <si>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</si>
  <si>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</si>
  <si>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</si>
  <si>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</si>
  <si>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</si>
  <si>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</si>
  <si>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</si>
  <si>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</si>
  <si>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</si>
  <si>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</si>
  <si>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</si>
  <si>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</si>
  <si>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</si>
  <si>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</si>
  <si>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</si>
  <si>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</si>
  <si>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</si>
  <si>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</si>
  <si>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</si>
  <si>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</si>
  <si>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</si>
  <si>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</si>
  <si>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</si>
  <si>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</si>
  <si>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</si>
  <si>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</si>
  <si>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</si>
  <si>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</si>
  <si>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</si>
  <si>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</si>
  <si>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</si>
  <si>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</si>
  <si>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</si>
  <si>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</si>
  <si>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</si>
  <si>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</si>
  <si>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</si>
  <si>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</si>
  <si>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</si>
  <si>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</si>
  <si>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</si>
  <si>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</si>
  <si>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</si>
  <si>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</si>
  <si>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</si>
  <si>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</si>
  <si>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</si>
  <si>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</si>
  <si>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</si>
  <si>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</si>
  <si>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</si>
  <si>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</si>
  <si>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</si>
  <si>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</si>
  <si>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</si>
  <si>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</si>
  <si>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</si>
  <si>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</si>
  <si>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</si>
  <si>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</si>
  <si>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</si>
  <si>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</si>
  <si>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</si>
  <si>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</si>
  <si>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</si>
  <si>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</si>
  <si>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</si>
  <si>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</si>
  <si>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</si>
  <si>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</si>
  <si>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</si>
  <si>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</si>
  <si>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</si>
  <si>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</si>
  <si>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</si>
  <si>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</si>
  <si>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</si>
  <si>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</si>
  <si>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</si>
  <si>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</si>
  <si>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</si>
  <si>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</si>
  <si>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</si>
  <si>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</si>
  <si>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</si>
  <si>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</si>
  <si>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</si>
  <si>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</si>
  <si>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</si>
  <si>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</si>
  <si>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</si>
  <si>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</si>
  <si>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</si>
  <si>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</si>
  <si>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</si>
  <si>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</si>
  <si>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</si>
  <si>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</si>
  <si>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</si>
  <si>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</si>
  <si>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</si>
  <si>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</si>
  <si>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</si>
  <si>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</si>
  <si>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</si>
  <si>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</si>
  <si>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</si>
  <si>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</si>
  <si>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</si>
  <si>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</si>
  <si>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</si>
  <si>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</si>
  <si>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</si>
  <si>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</si>
  <si>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</si>
  <si>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</si>
  <si>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</si>
  <si>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</si>
  <si>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</si>
  <si>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</si>
  <si>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</si>
  <si>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</si>
  <si>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</si>
  <si>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</si>
  <si>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</si>
  <si>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</si>
  <si>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</si>
  <si>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</si>
  <si>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</si>
  <si>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</si>
  <si>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</si>
  <si>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</si>
  <si>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</si>
  <si>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</si>
  <si>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</si>
  <si>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</si>
  <si>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</si>
  <si>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</si>
  <si>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</si>
  <si>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</si>
  <si>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</si>
  <si>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</si>
  <si>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</si>
  <si>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</si>
  <si>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</si>
  <si>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</si>
  <si>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</si>
  <si>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</si>
  <si>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</si>
  <si>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</si>
  <si>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</si>
  <si>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</si>
  <si>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</si>
  <si>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</si>
  <si>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</si>
  <si>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</si>
  <si>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</si>
  <si>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</si>
  <si>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</si>
  <si>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</si>
  <si>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</si>
  <si>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</si>
  <si>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</si>
  <si>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</si>
  <si>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</si>
  <si>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</si>
  <si>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</si>
  <si>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</si>
  <si>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</si>
  <si>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</si>
  <si>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</si>
  <si>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</si>
  <si>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</si>
  <si>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</si>
  <si>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</si>
  <si>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</si>
  <si>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</si>
  <si>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</si>
  <si>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</si>
  <si>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</si>
  <si>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</si>
  <si>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</si>
  <si>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</si>
  <si>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</si>
  <si>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</si>
  <si>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</si>
  <si>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</si>
  <si>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</si>
  <si>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</si>
  <si>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</si>
  <si>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</si>
  <si>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</si>
  <si>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</si>
  <si>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</si>
  <si>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</si>
  <si>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</si>
  <si>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</si>
  <si>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</si>
  <si>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</si>
  <si>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</si>
  <si>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</si>
  <si>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</si>
  <si>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</si>
  <si>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</si>
  <si>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</si>
  <si>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</si>
  <si>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</si>
  <si>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</si>
  <si>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</si>
  <si>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</si>
  <si>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</si>
  <si>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</si>
  <si>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</si>
  <si>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</si>
  <si>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</si>
  <si>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</si>
  <si>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</si>
  <si>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</si>
  <si>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</si>
  <si>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</si>
  <si>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</si>
  <si>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</si>
  <si>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</si>
  <si>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</si>
  <si>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</si>
  <si>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</si>
  <si>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</si>
  <si>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</si>
  <si>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</si>
  <si>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</si>
  <si>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</si>
  <si>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</si>
  <si>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</si>
  <si>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</si>
  <si>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</si>
  <si>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</si>
  <si>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</si>
  <si>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</si>
  <si>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</si>
  <si>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</si>
  <si>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</si>
  <si>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</si>
  <si>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</si>
  <si>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</si>
  <si>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</si>
  <si>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</si>
  <si>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</si>
  <si>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</si>
  <si>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</si>
  <si>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</si>
  <si>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</si>
  <si>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</si>
  <si>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</si>
  <si>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</si>
  <si>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</si>
  <si>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</si>
  <si>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</si>
  <si>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</si>
  <si>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</si>
  <si>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</si>
  <si>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</si>
  <si>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</si>
  <si>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</si>
  <si>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</si>
  <si>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</si>
  <si>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</si>
  <si>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</si>
  <si>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</si>
  <si>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</si>
  <si>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</si>
  <si>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</si>
  <si>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</si>
  <si>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</si>
  <si>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</si>
  <si>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</si>
  <si>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</si>
  <si>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</si>
  <si>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</si>
  <si>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</si>
  <si>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</si>
  <si>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</si>
  <si>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</si>
  <si>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</si>
  <si>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</si>
  <si>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</si>
  <si>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</si>
  <si>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</si>
  <si>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</si>
  <si>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</si>
  <si>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</si>
  <si>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</si>
  <si>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</si>
  <si>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</si>
  <si>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</si>
  <si>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</si>
  <si>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</si>
  <si>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</si>
  <si>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</si>
  <si>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</si>
  <si>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</si>
  <si>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</si>
  <si>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</si>
  <si>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</si>
  <si>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</si>
  <si>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</si>
  <si>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</si>
  <si>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</si>
  <si>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</si>
  <si>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</si>
  <si>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</si>
  <si>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</si>
  <si>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</si>
  <si>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</si>
  <si>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</si>
  <si>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</si>
  <si>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</si>
  <si>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</si>
  <si>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</si>
  <si>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</si>
  <si>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</si>
  <si>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</si>
  <si>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</si>
  <si>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</si>
  <si>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</si>
  <si>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</si>
  <si>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</si>
  <si>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</si>
  <si>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</si>
  <si>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</si>
  <si>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</si>
  <si>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</si>
  <si>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</si>
  <si>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</si>
  <si>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</si>
  <si>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</si>
  <si>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</si>
  <si>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</si>
  <si>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</si>
  <si>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</si>
  <si>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</si>
  <si>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</si>
  <si>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</si>
  <si>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</si>
  <si>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</si>
  <si>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</si>
  <si>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</si>
  <si>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</si>
  <si>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</si>
  <si>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</si>
  <si>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</si>
  <si>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</si>
  <si>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</si>
  <si>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</si>
  <si>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</si>
  <si>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</si>
  <si>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</si>
  <si>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</si>
  <si>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</si>
  <si>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</si>
  <si>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</si>
  <si>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</si>
  <si>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</si>
  <si>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</si>
  <si>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</si>
  <si>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</si>
  <si>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</si>
  <si>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</si>
  <si>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</si>
  <si>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</si>
  <si>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</si>
  <si>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</si>
  <si>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</si>
  <si>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</si>
  <si>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</si>
  <si>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</si>
  <si>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</si>
  <si>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</si>
  <si>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</si>
  <si>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</si>
  <si>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</si>
  <si>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</si>
  <si>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</si>
  <si>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</si>
  <si>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</si>
  <si>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</si>
  <si>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</si>
  <si>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</si>
  <si>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</si>
  <si>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</si>
  <si>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</si>
  <si>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</si>
  <si>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</si>
  <si>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</si>
  <si>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</si>
  <si>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</si>
  <si>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</si>
  <si>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</si>
  <si>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</si>
  <si>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</si>
  <si>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</si>
  <si>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</si>
  <si>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</si>
  <si>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</si>
  <si>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</si>
  <si>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</si>
  <si>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</si>
  <si>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</si>
  <si>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</si>
  <si>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</si>
  <si>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</si>
  <si>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</si>
  <si>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</si>
  <si>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</si>
  <si>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</si>
  <si>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</si>
  <si>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</si>
  <si>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</si>
  <si>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</si>
  <si>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</si>
  <si>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</si>
  <si>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</si>
  <si>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</si>
  <si>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</si>
  <si>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</si>
  <si>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</si>
  <si>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</si>
  <si>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</si>
  <si>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</si>
  <si>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</si>
  <si>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</si>
  <si>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</si>
  <si>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</si>
  <si>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</si>
  <si>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</si>
  <si>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</si>
  <si>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</si>
  <si>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</si>
  <si>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</si>
  <si>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</si>
  <si>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</si>
  <si>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</si>
  <si>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</si>
  <si>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</si>
  <si>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</si>
  <si>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</si>
  <si>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</si>
  <si>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</si>
  <si>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</si>
  <si>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</si>
  <si>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</si>
  <si>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</si>
  <si>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</si>
  <si>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</si>
  <si>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</si>
  <si>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</si>
  <si>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</si>
  <si>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</si>
  <si>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</si>
  <si>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</si>
  <si>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</si>
  <si>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</si>
  <si>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</si>
  <si>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</si>
  <si>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</si>
  <si>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</si>
  <si>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</si>
  <si>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</si>
  <si>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</si>
  <si>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</si>
  <si>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</si>
  <si>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</si>
  <si>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</si>
  <si>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</si>
  <si>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</si>
  <si>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</si>
  <si>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</si>
  <si>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</si>
  <si>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</si>
  <si>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</si>
  <si>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</si>
  <si>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</si>
  <si>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</si>
  <si>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</si>
  <si>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</si>
  <si>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</si>
  <si>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</si>
  <si>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</si>
  <si>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</si>
  <si>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</si>
  <si>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</si>
  <si>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</si>
  <si>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</si>
  <si>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</si>
  <si>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</si>
  <si>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</si>
  <si>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</si>
  <si>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</si>
  <si>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</si>
  <si>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</si>
  <si>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</si>
  <si>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</si>
  <si>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</si>
  <si>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</si>
  <si>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</si>
  <si>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</si>
  <si>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</si>
  <si>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</si>
  <si>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</si>
  <si>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</si>
  <si>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</si>
  <si>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</si>
  <si>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</si>
  <si>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</si>
  <si>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</si>
  <si>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</si>
  <si>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</si>
  <si>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</si>
  <si>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</si>
  <si>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</si>
  <si>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</si>
  <si>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</si>
  <si>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</si>
  <si>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</si>
  <si>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</si>
  <si>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</si>
  <si>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</si>
  <si>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</si>
  <si>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</si>
  <si>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</si>
  <si>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</si>
  <si>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</si>
  <si>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</si>
  <si>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</si>
  <si>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</si>
  <si>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</si>
  <si>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</si>
  <si>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</si>
  <si>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</si>
  <si>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</si>
  <si>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</si>
  <si>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</si>
  <si>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</si>
  <si>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</si>
  <si>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</si>
  <si>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</si>
  <si>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</si>
  <si>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</si>
  <si>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</si>
  <si>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</si>
  <si>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</si>
  <si>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</si>
  <si>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</si>
  <si>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</si>
  <si>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</si>
  <si>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</si>
  <si>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</si>
  <si>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</si>
  <si>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</si>
  <si>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</si>
  <si>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</si>
  <si>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</si>
  <si>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</si>
  <si>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</si>
  <si>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</si>
  <si>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</si>
  <si>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</si>
  <si>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</si>
  <si>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</si>
  <si>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</si>
  <si>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</si>
  <si>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</si>
  <si>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</si>
  <si>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</si>
  <si>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</si>
  <si>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</si>
  <si>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</si>
  <si>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</si>
  <si>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</si>
  <si>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</si>
  <si>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</si>
  <si>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</si>
  <si>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</si>
  <si>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</si>
  <si>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</si>
  <si>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</si>
  <si>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</si>
  <si>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</si>
  <si>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</si>
  <si>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</si>
  <si>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</si>
  <si>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</si>
  <si>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</si>
  <si>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</si>
  <si>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</si>
  <si>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</si>
  <si>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</si>
  <si>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</si>
  <si>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</si>
  <si>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</si>
  <si>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</si>
  <si>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</si>
  <si>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</si>
  <si>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</si>
  <si>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</si>
  <si>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</si>
  <si>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</si>
  <si>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</si>
  <si>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</si>
  <si>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</si>
  <si>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</si>
  <si>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</si>
  <si>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</si>
  <si>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</si>
  <si>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</si>
  <si>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</si>
  <si>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</si>
  <si>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</si>
  <si>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</si>
  <si>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</si>
  <si>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</si>
  <si>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</si>
  <si>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</si>
  <si>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</si>
  <si>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</si>
  <si>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</si>
  <si>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</si>
  <si>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</si>
  <si>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</si>
  <si>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</si>
  <si>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</si>
  <si>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</si>
  <si>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</si>
  <si>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</si>
  <si>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</si>
  <si>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</si>
  <si>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</si>
  <si>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</si>
  <si>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</si>
  <si>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</si>
  <si>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</si>
  <si>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</si>
  <si>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</si>
  <si>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</si>
  <si>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</si>
  <si>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</si>
  <si>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</si>
  <si>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</si>
  <si>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</si>
  <si>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</si>
  <si>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</si>
  <si>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</si>
  <si>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</si>
  <si>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</si>
  <si>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</si>
  <si>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</si>
  <si>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</si>
  <si>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</si>
  <si>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</si>
  <si>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</si>
  <si>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</si>
  <si>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</si>
  <si>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</si>
  <si>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</si>
  <si>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</si>
  <si>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</si>
  <si>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</si>
  <si>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</si>
  <si>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</si>
  <si>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</si>
  <si>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</si>
  <si>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</si>
  <si>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</si>
  <si>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</si>
  <si>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</si>
  <si>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</si>
  <si>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</si>
  <si>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</si>
  <si>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</si>
  <si>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</si>
  <si>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</si>
  <si>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</si>
  <si>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</si>
  <si>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</si>
  <si>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</si>
  <si>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</si>
  <si>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</si>
  <si>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</si>
  <si>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</si>
  <si>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</si>
  <si>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</si>
  <si>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</si>
  <si>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</si>
  <si>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</si>
  <si>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</si>
  <si>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</si>
  <si>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</si>
  <si>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</si>
  <si>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</si>
  <si>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</si>
  <si>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</si>
  <si>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</si>
  <si>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</si>
  <si>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</si>
  <si>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</si>
  <si>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</si>
  <si>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</si>
  <si>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</si>
  <si>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</si>
  <si>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</si>
  <si>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</si>
  <si>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</si>
  <si>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</si>
  <si>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</si>
  <si>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</si>
  <si>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</si>
  <si>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</si>
  <si>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</si>
  <si>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</si>
  <si>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</si>
  <si>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</si>
  <si>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</si>
  <si>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</si>
  <si>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</si>
  <si>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</si>
  <si>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</si>
  <si>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</si>
  <si>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</si>
  <si>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</si>
  <si>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</si>
  <si>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</si>
  <si>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</si>
  <si>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</si>
  <si>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</si>
  <si>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</si>
  <si>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</si>
  <si>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</si>
  <si>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</si>
  <si>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</si>
  <si>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</si>
  <si>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</si>
  <si>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</si>
  <si>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</si>
  <si>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</si>
  <si>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</si>
  <si>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</si>
  <si>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</si>
  <si>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</si>
  <si>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</si>
  <si>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</si>
  <si>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</si>
  <si>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</si>
  <si>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</si>
  <si>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</si>
  <si>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</si>
  <si>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</si>
  <si>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</si>
  <si>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</si>
  <si>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</si>
  <si>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</si>
  <si>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</si>
  <si>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</si>
  <si>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</si>
  <si>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</si>
  <si>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</si>
  <si>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</si>
  <si>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</si>
  <si>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</si>
  <si>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</si>
  <si>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</si>
  <si>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</si>
  <si>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</si>
  <si>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</si>
  <si>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</si>
  <si>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</si>
  <si>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</si>
  <si>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</si>
  <si>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</si>
  <si>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</si>
  <si>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</si>
  <si>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</si>
  <si>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</si>
  <si>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</si>
  <si>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</si>
  <si>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</si>
  <si>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</si>
  <si>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</si>
  <si>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</si>
  <si>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</si>
  <si>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</si>
  <si>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</si>
  <si>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</si>
  <si>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</si>
  <si>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</si>
  <si>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</si>
  <si>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</si>
  <si>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</si>
  <si>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</si>
  <si>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</si>
  <si>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</si>
  <si>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</si>
  <si>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</si>
  <si>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</si>
  <si>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</si>
  <si>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</si>
  <si>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</si>
  <si>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</si>
  <si>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</si>
  <si>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</si>
  <si>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</si>
  <si>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</si>
  <si>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</si>
  <si>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</si>
  <si>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</si>
  <si>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</si>
  <si>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</si>
  <si>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</si>
  <si>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</si>
  <si>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</si>
  <si>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</si>
  <si>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</si>
  <si>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</si>
  <si>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</si>
  <si>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</si>
  <si>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</si>
  <si>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</si>
  <si>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</si>
  <si>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</si>
  <si>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</si>
  <si>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</si>
  <si>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</si>
  <si>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</si>
  <si>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</si>
  <si>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</si>
  <si>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</si>
  <si>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</si>
  <si>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</si>
  <si>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</si>
  <si>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</si>
  <si>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</si>
  <si>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</si>
  <si>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</si>
  <si>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</si>
  <si>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</si>
  <si>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</si>
  <si>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</si>
  <si>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</si>
  <si>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</si>
  <si>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</si>
  <si>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</si>
  <si>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</si>
  <si>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</si>
  <si>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</si>
  <si>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</si>
  <si>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</si>
  <si>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</si>
  <si>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</si>
  <si>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</si>
  <si>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</si>
  <si>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</si>
  <si>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</si>
  <si>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</si>
  <si>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</si>
  <si>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</si>
  <si>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</si>
  <si>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</si>
  <si>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</si>
  <si>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</si>
  <si>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</si>
  <si>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</si>
  <si>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</si>
  <si>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</si>
  <si>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</si>
  <si>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</si>
  <si>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</si>
  <si>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</si>
  <si>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</si>
  <si>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</si>
  <si>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</si>
  <si>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</si>
  <si>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</si>
  <si>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</si>
  <si>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</si>
  <si>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</si>
  <si>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</si>
  <si>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</si>
  <si>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</si>
  <si>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</si>
  <si>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</si>
  <si>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</si>
  <si>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</si>
  <si>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</si>
  <si>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</si>
  <si>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</si>
  <si>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</si>
  <si>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</si>
  <si>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</si>
  <si>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</si>
  <si>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</si>
  <si>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</si>
  <si>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</si>
  <si>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</si>
  <si>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</si>
  <si>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</si>
  <si>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</si>
  <si>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</si>
  <si>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</si>
  <si>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</si>
  <si>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</si>
  <si>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</si>
  <si>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</si>
  <si>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</si>
  <si>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</si>
  <si>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</si>
  <si>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</si>
  <si>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</si>
  <si>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</si>
  <si>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</si>
  <si>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</si>
  <si>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</si>
  <si>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</si>
  <si>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</si>
  <si>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</si>
  <si>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</si>
  <si>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</si>
  <si>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</si>
  <si>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</si>
  <si>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</si>
  <si>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</si>
  <si>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</si>
  <si>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</si>
  <si>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</si>
  <si>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</si>
  <si>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</si>
  <si>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</si>
  <si>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</si>
  <si>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</si>
  <si>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</si>
  <si>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</si>
  <si>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</si>
  <si>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</si>
  <si>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</si>
  <si>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</si>
  <si>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</si>
  <si>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</si>
  <si>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</si>
  <si>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</si>
  <si>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</si>
  <si>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</si>
  <si>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</si>
  <si>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</si>
  <si>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</si>
  <si>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</si>
  <si>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</si>
  <si>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</si>
  <si>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</si>
  <si>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</si>
  <si>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</si>
  <si>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</si>
  <si>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</si>
  <si>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</si>
  <si>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</si>
  <si>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</si>
  <si>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</si>
  <si>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</si>
  <si>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</si>
  <si>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</si>
  <si>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</si>
  <si>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</si>
  <si>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</si>
  <si>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</si>
  <si>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</si>
  <si>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</si>
  <si>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</si>
  <si>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</si>
  <si>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</si>
  <si>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</si>
  <si>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</si>
  <si>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</si>
  <si>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</si>
  <si>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</si>
  <si>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</si>
  <si>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</si>
  <si>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</si>
  <si>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</si>
  <si>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</si>
  <si>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</si>
  <si>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</si>
  <si>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</si>
  <si>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</si>
  <si>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</si>
  <si>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</si>
  <si>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</si>
  <si>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</si>
  <si>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</si>
  <si>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</si>
  <si>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</si>
  <si>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</si>
  <si>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</si>
  <si>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</si>
  <si>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</si>
  <si>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</si>
  <si>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</si>
  <si>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</si>
  <si>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</si>
  <si>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</si>
  <si>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</si>
  <si>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</si>
  <si>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</si>
  <si>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</si>
  <si>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</si>
  <si>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</si>
  <si>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</si>
  <si>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</si>
  <si>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</si>
  <si>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</si>
  <si>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</si>
  <si>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</si>
  <si>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</si>
  <si>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</si>
  <si>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</si>
  <si>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</si>
  <si>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</si>
  <si>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</si>
  <si>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</si>
  <si>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</si>
  <si>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</si>
  <si>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</si>
  <si>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</si>
  <si>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</si>
  <si>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</si>
  <si>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</si>
  <si>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</si>
  <si>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</si>
  <si>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</si>
  <si>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</si>
  <si>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</si>
  <si>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</si>
  <si>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</si>
  <si>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</si>
  <si>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</si>
  <si>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</si>
  <si>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</si>
  <si>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</si>
  <si>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</si>
  <si>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</si>
  <si>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</si>
  <si>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</si>
  <si>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</si>
  <si>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</si>
  <si>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</si>
  <si>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</si>
  <si>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</si>
  <si>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</si>
  <si>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</si>
  <si>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</si>
  <si>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</si>
  <si>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</si>
  <si>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</si>
  <si>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</si>
  <si>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</si>
  <si>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</si>
  <si>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</si>
  <si>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</si>
  <si>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</si>
  <si>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</si>
  <si>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</si>
  <si>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</si>
  <si>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</si>
  <si>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</si>
  <si>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</si>
  <si>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</si>
  <si>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</si>
  <si>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</si>
  <si>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</si>
  <si>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</si>
  <si>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</si>
  <si>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</si>
  <si>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</si>
  <si>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</si>
  <si>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</si>
  <si>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</si>
  <si>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</si>
  <si>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</si>
  <si>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</si>
  <si>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</si>
  <si>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</si>
  <si>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</si>
  <si>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</si>
  <si>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</si>
  <si>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</si>
  <si>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</si>
  <si>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</si>
  <si>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</si>
  <si>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</si>
  <si>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</si>
  <si>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</si>
  <si>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</si>
  <si>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</si>
  <si>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</si>
  <si>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</si>
  <si>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</si>
  <si>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</si>
  <si>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</si>
  <si>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</si>
  <si>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</si>
  <si>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</si>
  <si>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</si>
  <si>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</si>
  <si>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</si>
  <si>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</si>
  <si>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</si>
  <si>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</si>
  <si>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</si>
  <si>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</si>
  <si>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</si>
  <si>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</si>
  <si>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</si>
  <si>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</si>
  <si>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</si>
  <si>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</si>
  <si>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</si>
  <si>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</si>
  <si>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</si>
  <si>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</si>
  <si>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</si>
  <si>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</si>
  <si>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</si>
  <si>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</si>
  <si>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</si>
  <si>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</si>
  <si>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</si>
  <si>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</si>
  <si>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</si>
  <si>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</si>
  <si>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</si>
  <si>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</si>
  <si>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</si>
  <si>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</si>
  <si>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</si>
  <si>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</si>
  <si>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</si>
  <si>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</si>
  <si>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</si>
  <si>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</si>
  <si>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</si>
  <si>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</si>
  <si>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</si>
  <si>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</si>
  <si>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</si>
  <si>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</si>
  <si>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</si>
  <si>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</si>
  <si>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</si>
  <si>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</si>
  <si>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</si>
  <si>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</si>
  <si>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</si>
  <si>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</si>
  <si>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</si>
  <si>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</si>
  <si>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</si>
  <si>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</si>
  <si>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</si>
  <si>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</si>
  <si>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</si>
  <si>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</si>
  <si>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</si>
  <si>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</si>
  <si>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</si>
  <si>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</si>
  <si>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</si>
  <si>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</si>
  <si>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</si>
  <si>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</si>
  <si>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</si>
  <si>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</si>
  <si>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</si>
  <si>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</si>
  <si>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</si>
  <si>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</si>
  <si>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</si>
  <si>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</si>
  <si>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</si>
  <si>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</si>
  <si>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</si>
  <si>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</si>
  <si>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</si>
  <si>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</si>
  <si>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</si>
  <si>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</si>
  <si>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</si>
  <si>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</si>
  <si>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</si>
  <si>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</si>
  <si>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</si>
  <si>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</si>
  <si>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</si>
  <si>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</si>
  <si>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</si>
  <si>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</si>
  <si>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</si>
  <si>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</si>
  <si>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</si>
  <si>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</si>
  <si>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</si>
  <si>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</si>
  <si>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</si>
  <si>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</si>
  <si>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</si>
  <si>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</si>
  <si>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</si>
  <si>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</si>
  <si>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</si>
  <si>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</si>
  <si>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</si>
  <si>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</si>
  <si>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</si>
  <si>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</si>
  <si>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</si>
  <si>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</si>
  <si>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</si>
  <si>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</si>
  <si>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</si>
  <si>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</si>
  <si>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</si>
  <si>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</si>
  <si>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</si>
  <si>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</si>
  <si>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</si>
  <si>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</si>
  <si>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</si>
  <si>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</si>
  <si>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</si>
  <si>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</si>
  <si>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</si>
  <si>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</si>
  <si>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</si>
  <si>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</si>
  <si>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</si>
  <si>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</si>
  <si>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</si>
  <si>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</si>
  <si>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</si>
  <si>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</si>
  <si>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</si>
  <si>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</si>
  <si>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</si>
  <si>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</si>
  <si>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</si>
  <si>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</si>
  <si>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</si>
  <si>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</si>
  <si>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</si>
  <si>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</si>
  <si>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</si>
  <si>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</si>
  <si>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</si>
  <si>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</si>
  <si>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</si>
  <si>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</si>
  <si>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</si>
  <si>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</si>
  <si>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</si>
  <si>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</si>
  <si>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</si>
  <si>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</si>
  <si>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</si>
  <si>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</si>
  <si>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</si>
  <si>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</si>
  <si>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</si>
  <si>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</si>
  <si>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</si>
  <si>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</si>
  <si>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</si>
  <si>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</si>
  <si>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</si>
  <si>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</si>
  <si>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</si>
  <si>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</si>
  <si>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</si>
  <si>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</si>
  <si>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</si>
  <si>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</si>
  <si>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</si>
  <si>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</si>
  <si>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</si>
  <si>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</si>
  <si>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</si>
  <si>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</si>
  <si>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</si>
  <si>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</si>
  <si>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</si>
  <si>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</si>
  <si>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</si>
  <si>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</si>
  <si>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</si>
  <si>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</si>
  <si>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</si>
  <si>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</si>
  <si>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</si>
  <si>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</si>
  <si>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</si>
  <si>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</si>
  <si>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</si>
  <si>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</si>
  <si>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</si>
  <si>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</si>
  <si>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</si>
  <si>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</si>
  <si>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</si>
  <si>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</si>
  <si>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</si>
  <si>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</si>
  <si>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</si>
  <si>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</si>
  <si>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</si>
  <si>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</si>
  <si>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</si>
  <si>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</si>
  <si>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</si>
  <si>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</si>
  <si>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</si>
  <si>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</si>
  <si>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</si>
  <si>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</si>
  <si>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</si>
  <si>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</si>
  <si>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</si>
  <si>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</si>
  <si>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</si>
  <si>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</si>
  <si>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</si>
  <si>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</si>
  <si>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</si>
  <si>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</si>
  <si>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</si>
  <si>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</si>
  <si>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</si>
  <si>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</si>
  <si>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</si>
  <si>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</si>
  <si>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</si>
  <si>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</si>
  <si>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</si>
  <si>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</si>
  <si>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</si>
  <si>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</si>
  <si>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</si>
  <si>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</si>
  <si>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</si>
  <si>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</si>
  <si>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</si>
  <si>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</si>
  <si>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</si>
  <si>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</si>
  <si>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</si>
  <si>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</si>
  <si>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</si>
  <si>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</si>
  <si>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</si>
  <si>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</si>
  <si>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</si>
  <si>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</si>
  <si>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</si>
  <si>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</si>
  <si>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</si>
  <si>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</si>
  <si>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</si>
  <si>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</si>
  <si>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</si>
  <si>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</si>
  <si>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</si>
  <si>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</si>
  <si>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</si>
  <si>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</si>
  <si>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</si>
  <si>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</si>
  <si>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</si>
  <si>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</si>
  <si>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</si>
  <si>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</si>
  <si>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</si>
  <si>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</si>
  <si>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</si>
  <si>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</si>
  <si>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</si>
  <si>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</si>
  <si>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</si>
  <si>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</si>
  <si>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</si>
  <si>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</si>
  <si>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</si>
  <si>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</si>
  <si>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</si>
  <si>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</si>
  <si>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</si>
  <si>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</si>
  <si>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</si>
  <si>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</si>
  <si>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</si>
  <si>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</si>
  <si>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</si>
  <si>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</si>
  <si>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</si>
  <si>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</si>
  <si>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</si>
  <si>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</si>
  <si>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</si>
  <si>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</si>
  <si>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</si>
  <si>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</si>
  <si>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</si>
  <si>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</si>
  <si>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</si>
  <si>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</si>
  <si>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</si>
  <si>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</si>
  <si>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</si>
  <si>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</si>
  <si>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</si>
  <si>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</si>
  <si>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</si>
  <si>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</si>
  <si>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</si>
  <si>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</si>
  <si>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</si>
  <si>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</si>
  <si>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</si>
  <si>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</si>
  <si>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</si>
  <si>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</si>
  <si>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</si>
  <si>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</si>
  <si>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</si>
  <si>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</si>
  <si>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</si>
  <si>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</si>
  <si>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</si>
  <si>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</si>
  <si>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</si>
  <si>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</si>
  <si>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</si>
  <si>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</si>
  <si>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</si>
  <si>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</si>
  <si>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</si>
  <si>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</si>
  <si>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</si>
  <si>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</si>
  <si>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</si>
  <si>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</si>
  <si>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</si>
  <si>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</si>
  <si>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</si>
  <si>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</si>
  <si>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</si>
  <si>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</si>
  <si>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</si>
  <si>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</si>
  <si>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</si>
  <si>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</si>
  <si>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</si>
  <si>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</si>
  <si>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</si>
  <si>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</si>
  <si>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</si>
  <si>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</si>
  <si>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</si>
  <si>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</si>
  <si>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</si>
  <si>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</si>
  <si>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</si>
  <si>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</si>
  <si>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</si>
  <si>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</si>
  <si>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</si>
  <si>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</si>
  <si>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</si>
  <si>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</si>
  <si>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</si>
  <si>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</si>
  <si>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</si>
  <si>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</si>
  <si>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</si>
  <si>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</si>
  <si>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</si>
  <si>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</si>
  <si>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</si>
  <si>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</si>
  <si>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</si>
  <si>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</si>
  <si>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</si>
  <si>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</si>
  <si>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</si>
  <si>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</si>
  <si>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</si>
  <si>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</si>
  <si>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</si>
  <si>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</si>
  <si>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</si>
  <si>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</si>
  <si>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</si>
  <si>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</si>
  <si>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</si>
  <si>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</si>
  <si>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</si>
  <si>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</si>
  <si>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</si>
  <si>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</si>
  <si>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</si>
  <si>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</si>
  <si>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</si>
  <si>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</si>
  <si>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</si>
  <si>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</si>
  <si>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</si>
  <si>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</si>
  <si>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</si>
  <si>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</si>
  <si>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</si>
  <si>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</si>
  <si>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</si>
  <si>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</si>
  <si>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</si>
  <si>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</si>
  <si>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</si>
  <si>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</si>
  <si>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</si>
  <si>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</si>
  <si>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</si>
  <si>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</si>
  <si>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</si>
  <si>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</si>
  <si>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</si>
  <si>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</si>
  <si>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</si>
  <si>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</si>
  <si>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</si>
  <si>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</si>
  <si>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</si>
  <si>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</si>
  <si>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</si>
  <si>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</si>
  <si>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</si>
  <si>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</si>
  <si>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</si>
  <si>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</si>
  <si>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</si>
  <si>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</si>
  <si>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</si>
  <si>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</si>
  <si>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</si>
  <si>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</si>
  <si>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</si>
  <si>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</si>
  <si>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</si>
  <si>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</si>
  <si>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</si>
  <si>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</si>
  <si>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</si>
  <si>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</si>
  <si>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</si>
  <si>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</si>
  <si>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</si>
  <si>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</si>
  <si>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</si>
  <si>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</si>
  <si>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</si>
  <si>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</si>
  <si>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</si>
  <si>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</si>
  <si>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</si>
  <si>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</si>
  <si>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</si>
  <si>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</si>
  <si>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</si>
  <si>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</si>
  <si>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</si>
  <si>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</si>
  <si>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</si>
  <si>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</si>
  <si>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</si>
  <si>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</si>
  <si>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</si>
  <si>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</si>
  <si>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</si>
  <si>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</si>
  <si>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</si>
  <si>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</si>
  <si>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</si>
  <si>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</si>
  <si>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</si>
  <si>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</si>
  <si>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</si>
  <si>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</si>
  <si>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</si>
  <si>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</si>
  <si>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</si>
  <si>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</si>
  <si>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</si>
  <si>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</si>
  <si>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</si>
  <si>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</si>
  <si>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</si>
  <si>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</si>
  <si>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</si>
  <si>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</si>
  <si>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</si>
  <si>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</si>
  <si>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</si>
  <si>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</si>
  <si>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</si>
  <si>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</si>
  <si>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</si>
  <si>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</si>
  <si>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</si>
  <si>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</si>
  <si>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</si>
  <si>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</si>
  <si>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</si>
  <si>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</si>
  <si>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</si>
  <si>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</si>
  <si>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</si>
  <si>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</si>
  <si>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</si>
  <si>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</si>
  <si>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</si>
  <si>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</si>
  <si>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</si>
  <si>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</si>
  <si>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</si>
  <si>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</si>
  <si>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</si>
  <si>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</si>
  <si>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</si>
  <si>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</si>
  <si>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</si>
  <si>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</si>
  <si>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</si>
  <si>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</si>
  <si>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</si>
  <si>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</si>
  <si>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</si>
  <si>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</si>
  <si>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</si>
  <si>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</si>
  <si>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</si>
  <si>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</si>
  <si>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</si>
  <si>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</si>
  <si>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</si>
  <si>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</si>
  <si>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</si>
  <si>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</si>
  <si>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</si>
  <si>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</si>
  <si>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</si>
  <si>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</si>
  <si>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</si>
  <si>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</si>
  <si>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</si>
  <si>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</si>
  <si>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</si>
  <si>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</si>
  <si>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</si>
  <si>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</si>
  <si>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</si>
  <si>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</si>
  <si>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</si>
  <si>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</si>
  <si>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</si>
  <si>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</si>
  <si>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</si>
  <si>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</si>
  <si>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</si>
  <si>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</si>
  <si>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</si>
  <si>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</si>
  <si>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</si>
  <si>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</si>
  <si>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</si>
  <si>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</si>
  <si>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</si>
  <si>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</si>
  <si>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</si>
  <si>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</si>
  <si>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</si>
  <si>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</si>
  <si>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</si>
  <si>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</si>
  <si>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</si>
  <si>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</si>
  <si>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</si>
  <si>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</si>
  <si>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</si>
  <si>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</si>
  <si>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</si>
  <si>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</si>
  <si>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</si>
  <si>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</si>
  <si>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</si>
  <si>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</si>
  <si>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</si>
  <si>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</si>
  <si>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</si>
  <si>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</si>
  <si>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</si>
  <si>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</si>
  <si>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</si>
  <si>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</si>
  <si>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</si>
  <si>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</si>
  <si>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</si>
  <si>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</si>
  <si>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</si>
  <si>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</si>
  <si>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</si>
  <si>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</si>
  <si>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</si>
  <si>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</si>
  <si>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</si>
  <si>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</si>
  <si>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</si>
  <si>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</si>
  <si>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</si>
  <si>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</si>
  <si>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</si>
  <si>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</si>
  <si>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</si>
  <si>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</si>
  <si>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</si>
  <si>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</si>
  <si>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</si>
  <si>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</si>
  <si>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</si>
  <si>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</si>
  <si>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</si>
  <si>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</si>
  <si>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</si>
  <si>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</si>
  <si>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</si>
  <si>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</si>
  <si>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</si>
  <si>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</si>
  <si>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</si>
  <si>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</si>
  <si>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</si>
  <si>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</si>
  <si>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</si>
  <si>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</si>
  <si>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</si>
  <si>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</si>
  <si>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</si>
  <si>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</si>
  <si>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</si>
  <si>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</si>
  <si>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</si>
  <si>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</si>
  <si>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</si>
  <si>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</si>
  <si>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</si>
  <si>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</si>
  <si>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</si>
  <si>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</si>
  <si>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</si>
  <si>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</si>
  <si>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</si>
  <si>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</si>
  <si>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</si>
  <si>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</si>
  <si>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</si>
  <si>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</si>
  <si>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</si>
  <si>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</si>
  <si>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</si>
  <si>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</si>
  <si>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</si>
  <si>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</si>
  <si>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</si>
  <si>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</si>
  <si>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</si>
  <si>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</si>
  <si>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</si>
  <si>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</si>
  <si>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</si>
  <si>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</si>
  <si>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</si>
  <si>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</si>
  <si>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</si>
  <si>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</si>
  <si>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</si>
  <si>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</si>
  <si>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</si>
  <si>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</si>
  <si>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</si>
  <si>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</si>
  <si>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</si>
  <si>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</si>
  <si>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</si>
  <si>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</si>
  <si>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</si>
  <si>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</si>
  <si>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</si>
  <si>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</si>
  <si>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</si>
  <si>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</si>
  <si>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</si>
  <si>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</si>
  <si>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</si>
  <si>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</si>
  <si>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</si>
  <si>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</si>
  <si>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</si>
  <si>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</si>
  <si>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</si>
  <si>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</si>
  <si>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</si>
  <si>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</si>
  <si>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</si>
  <si>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</si>
  <si>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</si>
  <si>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</si>
  <si>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</si>
  <si>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</si>
  <si>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</si>
  <si>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</si>
  <si>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</si>
  <si>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</si>
  <si>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</si>
  <si>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</si>
  <si>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</si>
  <si>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</si>
  <si>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</si>
  <si>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</si>
  <si>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</si>
  <si>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</si>
  <si>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</si>
  <si>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</si>
  <si>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</si>
  <si>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</si>
  <si>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</si>
  <si>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</si>
  <si>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</si>
  <si>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</si>
  <si>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</si>
  <si>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</si>
  <si>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</si>
  <si>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</si>
  <si>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</si>
  <si>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</si>
  <si>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</si>
  <si>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</si>
  <si>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</si>
  <si>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</si>
  <si>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</si>
  <si>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</si>
  <si>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</si>
  <si>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</si>
  <si>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</si>
  <si>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</si>
  <si>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</si>
  <si>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</si>
  <si>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</si>
  <si>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</si>
  <si>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</si>
  <si>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</si>
  <si>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</si>
  <si>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</si>
  <si>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</si>
  <si>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</si>
  <si>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</si>
  <si>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</si>
  <si>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</si>
  <si>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</si>
  <si>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</si>
  <si>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</si>
  <si>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</si>
  <si>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</si>
  <si>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</si>
  <si>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</si>
  <si>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</si>
  <si>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</si>
  <si>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</si>
  <si>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</si>
  <si>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</si>
  <si>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</si>
  <si>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</si>
  <si>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</si>
  <si>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</si>
  <si>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</si>
  <si>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</si>
  <si>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</si>
  <si>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</si>
  <si>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</si>
  <si>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</si>
  <si>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</si>
  <si>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</si>
  <si>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</si>
  <si>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</si>
  <si>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</si>
  <si>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</si>
  <si>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</si>
  <si>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</si>
  <si>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</si>
  <si>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</si>
  <si>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</si>
  <si>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</si>
  <si>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</si>
  <si>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</si>
  <si>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</si>
  <si>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</si>
  <si>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</si>
  <si>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</si>
  <si>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</si>
  <si>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</si>
  <si>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</si>
  <si>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</si>
  <si>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</si>
  <si>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</si>
  <si>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</si>
  <si>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</si>
  <si>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</si>
  <si>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</si>
  <si>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</si>
  <si>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</si>
  <si>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</si>
  <si>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</si>
  <si>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</si>
  <si>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</si>
  <si>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</si>
  <si>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</si>
  <si>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</si>
  <si>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</si>
  <si>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</si>
  <si>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</si>
  <si>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</si>
  <si>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</si>
  <si>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</si>
  <si>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</si>
  <si>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</si>
  <si>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</si>
  <si>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</si>
  <si>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</si>
  <si>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</si>
  <si>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</si>
  <si>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</si>
  <si>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</si>
  <si>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</si>
  <si>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</si>
  <si>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</si>
  <si>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</si>
  <si>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</si>
  <si>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</si>
  <si>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</si>
  <si>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</si>
  <si>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</si>
  <si>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</si>
  <si>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</si>
  <si>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</si>
  <si>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</si>
  <si>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</si>
  <si>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</si>
  <si>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</si>
  <si>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</si>
  <si>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</si>
  <si>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</si>
  <si>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</si>
  <si>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</si>
  <si>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</si>
  <si>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</si>
  <si>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</si>
  <si>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</si>
  <si>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</si>
  <si>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</si>
  <si>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</si>
  <si>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</si>
  <si>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</si>
  <si>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</si>
  <si>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</si>
  <si>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</si>
  <si>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</si>
  <si>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</si>
  <si>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</si>
  <si>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</si>
  <si>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</si>
  <si>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</si>
  <si>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</si>
  <si>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</si>
  <si>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</si>
  <si>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</si>
  <si>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</si>
  <si>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</si>
  <si>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</si>
  <si>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</si>
  <si>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</si>
  <si>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</si>
  <si>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</si>
  <si>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</si>
  <si>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</si>
  <si>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</si>
  <si>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</si>
  <si>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</si>
  <si>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</si>
  <si>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</si>
  <si>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</si>
  <si>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</si>
  <si>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</si>
  <si>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</si>
  <si>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</si>
  <si>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</si>
  <si>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</si>
  <si>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</si>
  <si>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</si>
  <si>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</si>
  <si>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</si>
  <si>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</si>
  <si>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</si>
  <si>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</si>
  <si>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</si>
  <si>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</si>
  <si>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</si>
  <si>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</si>
  <si>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</si>
  <si>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</si>
  <si>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</si>
  <si>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</si>
  <si>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</si>
  <si>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</si>
  <si>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</si>
  <si>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</si>
  <si>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</si>
  <si>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</si>
  <si>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</si>
  <si>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</si>
  <si>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</si>
  <si>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</si>
  <si>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</si>
  <si>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</si>
  <si>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</si>
  <si>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</si>
  <si>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</si>
  <si>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</si>
  <si>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</si>
  <si>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</si>
  <si>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</si>
  <si>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</si>
  <si>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</si>
  <si>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</si>
  <si>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</si>
  <si>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</si>
  <si>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</si>
  <si>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</si>
  <si>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</si>
  <si>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</si>
  <si>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</si>
  <si>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</si>
  <si>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</si>
  <si>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</si>
  <si>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</si>
  <si>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</si>
  <si>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</si>
  <si>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</si>
  <si>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</si>
  <si>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</si>
  <si>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</si>
  <si>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</si>
  <si>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</si>
  <si>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</si>
  <si>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</si>
  <si>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</si>
  <si>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</si>
  <si>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</si>
  <si>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</si>
  <si>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</si>
  <si>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</si>
  <si>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</si>
  <si>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</si>
  <si>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</si>
  <si>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</si>
  <si>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</si>
  <si>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</si>
  <si>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</si>
  <si>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</si>
  <si>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</si>
  <si>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</si>
  <si>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</si>
  <si>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</si>
  <si>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</si>
  <si>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</si>
  <si>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</si>
  <si>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</si>
  <si>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</si>
  <si>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</si>
  <si>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</si>
  <si>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</si>
  <si>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</si>
  <si>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</si>
  <si>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</si>
  <si>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</si>
  <si>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</si>
  <si>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</si>
  <si>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</si>
  <si>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</si>
  <si>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</si>
  <si>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</si>
  <si>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</si>
  <si>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</si>
  <si>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</si>
  <si>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</si>
  <si>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</si>
  <si>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</si>
  <si>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</si>
  <si>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</si>
  <si>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</si>
  <si>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</si>
  <si>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</si>
  <si>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</si>
  <si>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</si>
  <si>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</si>
  <si>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</si>
  <si>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</si>
  <si>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</si>
  <si>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</si>
  <si>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</si>
  <si>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</si>
  <si>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</si>
  <si>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</si>
  <si>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</si>
  <si>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</si>
  <si>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</si>
  <si>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</si>
  <si>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</si>
  <si>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</si>
  <si>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</si>
  <si>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</si>
  <si>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</si>
  <si>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</si>
  <si>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</si>
  <si>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</si>
  <si>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</si>
  <si>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</si>
  <si>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</si>
  <si>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</si>
  <si>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</si>
  <si>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</si>
  <si>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</si>
  <si>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</si>
  <si>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</si>
  <si>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</si>
  <si>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</si>
  <si>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</si>
  <si>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</si>
  <si>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</si>
  <si>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</si>
  <si>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</si>
  <si>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</si>
  <si>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</si>
  <si>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</si>
  <si>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</si>
  <si>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</si>
  <si>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</si>
  <si>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</si>
  <si>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</si>
  <si>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</si>
  <si>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</si>
  <si>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</si>
  <si>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</si>
  <si>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</si>
  <si>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</si>
  <si>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</si>
  <si>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</si>
  <si>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</si>
  <si>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</si>
  <si>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</si>
  <si>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</si>
  <si>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</si>
  <si>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</si>
  <si>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</si>
  <si>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</si>
  <si>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</si>
  <si>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</si>
  <si>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</si>
  <si>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</si>
  <si>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</si>
  <si>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</si>
  <si>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</si>
  <si>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</si>
  <si>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</si>
  <si>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</si>
  <si>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</si>
  <si>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</si>
  <si>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</si>
  <si>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</si>
  <si>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</si>
  <si>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</si>
  <si>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</si>
  <si>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</si>
  <si>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</si>
  <si>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</si>
  <si>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</si>
  <si>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</si>
  <si>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</si>
  <si>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</si>
  <si>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</si>
  <si>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</si>
  <si>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</si>
  <si>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</si>
  <si>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</si>
  <si>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</si>
  <si>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</si>
  <si>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</si>
  <si>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</si>
  <si>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</si>
  <si>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</si>
  <si>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</si>
  <si>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</si>
  <si>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</si>
  <si>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</si>
  <si>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</si>
  <si>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</si>
  <si>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</si>
  <si>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</si>
  <si>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</si>
  <si>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</si>
  <si>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</si>
  <si>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</si>
  <si>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</si>
  <si>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</si>
  <si>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</si>
  <si>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</si>
  <si>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</si>
  <si>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</si>
  <si>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</si>
  <si>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</si>
  <si>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</si>
  <si>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</si>
  <si>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</si>
  <si>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</si>
  <si>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</si>
  <si>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</si>
  <si>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</si>
  <si>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</si>
  <si>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</si>
  <si>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</si>
  <si>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</si>
  <si>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</si>
  <si>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</si>
  <si>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</si>
  <si>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</si>
  <si>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</si>
  <si>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</si>
  <si>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</si>
  <si>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</si>
  <si>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</si>
  <si>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</si>
  <si>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</si>
  <si>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</si>
  <si>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</si>
  <si>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</si>
  <si>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</si>
  <si>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</si>
  <si>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</si>
  <si>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</si>
  <si>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</si>
  <si>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</si>
  <si>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</si>
  <si>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</si>
  <si>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</si>
  <si>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</si>
  <si>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</si>
  <si>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</si>
  <si>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</si>
  <si>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</si>
  <si>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</si>
  <si>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</si>
  <si>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</si>
  <si>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</si>
  <si>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</si>
  <si>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</si>
  <si>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</si>
  <si>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</si>
  <si>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</si>
  <si>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</si>
  <si>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</si>
  <si>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</si>
  <si>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</si>
  <si>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</si>
  <si>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</si>
  <si>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</si>
  <si>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</si>
  <si>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</si>
  <si>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</si>
  <si>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</si>
  <si>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</si>
  <si>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</si>
  <si>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</si>
  <si>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</si>
  <si>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</si>
  <si>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</si>
  <si>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</si>
  <si>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</si>
  <si>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</si>
  <si>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</si>
  <si>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</si>
  <si>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</si>
  <si>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</si>
  <si>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</si>
  <si>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</si>
  <si>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</si>
  <si>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</si>
  <si>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</si>
  <si>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</si>
  <si>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</si>
  <si>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</si>
  <si>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</si>
  <si>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</si>
  <si>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</si>
  <si>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</si>
  <si>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</si>
  <si>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</si>
  <si>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</si>
  <si>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</si>
  <si>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</si>
  <si>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</si>
  <si>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</si>
  <si>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</si>
  <si>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</si>
  <si>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</si>
  <si>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</si>
  <si>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</si>
  <si>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</si>
  <si>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</si>
  <si>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</si>
  <si>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</si>
  <si>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</si>
  <si>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</si>
  <si>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</si>
  <si>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</si>
  <si>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</si>
  <si>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</si>
  <si>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</si>
  <si>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</si>
  <si>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</si>
  <si>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</si>
  <si>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</si>
  <si>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</si>
  <si>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</si>
  <si>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</si>
  <si>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</si>
  <si>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</si>
  <si>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</si>
  <si>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</si>
  <si>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</si>
  <si>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</si>
  <si>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</si>
  <si>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</si>
  <si>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</si>
  <si>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</si>
  <si>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</si>
  <si>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</si>
  <si>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</si>
  <si>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</si>
  <si>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</si>
  <si>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</si>
  <si>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</si>
  <si>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</si>
  <si>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</si>
  <si>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</si>
  <si>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</si>
  <si>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</si>
  <si>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</si>
  <si>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</si>
  <si>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</si>
  <si>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</si>
  <si>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</si>
  <si>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</si>
  <si>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</si>
  <si>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</si>
  <si>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</si>
  <si>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</si>
  <si>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</si>
  <si>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</si>
  <si>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</si>
  <si>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</si>
  <si>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</si>
  <si>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</si>
  <si>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</si>
  <si>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</si>
  <si>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</si>
  <si>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</si>
  <si>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</si>
  <si>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</si>
  <si>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</si>
  <si>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</si>
  <si>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</si>
  <si>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</si>
  <si>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</si>
  <si>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</si>
  <si>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</si>
  <si>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</si>
  <si>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</si>
  <si>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</si>
  <si>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</si>
  <si>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</si>
  <si>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</si>
  <si>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</si>
  <si>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</si>
  <si>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</si>
  <si>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</si>
  <si>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</si>
  <si>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</si>
  <si>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</si>
  <si>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</si>
  <si>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</si>
  <si>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</si>
  <si>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</si>
  <si>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</si>
  <si>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</si>
  <si>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</si>
  <si>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</si>
  <si>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</si>
  <si>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</si>
  <si>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</si>
  <si>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</si>
  <si>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</si>
  <si>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</si>
  <si>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</si>
  <si>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</si>
  <si>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</si>
  <si>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</si>
  <si>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</si>
  <si>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</si>
  <si>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</si>
  <si>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</si>
  <si>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</si>
  <si>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</si>
  <si>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</si>
  <si>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</si>
  <si>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</si>
  <si>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</si>
  <si>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</si>
  <si>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</si>
  <si>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</si>
  <si>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</si>
  <si>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</si>
  <si>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</si>
  <si>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</si>
  <si>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</si>
  <si>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</si>
  <si>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</si>
  <si>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</si>
  <si>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</si>
  <si>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</si>
  <si>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</si>
  <si>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</si>
  <si>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</si>
  <si>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</si>
  <si>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</si>
  <si>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</si>
  <si>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</si>
  <si>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</si>
  <si>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</si>
  <si>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</si>
  <si>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</si>
  <si>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</si>
  <si>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</si>
  <si>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</si>
  <si>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</si>
  <si>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</si>
  <si>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</si>
  <si>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</si>
  <si>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</si>
  <si>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</si>
  <si>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</si>
  <si>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</si>
  <si>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</si>
  <si>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</si>
  <si>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</si>
  <si>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</si>
  <si>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</si>
  <si>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</si>
  <si>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</si>
  <si>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</si>
  <si>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</si>
  <si>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</si>
  <si>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</si>
  <si>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</si>
  <si>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</si>
  <si>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</si>
  <si>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</si>
  <si>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</si>
  <si>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</si>
  <si>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</si>
  <si>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</si>
  <si>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</si>
  <si>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</si>
  <si>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</si>
  <si>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</si>
  <si>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</si>
  <si>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</si>
  <si>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</si>
  <si>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</si>
  <si>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</si>
  <si>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</si>
  <si>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</si>
  <si>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</si>
  <si>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</si>
  <si>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</si>
  <si>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</si>
  <si>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</si>
  <si>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</si>
  <si>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</si>
  <si>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</si>
  <si>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</si>
  <si>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</si>
  <si>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</si>
  <si>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</si>
  <si>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</si>
  <si>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</si>
  <si>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</si>
  <si>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</si>
  <si>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</si>
  <si>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</si>
  <si>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</si>
  <si>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</si>
  <si>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</si>
  <si>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</si>
  <si>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</si>
  <si>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</si>
  <si>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</si>
  <si>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</si>
  <si>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</si>
  <si>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</si>
  <si>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</si>
  <si>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</si>
  <si>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</si>
  <si>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</si>
  <si>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</si>
  <si>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</si>
  <si>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</si>
  <si>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</si>
  <si>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</si>
  <si>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</si>
  <si>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</si>
  <si>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</si>
  <si>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</si>
  <si>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</si>
  <si>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</si>
  <si>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</si>
  <si>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</si>
  <si>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</si>
  <si>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</si>
  <si>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</si>
  <si>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</si>
  <si>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</si>
  <si>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</si>
  <si>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</si>
  <si>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</si>
  <si>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</si>
  <si>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</si>
  <si>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</si>
  <si>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</si>
  <si>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</si>
  <si>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</si>
  <si>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</si>
  <si>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</si>
  <si>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</si>
  <si>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</si>
  <si>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</si>
  <si>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</si>
  <si>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</si>
  <si>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</si>
  <si>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</si>
  <si>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</si>
  <si>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</si>
  <si>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</si>
  <si>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</si>
  <si>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</si>
  <si>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</si>
  <si>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</si>
  <si>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</si>
  <si>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</si>
  <si>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</si>
  <si>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</si>
  <si>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</si>
  <si>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</si>
  <si>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</si>
  <si>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</si>
  <si>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</si>
  <si>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</si>
  <si>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</si>
  <si>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</si>
  <si>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</si>
  <si>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</si>
  <si>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</si>
  <si>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</si>
  <si>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</si>
  <si>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</si>
  <si>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</si>
  <si>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</si>
  <si>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</si>
  <si>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</si>
  <si>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</si>
  <si>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</si>
  <si>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</si>
  <si>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</si>
  <si>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</si>
  <si>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</si>
  <si>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</si>
  <si>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</si>
  <si>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</si>
  <si>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</si>
  <si>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</si>
  <si>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</si>
  <si>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</si>
  <si>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</si>
  <si>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</si>
  <si>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</si>
  <si>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</si>
  <si>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</si>
  <si>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</si>
  <si>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</si>
  <si>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</si>
  <si>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</si>
  <si>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</si>
  <si>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</si>
  <si>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</si>
  <si>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</si>
  <si>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</si>
  <si>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</si>
  <si>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</si>
  <si>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</si>
  <si>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</si>
  <si>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</si>
  <si>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</si>
  <si>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</si>
  <si>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</si>
  <si>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</si>
  <si>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</si>
  <si>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</si>
  <si>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</si>
  <si>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</si>
  <si>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</si>
  <si>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</si>
  <si>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</si>
  <si>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</si>
  <si>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</si>
  <si>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</si>
  <si>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</si>
  <si>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</si>
  <si>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</si>
  <si>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</si>
  <si>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</si>
  <si>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</si>
  <si>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</si>
  <si>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</si>
  <si>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</si>
  <si>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</si>
  <si>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</si>
  <si>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</si>
  <si>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</si>
  <si>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</si>
  <si>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</si>
  <si>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</si>
  <si>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</si>
  <si>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</si>
  <si>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</si>
  <si>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</si>
  <si>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</si>
  <si>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</si>
  <si>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</si>
  <si>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</si>
  <si>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</si>
  <si>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</si>
  <si>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</si>
  <si>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</si>
  <si>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</si>
  <si>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</si>
  <si>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</si>
  <si>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</si>
  <si>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</si>
  <si>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</si>
  <si>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</si>
  <si>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</si>
  <si>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</si>
  <si>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</si>
  <si>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</si>
  <si>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</si>
  <si>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</si>
  <si>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</si>
  <si>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</si>
  <si>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</si>
  <si>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</si>
  <si>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</si>
  <si>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</si>
  <si>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</si>
  <si>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</si>
  <si>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</si>
  <si>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</si>
  <si>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</si>
  <si>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</si>
  <si>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</si>
  <si>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</si>
  <si>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</si>
  <si>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</si>
  <si>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</si>
  <si>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</si>
  <si>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</si>
  <si>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</si>
  <si>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</si>
  <si>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</si>
  <si>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</si>
  <si>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</si>
  <si>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</si>
  <si>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</si>
  <si>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</si>
  <si>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</si>
  <si>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</si>
  <si>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</si>
  <si>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</si>
  <si>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</si>
  <si>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</si>
  <si>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</si>
  <si>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</si>
  <si>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</si>
  <si>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</si>
  <si>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</si>
  <si>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</si>
  <si>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</si>
  <si>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</si>
  <si>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</si>
  <si>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</si>
  <si>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</si>
  <si>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</si>
  <si>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</si>
  <si>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</si>
  <si>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</si>
  <si>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</si>
  <si>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</si>
  <si>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</si>
  <si>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</si>
  <si>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</si>
  <si>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</si>
  <si>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</si>
  <si>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</si>
  <si>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</si>
  <si>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</si>
  <si>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</si>
  <si>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</si>
  <si>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</si>
  <si>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</si>
  <si>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</si>
  <si>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</si>
  <si>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</si>
  <si>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</si>
  <si>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</si>
  <si>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</si>
  <si>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</si>
  <si>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</si>
  <si>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</si>
  <si>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</si>
  <si>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</si>
  <si>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</si>
  <si>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</si>
  <si>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</si>
  <si>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</si>
  <si>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</si>
  <si>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</si>
  <si>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</si>
  <si>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</si>
  <si>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</si>
  <si>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</si>
  <si>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</si>
  <si>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</si>
  <si>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</si>
  <si>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</si>
  <si>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</si>
  <si>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</si>
  <si>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</si>
  <si>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</si>
  <si>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</si>
  <si>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</si>
  <si>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</si>
  <si>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</si>
  <si>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</si>
  <si>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</si>
  <si>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</si>
  <si>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</si>
  <si>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</si>
  <si>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</si>
  <si>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</si>
  <si>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</si>
  <si>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</si>
  <si>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</si>
  <si>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</si>
  <si>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</si>
  <si>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</si>
  <si>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</si>
  <si>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</si>
  <si>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</si>
  <si>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</si>
  <si>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</si>
  <si>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</si>
  <si>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</si>
  <si>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</si>
  <si>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</si>
  <si>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</si>
  <si>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</si>
  <si>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</si>
  <si>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</si>
  <si>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</si>
  <si>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</si>
  <si>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</si>
  <si>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</si>
  <si>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</si>
  <si>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</si>
  <si>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</si>
  <si>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</si>
  <si>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</si>
  <si>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</si>
  <si>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</si>
  <si>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</si>
  <si>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</si>
  <si>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</si>
  <si>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</si>
  <si>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</si>
  <si>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</si>
  <si>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</si>
  <si>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</si>
  <si>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</si>
  <si>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</si>
  <si>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</si>
  <si>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</si>
  <si>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</si>
  <si>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</si>
  <si>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</si>
  <si>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</si>
  <si>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</si>
  <si>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</si>
  <si>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</si>
  <si>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</si>
  <si>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</si>
  <si>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</si>
  <si>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</si>
  <si>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</si>
  <si>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</si>
  <si>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</si>
  <si>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</si>
  <si>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</si>
  <si>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</si>
  <si>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</si>
  <si>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</si>
  <si>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</si>
  <si>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</si>
  <si>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</si>
  <si>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</si>
  <si>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</si>
  <si>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</si>
  <si>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</si>
  <si>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</si>
  <si>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</si>
  <si>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</si>
  <si>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</si>
  <si>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</si>
  <si>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</si>
  <si>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</si>
  <si>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</si>
  <si>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</si>
  <si>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</si>
  <si>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</si>
  <si>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</si>
  <si>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</si>
  <si>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</si>
  <si>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</si>
  <si>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</si>
  <si>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</si>
  <si>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</si>
  <si>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</si>
  <si>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</si>
  <si>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</si>
  <si>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</si>
  <si>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</si>
  <si>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</si>
  <si>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</si>
  <si>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</si>
  <si>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</si>
  <si>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</si>
  <si>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</si>
  <si>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</si>
  <si>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</si>
  <si>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</si>
  <si>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</si>
  <si>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</si>
  <si>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</si>
  <si>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</si>
  <si>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</si>
  <si>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</si>
  <si>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</si>
  <si>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</si>
  <si>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</si>
  <si>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</si>
  <si>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</si>
  <si>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</si>
  <si>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</si>
  <si>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</si>
  <si>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</si>
  <si>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</si>
  <si>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</si>
  <si>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</si>
  <si>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</si>
  <si>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</si>
  <si>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</si>
  <si>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</si>
  <si>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</si>
  <si>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</si>
  <si>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</si>
  <si>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</si>
  <si>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</si>
  <si>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</si>
  <si>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</si>
  <si>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</si>
  <si>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</si>
  <si>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</si>
  <si>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</si>
  <si>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</si>
  <si>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</si>
  <si>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</si>
  <si>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</si>
  <si>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</si>
  <si>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</si>
  <si>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</si>
  <si>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</si>
  <si>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</si>
  <si>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</si>
  <si>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</si>
  <si>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</si>
  <si>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</si>
  <si>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</si>
  <si>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</si>
  <si>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</si>
  <si>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</si>
  <si>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</si>
  <si>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</si>
  <si>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</si>
  <si>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</si>
  <si>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</si>
  <si>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</si>
  <si>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</si>
  <si>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</si>
  <si>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</si>
  <si>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</si>
  <si>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</si>
  <si>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</si>
  <si>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</si>
  <si>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</si>
  <si>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</si>
  <si>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</si>
  <si>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</si>
  <si>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</si>
  <si>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</si>
  <si>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</si>
  <si>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</si>
  <si>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</si>
  <si>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</si>
  <si>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</si>
  <si>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</si>
  <si>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</si>
  <si>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</si>
  <si>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</si>
  <si>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</si>
  <si>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</si>
  <si>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</si>
  <si>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</si>
  <si>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</si>
  <si>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</si>
  <si>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</si>
  <si>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</si>
  <si>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</si>
  <si>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</si>
  <si>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</si>
  <si>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</si>
  <si>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</si>
  <si>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</si>
  <si>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</si>
  <si>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</si>
  <si>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</si>
  <si>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</si>
  <si>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</si>
  <si>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</si>
  <si>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</si>
  <si>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</si>
  <si>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</si>
  <si>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</si>
  <si>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</si>
  <si>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</si>
  <si>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</si>
  <si>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</si>
  <si>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</si>
  <si>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</si>
  <si>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</si>
  <si>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</si>
  <si>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</si>
  <si>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</si>
  <si>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</si>
  <si>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</si>
  <si>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</si>
  <si>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</si>
  <si>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</si>
  <si>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</si>
  <si>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</si>
  <si>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</si>
  <si>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</si>
  <si>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</si>
  <si>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</si>
  <si>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</si>
  <si>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</si>
  <si>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</si>
  <si>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</si>
  <si>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</si>
  <si>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</si>
  <si>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</si>
  <si>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</si>
  <si>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</si>
  <si>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</si>
  <si>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</si>
  <si>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</si>
  <si>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</si>
  <si>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</si>
  <si>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</si>
  <si>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</si>
  <si>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</si>
  <si>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</si>
  <si>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</si>
  <si>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</si>
  <si>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</si>
  <si>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</si>
  <si>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</si>
  <si>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</si>
  <si>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</si>
  <si>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</si>
  <si>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</si>
  <si>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</si>
  <si>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</si>
  <si>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</si>
  <si>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</si>
  <si>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</si>
  <si>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</si>
  <si>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</si>
  <si>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</si>
  <si>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</si>
  <si>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</si>
  <si>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</si>
  <si>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</si>
  <si>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</si>
  <si>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</si>
  <si>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</si>
  <si>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</si>
  <si>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</si>
  <si>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</si>
  <si>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</si>
  <si>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</si>
  <si>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</si>
  <si>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</si>
  <si>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</si>
  <si>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</si>
  <si>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</si>
  <si>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</si>
  <si>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</si>
  <si>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</si>
  <si>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</si>
  <si>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</si>
  <si>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</si>
  <si>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</si>
  <si>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</si>
  <si>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</si>
  <si>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</si>
  <si>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</si>
  <si>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</si>
  <si>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</si>
  <si>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</si>
  <si>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</si>
  <si>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</si>
  <si>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</si>
  <si>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</si>
  <si>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</si>
  <si>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</si>
  <si>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</si>
  <si>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</si>
  <si>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</si>
  <si>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</si>
  <si>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</si>
  <si>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</si>
  <si>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</si>
  <si>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</si>
  <si>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</si>
  <si>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</si>
  <si>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</si>
  <si>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</si>
  <si>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</si>
  <si>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</si>
  <si>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</si>
  <si>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</si>
  <si>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</si>
  <si>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</si>
  <si>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</si>
  <si>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</si>
  <si>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</si>
  <si>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</si>
  <si>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</si>
  <si>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</si>
  <si>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</si>
  <si>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</si>
  <si>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</si>
  <si>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</si>
  <si>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</si>
  <si>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</si>
  <si>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</si>
  <si>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</si>
  <si>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</si>
  <si>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</si>
  <si>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</si>
  <si>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</si>
  <si>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</si>
  <si>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</si>
  <si>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</si>
  <si>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</si>
  <si>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</si>
  <si>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</si>
  <si>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</si>
  <si>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</si>
  <si>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</si>
  <si>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</si>
  <si>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</si>
  <si>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</si>
  <si>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</si>
  <si>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</si>
  <si>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</si>
  <si>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</si>
  <si>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</si>
  <si>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</si>
  <si>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</si>
  <si>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</si>
  <si>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</si>
  <si>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</si>
  <si>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</si>
  <si>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</si>
  <si>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</si>
  <si>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</si>
  <si>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</si>
  <si>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</si>
  <si>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</si>
  <si>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</si>
  <si>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</si>
  <si>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</si>
  <si>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</si>
  <si>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</si>
  <si>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</si>
  <si>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</si>
  <si>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</si>
  <si>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</si>
  <si>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</si>
  <si>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</si>
  <si>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</si>
  <si>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</si>
  <si>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</si>
  <si>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</si>
  <si>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</si>
  <si>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</si>
  <si>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</si>
  <si>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</si>
  <si>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</si>
  <si>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</si>
  <si>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</si>
  <si>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</si>
  <si>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</si>
  <si>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</si>
  <si>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</si>
  <si>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</si>
  <si>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</si>
  <si>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</si>
  <si>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</si>
  <si>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</si>
  <si>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</si>
  <si>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</si>
  <si>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</si>
  <si>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</si>
  <si>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</si>
  <si>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</si>
  <si>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</si>
  <si>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</si>
  <si>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</si>
  <si>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</si>
  <si>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</si>
  <si>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</si>
  <si>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</si>
  <si>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</si>
  <si>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</si>
  <si>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</si>
  <si>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</si>
  <si>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</si>
  <si>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</si>
  <si>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</si>
  <si>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</si>
  <si>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</si>
  <si>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</si>
  <si>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</si>
  <si>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</si>
  <si>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</si>
  <si>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</si>
  <si>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</si>
  <si>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</si>
  <si>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</si>
  <si>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</si>
  <si>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</si>
  <si>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</si>
  <si>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</si>
  <si>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</si>
  <si>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</si>
  <si>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</si>
  <si>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</si>
  <si>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</si>
  <si>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</si>
  <si>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</si>
  <si>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</si>
  <si>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</si>
  <si>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</si>
  <si>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</si>
  <si>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</si>
  <si>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</si>
  <si>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</si>
  <si>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</si>
  <si>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</si>
  <si>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</si>
  <si>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</si>
  <si>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</si>
  <si>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</si>
  <si>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</si>
  <si>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</si>
  <si>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</si>
  <si>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</si>
  <si>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</si>
  <si>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</si>
  <si>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</si>
  <si>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</si>
  <si>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</si>
  <si>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</si>
  <si>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</si>
  <si>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</si>
  <si>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</si>
  <si>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</si>
  <si>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</si>
  <si>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</si>
  <si>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</si>
  <si>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</si>
  <si>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</si>
  <si>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</si>
  <si>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</si>
  <si>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</si>
  <si>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</si>
  <si>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</si>
  <si>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</si>
  <si>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</si>
  <si>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</si>
  <si>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</si>
  <si>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</si>
  <si>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</si>
  <si>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</si>
  <si>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</si>
  <si>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</si>
  <si>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</si>
  <si>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</si>
  <si>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</si>
  <si>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</si>
  <si>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</si>
  <si>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</si>
  <si>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</si>
  <si>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</si>
  <si>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</si>
  <si>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</si>
  <si>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</si>
  <si>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</si>
  <si>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</si>
  <si>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</si>
  <si>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</si>
  <si>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</si>
  <si>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</si>
  <si>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</si>
  <si>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</si>
  <si>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</si>
  <si>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</si>
  <si>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</si>
  <si>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</si>
  <si>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</si>
  <si>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</si>
  <si>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</si>
  <si>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</si>
  <si>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</si>
  <si>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</si>
  <si>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</si>
  <si>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</si>
  <si>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</si>
  <si>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</si>
  <si>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</si>
  <si>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</si>
  <si>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</si>
  <si>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</si>
  <si>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</si>
  <si>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</si>
  <si>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</si>
  <si>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</si>
  <si>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</si>
  <si>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</si>
  <si>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</si>
  <si>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</si>
  <si>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</si>
  <si>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</si>
  <si>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</si>
  <si>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</si>
  <si>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</si>
  <si>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</si>
  <si>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</si>
  <si>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</si>
  <si>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</si>
  <si>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</si>
  <si>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</si>
  <si>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</si>
  <si>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</si>
  <si>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</si>
  <si>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</si>
  <si>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</si>
  <si>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</si>
  <si>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</si>
  <si>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</si>
  <si>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</si>
  <si>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</si>
  <si>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</si>
  <si>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</si>
  <si>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</si>
  <si>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</si>
  <si>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</si>
  <si>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</si>
  <si>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</si>
  <si>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</si>
  <si>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</si>
  <si>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</si>
  <si>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</si>
  <si>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</si>
  <si>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</si>
  <si>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</si>
  <si>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</si>
  <si>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</si>
  <si>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</si>
  <si>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</si>
  <si>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</si>
  <si>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</si>
  <si>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</si>
  <si>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</si>
  <si>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</si>
  <si>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</si>
  <si>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</si>
  <si>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</si>
  <si>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</si>
  <si>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</si>
  <si>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</si>
  <si>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</si>
  <si>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</si>
  <si>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</si>
  <si>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</si>
  <si>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</si>
  <si>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</si>
  <si>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</si>
  <si>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</si>
  <si>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</si>
  <si>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</si>
  <si>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</si>
  <si>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</si>
  <si>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</si>
  <si>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</si>
  <si>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</si>
  <si>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</si>
  <si>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</si>
  <si>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</si>
  <si>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</si>
  <si>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</si>
  <si>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</si>
  <si>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</si>
  <si>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</si>
  <si>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</si>
  <si>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</si>
  <si>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</si>
  <si>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</si>
  <si>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</si>
  <si>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</si>
  <si>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</si>
  <si>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</si>
  <si>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</si>
  <si>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</si>
  <si>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</si>
  <si>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</si>
  <si>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</si>
  <si>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</si>
  <si>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</si>
  <si>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</si>
  <si>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</si>
  <si>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</si>
  <si>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</si>
  <si>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</si>
  <si>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</si>
  <si>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</si>
  <si>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</si>
  <si>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</si>
  <si>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</si>
  <si>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</si>
  <si>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</si>
  <si>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</si>
  <si>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</si>
  <si>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</si>
  <si>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</si>
  <si>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</si>
  <si>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</si>
  <si>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</si>
  <si>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</si>
  <si>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</si>
  <si>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</si>
  <si>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</si>
  <si>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</si>
  <si>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</si>
  <si>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</si>
  <si>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</si>
  <si>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</si>
  <si>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</si>
  <si>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</si>
  <si>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</si>
  <si>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</si>
  <si>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</si>
  <si>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</si>
  <si>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</si>
  <si>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</si>
  <si>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</si>
  <si>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</si>
  <si>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</si>
  <si>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</si>
  <si>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</si>
  <si>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</si>
  <si>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</si>
  <si>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</si>
  <si>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</si>
  <si>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</si>
  <si>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</si>
  <si>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</si>
  <si>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</si>
  <si>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</si>
  <si>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</si>
  <si>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</si>
  <si>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</si>
  <si>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</si>
  <si>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</si>
  <si>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</si>
  <si>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</si>
  <si>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</si>
  <si>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</si>
  <si>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</si>
  <si>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</si>
  <si>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</si>
  <si>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</si>
  <si>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</si>
  <si>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</si>
  <si>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</si>
  <si>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</si>
  <si>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</si>
  <si>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</si>
  <si>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</si>
  <si>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</si>
  <si>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</si>
  <si>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</si>
  <si>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</si>
  <si>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</si>
  <si>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</si>
  <si>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</si>
  <si>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</si>
  <si>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</si>
  <si>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</si>
  <si>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</si>
  <si>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</si>
  <si>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</si>
  <si>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</si>
  <si>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</si>
  <si>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</si>
  <si>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</si>
  <si>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</si>
  <si>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</si>
  <si>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</si>
  <si>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</si>
  <si>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</si>
  <si>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</si>
  <si>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</si>
  <si>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</si>
  <si>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</si>
  <si>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</si>
  <si>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</si>
  <si>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</si>
  <si>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</si>
  <si>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</si>
  <si>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</si>
  <si>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</si>
  <si>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</si>
  <si>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</si>
  <si>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</si>
  <si>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</si>
  <si>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</si>
  <si>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</si>
  <si>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</si>
  <si>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</si>
  <si>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</si>
  <si>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</si>
  <si>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</si>
  <si>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</si>
  <si>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</si>
  <si>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</si>
  <si>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</si>
  <si>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</si>
  <si>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</si>
  <si>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</si>
  <si>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</si>
  <si>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</si>
  <si>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</si>
  <si>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</si>
  <si>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</si>
  <si>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</si>
  <si>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</si>
  <si>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</si>
  <si>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</si>
  <si>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</si>
  <si>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</si>
  <si>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</si>
  <si>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</si>
  <si>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</si>
  <si>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</si>
  <si>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</si>
  <si>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</si>
  <si>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</si>
  <si>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</si>
  <si>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</si>
  <si>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</si>
  <si>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</si>
  <si>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</si>
  <si>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</si>
  <si>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</si>
  <si>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</si>
  <si>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</si>
  <si>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</si>
  <si>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</si>
  <si>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</si>
  <si>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</si>
  <si>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</si>
  <si>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</si>
  <si>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</si>
  <si>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</si>
  <si>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</si>
  <si>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</si>
  <si>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</si>
  <si>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</si>
  <si>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</si>
  <si>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</si>
  <si>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</si>
  <si>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</si>
  <si>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</si>
  <si>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</si>
  <si>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</si>
  <si>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</si>
  <si>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</si>
  <si>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</si>
  <si>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</si>
  <si>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</si>
  <si>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</si>
  <si>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</si>
  <si>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</si>
  <si>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</si>
  <si>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</si>
  <si>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</si>
  <si>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</si>
  <si>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</si>
  <si>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</si>
  <si>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</si>
  <si>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</si>
  <si>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</si>
  <si>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</si>
  <si>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</si>
  <si>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</si>
  <si>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</si>
  <si>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</si>
  <si>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</si>
  <si>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</si>
  <si>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</si>
  <si>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</si>
  <si>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</si>
  <si>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</si>
  <si>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</si>
  <si>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</si>
  <si>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</si>
  <si>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</si>
  <si>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</si>
  <si>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</si>
  <si>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</si>
  <si>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</si>
  <si>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</si>
  <si>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</si>
  <si>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</si>
  <si>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</si>
  <si>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</si>
  <si>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</si>
  <si>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</si>
  <si>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</si>
  <si>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</si>
  <si>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</si>
  <si>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</si>
  <si>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</si>
  <si>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</si>
  <si>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</si>
  <si>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</si>
  <si>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</si>
  <si>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</si>
  <si>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</si>
  <si>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</si>
  <si>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</si>
  <si>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</si>
  <si>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</si>
  <si>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</si>
  <si>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</si>
  <si>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</si>
  <si>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</si>
  <si>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</si>
  <si>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</si>
  <si>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</si>
  <si>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</si>
  <si>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</si>
  <si>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</si>
  <si>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</si>
  <si>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</si>
  <si>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</si>
  <si>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</si>
  <si>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</si>
  <si>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</si>
  <si>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</si>
  <si>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</si>
  <si>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</si>
  <si>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</si>
  <si>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</si>
  <si>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</si>
  <si>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</si>
  <si>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</si>
  <si>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</si>
  <si>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</si>
  <si>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</si>
  <si>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</si>
  <si>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</si>
  <si>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</si>
  <si>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</si>
  <si>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</si>
  <si>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</si>
  <si>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</si>
  <si>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</si>
  <si>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</si>
  <si>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</si>
  <si>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</si>
  <si>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</si>
  <si>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</si>
  <si>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</si>
  <si>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</si>
  <si>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</si>
  <si>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</si>
  <si>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</si>
  <si>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</si>
  <si>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</si>
  <si>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</si>
  <si>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</si>
  <si>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</si>
  <si>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</si>
  <si>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</si>
  <si>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</si>
  <si>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</si>
  <si>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</si>
  <si>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</si>
  <si>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</si>
  <si>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</si>
  <si>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</si>
  <si>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</si>
  <si>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</si>
  <si>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</si>
  <si>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</si>
  <si>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</si>
  <si>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</si>
  <si>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</si>
  <si>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</si>
  <si>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</si>
  <si>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</si>
  <si>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</si>
  <si>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</si>
  <si>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</si>
  <si>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</si>
  <si>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</si>
  <si>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</si>
  <si>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</si>
  <si>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</si>
  <si>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</si>
  <si>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</si>
  <si>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</si>
  <si>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</si>
  <si>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</si>
  <si>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</si>
  <si>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</si>
  <si>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</si>
  <si>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</si>
  <si>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</si>
  <si>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</si>
  <si>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</si>
  <si>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</si>
  <si>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</si>
  <si>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</si>
  <si>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</si>
  <si>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</si>
  <si>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</si>
  <si>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</si>
  <si>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</si>
  <si>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</si>
  <si>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</si>
  <si>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</si>
  <si>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</si>
  <si>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</si>
  <si>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</si>
  <si>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</si>
  <si>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</si>
  <si>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</si>
  <si>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</si>
  <si>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</si>
  <si>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</si>
  <si>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</si>
  <si>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</si>
  <si>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</si>
  <si>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</si>
  <si>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</si>
  <si>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</si>
  <si>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</si>
  <si>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</si>
  <si>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</si>
  <si>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</si>
  <si>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</si>
  <si>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</si>
  <si>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</si>
  <si>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</si>
  <si>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</si>
  <si>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</si>
  <si>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</si>
  <si>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</si>
  <si>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</si>
  <si>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</si>
  <si>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</si>
  <si>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</si>
  <si>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</si>
  <si>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</si>
  <si>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</si>
  <si>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</si>
  <si>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</si>
  <si>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</si>
  <si>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</si>
  <si>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</si>
  <si>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</si>
  <si>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</si>
  <si>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</si>
  <si>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</si>
  <si>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</si>
  <si>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</si>
  <si>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</si>
  <si>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</si>
  <si>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</si>
  <si>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</si>
  <si>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</si>
  <si>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</si>
  <si>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</si>
  <si>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</si>
  <si>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</si>
  <si>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</si>
  <si>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</si>
  <si>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</si>
  <si>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</si>
  <si>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</si>
  <si>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</si>
  <si>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</si>
  <si>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</si>
  <si>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</si>
  <si>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</si>
  <si>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</si>
  <si>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</si>
  <si>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</si>
  <si>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</si>
  <si>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</si>
  <si>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</si>
  <si>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</si>
  <si>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</si>
  <si>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</si>
  <si>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</si>
  <si>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</si>
  <si>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</si>
  <si>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</si>
  <si>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</si>
  <si>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</si>
  <si>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</si>
  <si>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</si>
  <si>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</si>
  <si>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</si>
  <si>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</si>
  <si>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</si>
  <si>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</si>
  <si>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</si>
  <si>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</si>
  <si>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</si>
  <si>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</si>
  <si>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</si>
  <si>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</si>
  <si>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</si>
  <si>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</si>
  <si>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</si>
  <si>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</si>
  <si>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</si>
  <si>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</si>
  <si>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</si>
  <si>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</si>
  <si>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</si>
  <si>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</si>
  <si>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</si>
  <si>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</si>
  <si>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</si>
  <si>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</si>
  <si>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</si>
  <si>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</si>
  <si>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</si>
  <si>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</si>
  <si>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</si>
  <si>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</si>
  <si>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</si>
  <si>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</si>
  <si>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</si>
  <si>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</si>
  <si>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</si>
  <si>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</si>
  <si>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</si>
  <si>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</si>
  <si>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</si>
  <si>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</si>
  <si>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</si>
  <si>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</si>
  <si>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</si>
  <si>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</si>
  <si>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</si>
  <si>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</si>
  <si>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</si>
  <si>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</si>
  <si>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</si>
  <si>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</si>
  <si>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</si>
  <si>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</si>
  <si>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</si>
  <si>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</si>
  <si>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</si>
  <si>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</si>
  <si>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</si>
  <si>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</si>
  <si>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</si>
  <si>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</si>
  <si>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</si>
  <si>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</si>
  <si>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</si>
  <si>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</si>
  <si>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</si>
  <si>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</si>
  <si>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</si>
  <si>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</si>
  <si>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</si>
  <si>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</si>
  <si>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</si>
  <si>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</si>
  <si>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</si>
  <si>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</si>
  <si>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</si>
  <si>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</si>
  <si>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</si>
  <si>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</si>
  <si>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</si>
  <si>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</si>
  <si>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</si>
  <si>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</si>
  <si>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</si>
  <si>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</si>
  <si>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</si>
  <si>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</si>
  <si>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</si>
  <si>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</si>
  <si>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</si>
  <si>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</si>
  <si>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</si>
  <si>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</si>
  <si>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</si>
  <si>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</si>
  <si>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</si>
  <si>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</si>
  <si>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</si>
  <si>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</si>
  <si>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</si>
  <si>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</si>
  <si>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</si>
  <si>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</si>
  <si>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</si>
  <si>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</si>
  <si>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</si>
  <si>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</si>
  <si>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</si>
  <si>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</si>
  <si>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</si>
  <si>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</si>
  <si>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</si>
  <si>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</si>
  <si>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</si>
  <si>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</si>
  <si>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</si>
  <si>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</si>
  <si>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</si>
  <si>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</si>
  <si>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</si>
  <si>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</si>
  <si>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</si>
  <si>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</si>
  <si>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</si>
  <si>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</si>
  <si>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</si>
  <si>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</si>
  <si>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</si>
  <si>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</si>
  <si>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</si>
  <si>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</si>
  <si>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</si>
  <si>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</si>
  <si>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</si>
  <si>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</si>
  <si>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</si>
  <si>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</si>
  <si>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</si>
  <si>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</si>
  <si>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</si>
  <si>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</si>
  <si>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</si>
  <si>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</si>
  <si>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</si>
  <si>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</si>
  <si>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</si>
  <si>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</si>
  <si>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</si>
  <si>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</si>
  <si>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</si>
  <si>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</si>
  <si>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</si>
  <si>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</si>
  <si>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</si>
  <si>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</si>
  <si>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</si>
  <si>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</si>
  <si>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</si>
  <si>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</si>
  <si>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</si>
  <si>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</si>
  <si>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</si>
  <si>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</si>
  <si>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</si>
  <si>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</si>
  <si>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</si>
  <si>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</si>
  <si>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</si>
  <si>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</si>
  <si>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</si>
  <si>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</si>
  <si>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</si>
  <si>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</si>
  <si>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</si>
  <si>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</si>
  <si>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</si>
  <si>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</si>
  <si>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</si>
  <si>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</si>
  <si>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</si>
  <si>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</si>
  <si>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</si>
  <si>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</si>
  <si>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</si>
  <si>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</si>
  <si>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</si>
  <si>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</si>
  <si>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</si>
  <si>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</si>
  <si>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</si>
  <si>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</si>
  <si>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</si>
  <si>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</si>
  <si>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</si>
  <si>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</si>
  <si>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</si>
  <si>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</si>
  <si>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</si>
  <si>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</si>
  <si>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</si>
  <si>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</si>
  <si>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</si>
  <si>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</si>
  <si>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</si>
  <si>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</si>
  <si>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</si>
  <si>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</si>
  <si>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</si>
  <si>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</si>
  <si>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</si>
  <si>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</si>
  <si>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</si>
  <si>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</si>
  <si>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</si>
  <si>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</si>
  <si>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</si>
  <si>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</si>
  <si>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</si>
  <si>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</si>
  <si>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</si>
  <si>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</si>
  <si>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</si>
  <si>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</si>
  <si>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</si>
  <si>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</si>
  <si>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</si>
  <si>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</si>
  <si>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</si>
  <si>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</si>
  <si>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</si>
  <si>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</si>
  <si>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</si>
  <si>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</si>
  <si>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</si>
  <si>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</si>
  <si>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</si>
  <si>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</si>
  <si>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</si>
  <si>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</si>
  <si>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</si>
  <si>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</si>
  <si>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</si>
  <si>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</si>
  <si>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</si>
  <si>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</si>
  <si>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</si>
  <si>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</si>
  <si>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</si>
  <si>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</si>
  <si>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</si>
  <si>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</si>
  <si>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</si>
  <si>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</si>
  <si>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</si>
  <si>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</si>
  <si>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</si>
  <si>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</si>
  <si>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</si>
  <si>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</si>
  <si>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</si>
  <si>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</si>
  <si>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</si>
  <si>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</si>
  <si>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</si>
  <si>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</si>
  <si>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</si>
  <si>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</si>
  <si>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</si>
  <si>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</si>
  <si>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</si>
  <si>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</si>
  <si>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</si>
  <si>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</si>
  <si>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</si>
  <si>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</si>
  <si>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</si>
  <si>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</si>
  <si>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</si>
  <si>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</si>
  <si>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</si>
  <si>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</si>
  <si>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</si>
  <si>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</si>
  <si>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</si>
  <si>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</si>
  <si>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</si>
  <si>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</si>
  <si>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</si>
  <si>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</si>
  <si>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</si>
  <si>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</si>
  <si>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</si>
  <si>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</si>
  <si>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</si>
  <si>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</si>
  <si>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</si>
  <si>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</si>
  <si>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</si>
  <si>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</si>
  <si>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</si>
  <si>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</si>
  <si>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</si>
  <si>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</si>
  <si>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</si>
  <si>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</si>
  <si>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</si>
  <si>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</si>
  <si>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</si>
  <si>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</si>
  <si>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</si>
  <si>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</si>
  <si>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</si>
  <si>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</si>
  <si>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</si>
  <si>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</si>
  <si>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</si>
  <si>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</si>
  <si>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</si>
  <si>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</si>
  <si>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</si>
  <si>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</si>
  <si>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</si>
  <si>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</si>
  <si>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</si>
  <si>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</si>
  <si>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</si>
  <si>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</si>
  <si>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</si>
  <si>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</si>
  <si>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</si>
  <si>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</si>
  <si>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</si>
  <si>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</si>
  <si>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</si>
  <si>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</si>
  <si>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</si>
  <si>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</si>
  <si>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</si>
  <si>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</si>
  <si>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</si>
  <si>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</si>
  <si>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</si>
  <si>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</si>
  <si>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</si>
  <si>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</si>
  <si>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</si>
  <si>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</si>
  <si>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</si>
  <si>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</si>
  <si>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</si>
  <si>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</si>
  <si>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</si>
  <si>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</si>
  <si>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</si>
  <si>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</si>
  <si>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</si>
  <si>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</si>
  <si>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</si>
  <si>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</si>
  <si>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</si>
  <si>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</si>
  <si>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</si>
  <si>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</si>
  <si>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</si>
  <si>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</si>
  <si>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</si>
  <si>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</si>
  <si>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</si>
  <si>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</si>
  <si>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</si>
  <si>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</si>
  <si>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</si>
  <si>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</si>
  <si>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</si>
  <si>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</si>
  <si>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</si>
  <si>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</si>
  <si>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</si>
  <si>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</si>
  <si>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</si>
  <si>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</si>
  <si>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</si>
  <si>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</si>
  <si>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</si>
  <si>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</si>
  <si>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</si>
  <si>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</si>
  <si>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</si>
  <si>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</si>
  <si>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</si>
  <si>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</si>
  <si>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</si>
  <si>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</si>
  <si>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</si>
  <si>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</si>
  <si>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</si>
  <si>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</si>
  <si>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</si>
  <si>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</si>
  <si>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</si>
  <si>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</si>
  <si>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</si>
  <si>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</si>
  <si>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</si>
  <si>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</si>
  <si>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</si>
  <si>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</si>
  <si>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</si>
  <si>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</si>
  <si>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</si>
  <si>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</si>
  <si>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</si>
  <si>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</si>
  <si>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</si>
  <si>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</si>
  <si>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</si>
  <si>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</si>
  <si>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</si>
  <si>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</si>
  <si>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</si>
  <si>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</si>
  <si>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</si>
  <si>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</si>
  <si>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</si>
  <si>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</si>
  <si>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</si>
  <si>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</si>
  <si>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</si>
  <si>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</si>
  <si>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</si>
  <si>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</si>
  <si>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</si>
  <si>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</si>
  <si>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</si>
  <si>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</si>
  <si>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</si>
  <si>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</si>
  <si>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</si>
  <si>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</si>
  <si>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</si>
  <si>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</si>
  <si>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</si>
  <si>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</si>
  <si>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</si>
  <si>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</si>
  <si>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</si>
  <si>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</si>
  <si>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</si>
  <si>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</si>
  <si>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</si>
  <si>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</si>
  <si>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</si>
  <si>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</si>
  <si>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</si>
  <si>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</si>
  <si>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</si>
  <si>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</si>
  <si>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</si>
  <si>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</si>
  <si>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</si>
  <si>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</si>
  <si>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</si>
  <si>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</si>
  <si>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</si>
  <si>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</si>
  <si>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</si>
  <si>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</si>
  <si>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</si>
  <si>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</si>
  <si>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</si>
  <si>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</si>
  <si>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</si>
  <si>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</si>
  <si>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</si>
  <si>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</si>
  <si>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</si>
  <si>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</si>
  <si>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</si>
  <si>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</si>
  <si>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</si>
  <si>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</si>
  <si>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</si>
  <si>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</si>
  <si>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</si>
  <si>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</si>
  <si>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</si>
  <si>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</si>
  <si>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</si>
  <si>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</si>
  <si>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</si>
  <si>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</si>
  <si>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</si>
  <si>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</si>
  <si>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</si>
  <si>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</si>
  <si>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</si>
  <si>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</si>
  <si>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</si>
  <si>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</si>
  <si>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</si>
  <si>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</si>
  <si>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</si>
  <si>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</si>
  <si>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</si>
  <si>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</si>
  <si>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</si>
  <si>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</si>
  <si>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</si>
  <si>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</si>
  <si>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</si>
  <si>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</si>
  <si>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</si>
  <si>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</si>
  <si>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</si>
  <si>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</si>
  <si>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</si>
  <si>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</si>
  <si>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</si>
  <si>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</si>
  <si>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</si>
  <si>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</si>
  <si>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</si>
  <si>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</si>
  <si>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</si>
  <si>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</si>
  <si>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</si>
  <si>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</si>
  <si>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</si>
  <si>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</si>
  <si>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</si>
  <si>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</si>
  <si>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</si>
  <si>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</si>
  <si>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</si>
  <si>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</si>
  <si>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</si>
  <si>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</si>
  <si>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</si>
  <si>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</si>
  <si>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</si>
  <si>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</si>
  <si>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</si>
  <si>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</si>
  <si>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</si>
  <si>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</si>
  <si>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</si>
  <si>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</si>
  <si>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</si>
  <si>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</si>
  <si>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</si>
  <si>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</si>
  <si>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</si>
  <si>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</si>
  <si>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</si>
  <si>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</si>
  <si>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</si>
  <si>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</si>
  <si>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</si>
  <si>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</si>
  <si>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</si>
  <si>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</si>
  <si>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</si>
  <si>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</si>
  <si>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</si>
  <si>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</si>
  <si>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</si>
  <si>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</si>
  <si>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</si>
  <si>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</si>
  <si>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</si>
  <si>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</si>
  <si>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</si>
  <si>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</si>
  <si>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</si>
  <si>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</si>
  <si>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</si>
  <si>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</si>
  <si>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</si>
  <si>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</si>
  <si>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</si>
  <si>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</si>
  <si>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</si>
  <si>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</si>
  <si>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</si>
  <si>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</si>
  <si>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</si>
  <si>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</si>
  <si>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</si>
  <si>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</si>
  <si>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</si>
  <si>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</si>
  <si>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</si>
  <si>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</si>
  <si>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</si>
  <si>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</si>
  <si>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</si>
  <si>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</si>
  <si>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</si>
  <si>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</si>
  <si>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</si>
  <si>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</si>
  <si>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</si>
  <si>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</si>
  <si>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</si>
  <si>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</si>
  <si>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</si>
  <si>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</si>
  <si>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</si>
  <si>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</si>
  <si>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</si>
  <si>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</si>
  <si>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</si>
  <si>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</si>
  <si>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</si>
  <si>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</si>
  <si>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</si>
  <si>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</si>
  <si>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</si>
  <si>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</si>
  <si>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</si>
  <si>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</si>
  <si>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</si>
  <si>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</si>
  <si>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</si>
  <si>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</si>
  <si>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</si>
  <si>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</si>
  <si>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</si>
  <si>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</si>
  <si>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</si>
  <si>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</si>
  <si>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</si>
  <si>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</si>
  <si>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</si>
  <si>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</si>
  <si>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</si>
  <si>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</si>
  <si>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</si>
  <si>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</si>
  <si>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</si>
  <si>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</si>
  <si>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</si>
  <si>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</si>
  <si>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</si>
  <si>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</si>
  <si>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</si>
  <si>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</si>
  <si>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</si>
  <si>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</si>
  <si>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</si>
  <si>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</si>
  <si>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</si>
  <si>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</si>
  <si>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</si>
  <si>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</si>
  <si>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</si>
  <si>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</si>
  <si>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</si>
  <si>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</si>
  <si>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</si>
  <si>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</si>
  <si>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</si>
  <si>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</si>
  <si>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</si>
  <si>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</si>
  <si>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</si>
  <si>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</si>
  <si>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</si>
  <si>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</si>
  <si>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</si>
  <si>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</si>
  <si>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</si>
  <si>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</si>
  <si>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</si>
  <si>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</si>
  <si>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</si>
  <si>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</si>
  <si>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</si>
  <si>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</si>
  <si>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</si>
  <si>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</si>
  <si>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</si>
  <si>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</si>
  <si>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</si>
  <si>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</si>
  <si>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</si>
  <si>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</si>
  <si>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</si>
  <si>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</si>
  <si>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</si>
  <si>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</si>
  <si>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</si>
  <si>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</si>
  <si>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</si>
  <si>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</si>
  <si>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</si>
  <si>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</si>
  <si>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</si>
  <si>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</si>
  <si>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</si>
  <si>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</si>
  <si>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</si>
  <si>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</si>
  <si>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</si>
  <si>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</si>
  <si>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</si>
  <si>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</si>
  <si>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</si>
  <si>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</si>
  <si>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</si>
  <si>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</si>
  <si>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</si>
  <si>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</si>
  <si>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</si>
  <si>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</si>
  <si>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</si>
  <si>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</si>
  <si>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</si>
  <si>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</si>
  <si>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</si>
  <si>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</si>
  <si>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</si>
  <si>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</si>
  <si>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</si>
  <si>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</si>
  <si>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</si>
  <si>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</si>
  <si>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</si>
  <si>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</si>
  <si>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</si>
  <si>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</si>
  <si>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</si>
  <si>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</si>
  <si>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</si>
  <si>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</si>
  <si>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</si>
  <si>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</si>
  <si>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</si>
  <si>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</si>
  <si>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</si>
  <si>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</si>
  <si>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</si>
  <si>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</si>
  <si>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</si>
  <si>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</si>
  <si>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</si>
  <si>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</si>
  <si>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</si>
  <si>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</si>
  <si>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</si>
  <si>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</si>
  <si>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</si>
  <si>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</si>
  <si>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</si>
  <si>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</si>
  <si>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</si>
  <si>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</si>
  <si>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</si>
  <si>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</si>
  <si>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</si>
  <si>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</si>
  <si>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</si>
  <si>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</si>
  <si>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</si>
  <si>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</si>
  <si>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</si>
  <si>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</si>
  <si>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</si>
  <si>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</si>
  <si>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</si>
  <si>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</si>
  <si>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</si>
  <si>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</si>
  <si>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</si>
  <si>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</si>
  <si>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</si>
  <si>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</si>
  <si>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</si>
  <si>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</si>
  <si>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</si>
  <si>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</si>
  <si>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</si>
  <si>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</si>
  <si>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</si>
  <si>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</si>
  <si>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</si>
  <si>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</si>
  <si>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</si>
  <si>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</si>
  <si>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</si>
  <si>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</si>
  <si>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</si>
  <si>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</si>
  <si>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</si>
  <si>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</si>
  <si>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</si>
  <si>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</si>
  <si>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</si>
  <si>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</si>
  <si>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</si>
  <si>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</si>
  <si>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</si>
  <si>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</si>
  <si>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</si>
  <si>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</si>
  <si>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</si>
  <si>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</si>
  <si>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</si>
  <si>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</si>
  <si>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</si>
  <si>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</si>
  <si>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</si>
  <si>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</si>
  <si>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</si>
  <si>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</si>
  <si>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</si>
  <si>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</si>
  <si>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</si>
  <si>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</si>
  <si>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</si>
  <si>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</si>
  <si>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</si>
  <si>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</si>
  <si>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</si>
  <si>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</si>
  <si>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</si>
  <si>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</si>
  <si>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</si>
  <si>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</si>
  <si>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</si>
  <si>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</si>
  <si>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</si>
  <si>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</si>
  <si>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</si>
  <si>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</si>
  <si>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</si>
  <si>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</si>
  <si>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</si>
  <si>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</si>
  <si>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</si>
  <si>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</si>
  <si>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</si>
  <si>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</si>
  <si>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</si>
  <si>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</si>
  <si>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</si>
  <si>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</si>
  <si>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</si>
  <si>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</si>
  <si>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</si>
  <si>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</si>
  <si>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</si>
  <si>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</si>
  <si>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</si>
  <si>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</si>
  <si>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</si>
  <si>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</si>
  <si>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</si>
  <si>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</si>
  <si>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</si>
  <si>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</si>
  <si>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</si>
  <si>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</si>
  <si>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</si>
  <si>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</si>
  <si>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</si>
  <si>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</si>
  <si>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</si>
  <si>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</si>
  <si>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</si>
  <si>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</si>
  <si>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</si>
  <si>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</si>
  <si>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</si>
  <si>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</si>
  <si>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</si>
  <si>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</si>
  <si>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</si>
  <si>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</si>
  <si>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</si>
  <si>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</si>
  <si>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</si>
  <si>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</si>
  <si>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</si>
  <si>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</si>
  <si>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</si>
  <si>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</si>
  <si>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</si>
  <si>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</si>
  <si>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</si>
  <si>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</si>
  <si>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</si>
  <si>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</si>
  <si>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</si>
  <si>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</si>
  <si>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</si>
  <si>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</si>
  <si>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</si>
  <si>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</si>
  <si>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</si>
  <si>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</si>
  <si>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</si>
  <si>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</si>
  <si>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</si>
  <si>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</si>
  <si>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</si>
  <si>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</si>
  <si>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</si>
  <si>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</si>
  <si>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</si>
  <si>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</si>
  <si>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</si>
  <si>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</si>
  <si>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</si>
  <si>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</si>
  <si>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</si>
  <si>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</si>
  <si>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</si>
  <si>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</si>
  <si>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</si>
  <si>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</si>
  <si>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</si>
  <si>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</si>
  <si>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</si>
  <si>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</si>
  <si>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</si>
  <si>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</si>
  <si>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</si>
  <si>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</si>
  <si>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</si>
  <si>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</si>
  <si>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</si>
  <si>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</si>
  <si>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</si>
  <si>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</si>
  <si>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</si>
  <si>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</si>
  <si>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</si>
  <si>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</si>
  <si>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</si>
  <si>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</si>
  <si>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</si>
  <si>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</si>
  <si>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</si>
  <si>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</si>
  <si>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</si>
  <si>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</si>
  <si>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</si>
  <si>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</si>
  <si>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</si>
  <si>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</si>
  <si>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</si>
  <si>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</si>
  <si>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</si>
  <si>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</si>
  <si>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</si>
  <si>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</si>
  <si>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</si>
  <si>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</si>
  <si>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</si>
  <si>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</si>
  <si>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</si>
  <si>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</si>
  <si>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</si>
  <si>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</si>
  <si>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</si>
  <si>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</si>
  <si>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</si>
  <si>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</si>
  <si>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</si>
  <si>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</si>
  <si>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</si>
  <si>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</si>
  <si>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</si>
  <si>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</si>
  <si>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</si>
  <si>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</si>
  <si>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</si>
  <si>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</si>
  <si>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</si>
  <si>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</si>
  <si>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</si>
  <si>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</si>
  <si>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</si>
  <si>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</si>
  <si>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</si>
  <si>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</si>
  <si>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</si>
  <si>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</si>
  <si>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</si>
  <si>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</si>
  <si>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</si>
  <si>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</si>
  <si>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</si>
  <si>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</si>
  <si>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</si>
  <si>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</si>
  <si>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</si>
  <si>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</si>
  <si>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</si>
  <si>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</si>
  <si>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</si>
  <si>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</si>
  <si>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</si>
  <si>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</si>
  <si>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</si>
  <si>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</si>
  <si>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</si>
  <si>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</si>
  <si>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</si>
  <si>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</si>
  <si>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</si>
  <si>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</si>
  <si>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</si>
  <si>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</si>
  <si>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</si>
  <si>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</si>
  <si>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</si>
  <si>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</si>
  <si>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</si>
  <si>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</si>
  <si>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</si>
  <si>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</si>
  <si>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</si>
  <si>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</si>
  <si>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</si>
  <si>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</si>
  <si>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</si>
  <si>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</si>
  <si>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</si>
  <si>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</si>
  <si>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</si>
  <si>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</si>
  <si>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</si>
  <si>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</si>
  <si>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</si>
  <si>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</si>
  <si>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</si>
  <si>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</si>
  <si>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</si>
  <si>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</si>
  <si>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</si>
  <si>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</si>
  <si>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</si>
  <si>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</si>
  <si>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</si>
  <si>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</si>
  <si>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</si>
  <si>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</si>
  <si>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</si>
  <si>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</si>
  <si>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</si>
  <si>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</si>
  <si>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</si>
  <si>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</si>
  <si>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</si>
  <si>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</si>
  <si>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</si>
  <si>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</si>
  <si>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</si>
  <si>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</si>
  <si>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</si>
  <si>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</si>
  <si>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</si>
  <si>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</si>
  <si>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</si>
  <si>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</si>
  <si>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</si>
  <si>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</si>
  <si>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</si>
  <si>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</si>
  <si>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</si>
  <si>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</si>
  <si>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</si>
  <si>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</si>
  <si>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</si>
  <si>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</si>
  <si>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</si>
  <si>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</si>
  <si>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</si>
  <si>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</si>
  <si>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</si>
  <si>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</si>
  <si>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</si>
  <si>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</si>
  <si>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</si>
  <si>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</si>
  <si>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</si>
  <si>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</si>
  <si>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</si>
  <si>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</si>
  <si>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</si>
  <si>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</si>
  <si>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</si>
  <si>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</si>
  <si>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</si>
  <si>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</si>
  <si>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</si>
  <si>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</si>
  <si>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</si>
  <si>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</si>
  <si>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</si>
  <si>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</si>
  <si>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</si>
  <si>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</si>
  <si>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</si>
  <si>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</si>
  <si>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</si>
  <si>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</si>
  <si>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</si>
  <si>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</si>
  <si>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</si>
  <si>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</si>
  <si>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</si>
  <si>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</si>
  <si>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</si>
  <si>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</si>
  <si>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</si>
  <si>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</si>
  <si>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</si>
  <si>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</si>
  <si>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</si>
  <si>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</si>
  <si>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</si>
  <si>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</si>
  <si>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</si>
  <si>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</si>
  <si>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</si>
  <si>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</si>
  <si>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</si>
  <si>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</si>
  <si>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</si>
  <si>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</si>
  <si>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</si>
  <si>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</si>
  <si>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</si>
  <si>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</si>
  <si>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</si>
  <si>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</si>
  <si>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</si>
  <si>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</si>
  <si>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</si>
  <si>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</si>
  <si>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</si>
  <si>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</si>
  <si>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</si>
  <si>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</si>
  <si>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</si>
  <si>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</si>
  <si>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</si>
  <si>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</si>
  <si>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</si>
  <si>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</si>
  <si>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</si>
  <si>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</si>
  <si>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</si>
  <si>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</si>
  <si>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</si>
  <si>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</si>
  <si>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</si>
  <si>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</si>
  <si>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</si>
  <si>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</si>
  <si>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</si>
  <si>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</si>
  <si>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</si>
  <si>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</si>
  <si>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</si>
  <si>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</si>
  <si>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</si>
  <si>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</si>
  <si>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</si>
  <si>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</si>
  <si>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</si>
  <si>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</si>
  <si>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</si>
  <si>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</si>
  <si>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</si>
  <si>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</si>
  <si>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</si>
  <si>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</si>
  <si>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</si>
  <si>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</si>
  <si>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</si>
  <si>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</si>
  <si>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</si>
  <si>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</si>
  <si>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</si>
  <si>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</si>
  <si>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</si>
  <si>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</si>
  <si>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</si>
  <si>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</si>
  <si>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</si>
  <si>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</si>
  <si>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</si>
  <si>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</si>
  <si>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</si>
  <si>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</si>
  <si>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</si>
  <si>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</si>
  <si>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</si>
  <si>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</si>
  <si>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</si>
  <si>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</si>
  <si>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</si>
  <si>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</si>
  <si>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</si>
  <si>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</si>
  <si>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</si>
  <si>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</si>
  <si>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</si>
  <si>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</si>
  <si>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</si>
  <si>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</si>
  <si>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</si>
  <si>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</si>
  <si>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</si>
  <si>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</si>
  <si>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</si>
  <si>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</si>
  <si>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</si>
  <si>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</si>
  <si>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</si>
  <si>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</si>
  <si>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</si>
  <si>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</si>
  <si>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</si>
  <si>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</si>
  <si>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</si>
  <si>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</si>
  <si>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</si>
  <si>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</si>
  <si>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</si>
  <si>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</si>
  <si>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</si>
  <si>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</si>
  <si>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</si>
  <si>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</si>
  <si>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</si>
  <si>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</si>
  <si>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</si>
  <si>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</si>
  <si>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</si>
  <si>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</si>
  <si>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</si>
  <si>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</si>
  <si>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</si>
  <si>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</si>
  <si>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</si>
  <si>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</si>
  <si>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</si>
  <si>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</si>
  <si>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</si>
  <si>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</si>
  <si>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</si>
  <si>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</si>
  <si>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</si>
  <si>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</si>
  <si>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</si>
  <si>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</si>
  <si>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</si>
  <si>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</si>
  <si>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</si>
  <si>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</si>
  <si>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</si>
  <si>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</si>
  <si>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</si>
  <si>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</si>
  <si>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</si>
  <si>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</si>
  <si>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</si>
  <si>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</si>
  <si>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</si>
  <si>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</si>
  <si>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</si>
  <si>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</si>
  <si>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</si>
  <si>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</si>
  <si>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</si>
  <si>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</si>
  <si>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</si>
  <si>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</si>
  <si>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</si>
  <si>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</si>
  <si>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</si>
  <si>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</si>
  <si>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</si>
  <si>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</si>
  <si>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</si>
  <si>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</si>
  <si>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</si>
  <si>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</si>
  <si>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</si>
  <si>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</si>
  <si>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</si>
  <si>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</si>
  <si>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</si>
  <si>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</si>
  <si>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</si>
  <si>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</si>
  <si>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</si>
  <si>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</si>
  <si>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</si>
  <si>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</si>
  <si>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</si>
  <si>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</si>
  <si>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</si>
  <si>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</si>
  <si>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</si>
  <si>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</si>
  <si>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</si>
  <si>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</si>
  <si>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</si>
  <si>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</si>
  <si>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</si>
  <si>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</si>
  <si>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</si>
  <si>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</si>
  <si>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</si>
  <si>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</si>
  <si>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</si>
  <si>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</si>
  <si>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</si>
  <si>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</si>
  <si>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</si>
  <si>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</si>
  <si>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</si>
  <si>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</si>
  <si>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</si>
  <si>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</si>
  <si>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</si>
  <si>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</si>
  <si>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</si>
  <si>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</si>
  <si>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</si>
  <si>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</si>
  <si>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</si>
  <si>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</si>
  <si>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</si>
  <si>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</si>
  <si>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</si>
  <si>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</si>
  <si>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</si>
  <si>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</si>
  <si>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</si>
  <si>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</si>
  <si>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</si>
  <si>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</si>
  <si>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</si>
  <si>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</si>
  <si>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</si>
  <si>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</si>
  <si>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</si>
  <si>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</si>
  <si>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</si>
  <si>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</si>
  <si>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</si>
  <si>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</si>
  <si>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</si>
  <si>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</si>
  <si>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</si>
  <si>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</si>
  <si>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</si>
  <si>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</si>
  <si>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</si>
  <si>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</si>
  <si>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</si>
  <si>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</si>
  <si>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</si>
  <si>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</si>
  <si>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</si>
  <si>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</si>
  <si>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</si>
  <si>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</si>
  <si>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</si>
  <si>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</si>
  <si>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</si>
  <si>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</si>
  <si>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</si>
  <si>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</si>
  <si>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</si>
  <si>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</si>
  <si>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</si>
  <si>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</si>
  <si>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</si>
  <si>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</si>
  <si>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</si>
  <si>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</si>
  <si>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</si>
  <si>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</si>
  <si>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</si>
  <si>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</si>
  <si>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</si>
  <si>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</si>
  <si>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</si>
  <si>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</si>
  <si>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</si>
  <si>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</si>
  <si>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</si>
  <si>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</si>
  <si>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</si>
  <si>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</si>
  <si>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</si>
  <si>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</si>
  <si>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</si>
  <si>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</si>
  <si>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</si>
  <si>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</si>
  <si>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</si>
  <si>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</si>
  <si>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</si>
  <si>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</si>
  <si>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</si>
  <si>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</si>
  <si>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</si>
  <si>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</si>
  <si>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</si>
  <si>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</si>
  <si>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</si>
  <si>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</si>
  <si>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</si>
  <si>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</si>
  <si>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</si>
  <si>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</si>
  <si>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</si>
  <si>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</si>
  <si>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</si>
  <si>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</si>
  <si>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</si>
  <si>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</si>
  <si>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</si>
  <si>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</si>
  <si>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</si>
  <si>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</si>
  <si>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</si>
  <si>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</si>
  <si>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</si>
  <si>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</si>
  <si>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</si>
  <si>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</si>
  <si>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</si>
  <si>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</si>
  <si>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</si>
  <si>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</si>
  <si>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</si>
  <si>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</si>
  <si>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</si>
  <si>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</si>
  <si>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</si>
  <si>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</si>
  <si>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</si>
  <si>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</si>
  <si>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</si>
  <si>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</si>
  <si>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</si>
  <si>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</si>
  <si>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</si>
  <si>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</si>
  <si>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</si>
  <si>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</si>
  <si>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</si>
  <si>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</si>
  <si>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</si>
  <si>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</si>
  <si>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</si>
  <si>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</si>
  <si>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</si>
  <si>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</si>
  <si>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</si>
  <si>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</si>
  <si>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</si>
  <si>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</si>
  <si>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</si>
  <si>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</si>
  <si>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</si>
  <si>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</si>
  <si>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</si>
  <si>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</si>
  <si>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</si>
  <si>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</si>
  <si>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</si>
  <si>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</si>
  <si>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</si>
  <si>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</si>
  <si>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</si>
  <si>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</si>
  <si>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</si>
  <si>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</si>
  <si>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</si>
  <si>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</si>
  <si>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</si>
  <si>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</si>
  <si>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</si>
  <si>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</si>
  <si>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</si>
  <si>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</si>
  <si>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</si>
  <si>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</si>
  <si>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</si>
  <si>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</si>
  <si>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</si>
  <si>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</si>
  <si>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</si>
  <si>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</si>
  <si>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</si>
  <si>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</si>
  <si>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</si>
  <si>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</si>
  <si>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</si>
  <si>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</si>
  <si>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</si>
  <si>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</si>
  <si>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</si>
  <si>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</si>
  <si>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</si>
  <si>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</si>
  <si>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</si>
  <si>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</si>
  <si>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</si>
  <si>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</si>
  <si>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</si>
  <si>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</si>
  <si>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</si>
  <si>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</si>
  <si>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</si>
  <si>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</si>
  <si>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</si>
  <si>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</si>
  <si>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</si>
  <si>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</si>
  <si>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</si>
  <si>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</si>
  <si>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</si>
  <si>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</si>
  <si>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</si>
  <si>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</si>
  <si>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</si>
  <si>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</si>
  <si>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</si>
  <si>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</si>
  <si>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</si>
  <si>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</si>
  <si>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</si>
  <si>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</si>
  <si>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</si>
  <si>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</si>
  <si>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</si>
  <si>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</si>
  <si>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</si>
  <si>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</si>
  <si>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</si>
  <si>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</si>
  <si>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</si>
  <si>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</si>
  <si>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</si>
  <si>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</si>
  <si>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</si>
  <si>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</si>
  <si>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</si>
  <si>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</si>
  <si>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</si>
  <si>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</si>
  <si>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</si>
  <si>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</si>
  <si>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</si>
  <si>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</si>
  <si>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</si>
  <si>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</si>
  <si>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</si>
  <si>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</si>
  <si>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</si>
  <si>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</si>
  <si>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</si>
  <si>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</si>
  <si>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</si>
  <si>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</si>
  <si>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</si>
  <si>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</si>
  <si>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</si>
  <si>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</si>
  <si>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</si>
  <si>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</si>
  <si>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</si>
  <si>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</si>
  <si>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</si>
  <si>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</si>
  <si>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</si>
  <si>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</si>
  <si>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</si>
  <si>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</si>
  <si>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</si>
  <si>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</si>
  <si>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</si>
  <si>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</si>
  <si>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</si>
  <si>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</si>
  <si>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</si>
  <si>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</si>
  <si>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</si>
  <si>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</si>
  <si>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</si>
  <si>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</si>
  <si>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</si>
  <si>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</si>
  <si>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</si>
  <si>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</si>
  <si>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</si>
  <si>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</si>
  <si>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</si>
  <si>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</si>
  <si>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</si>
  <si>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</si>
  <si>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</si>
  <si>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</si>
  <si>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</si>
  <si>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</si>
  <si>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</si>
  <si>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</si>
  <si>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</si>
  <si>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</si>
  <si>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</si>
  <si>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</si>
  <si>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</si>
  <si>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</si>
  <si>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</si>
  <si>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</si>
  <si>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</si>
  <si>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</si>
  <si>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</si>
  <si>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</si>
  <si>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</si>
  <si>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</si>
  <si>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</si>
  <si>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</si>
  <si>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</si>
  <si>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</si>
  <si>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</si>
  <si>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</si>
  <si>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</si>
  <si>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</si>
  <si>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</si>
  <si>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</si>
  <si>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</si>
  <si>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</si>
  <si>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</si>
  <si>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</si>
  <si>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</si>
  <si>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</si>
  <si>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</si>
  <si>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</si>
  <si>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</si>
  <si>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</si>
  <si>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</si>
  <si>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</si>
  <si>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</si>
  <si>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</si>
  <si>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</si>
  <si>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</si>
  <si>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</si>
  <si>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</si>
  <si>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</si>
  <si>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</si>
  <si>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</si>
  <si>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</si>
  <si>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</si>
  <si>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</si>
  <si>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</si>
  <si>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</si>
  <si>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</si>
  <si>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</si>
  <si>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</si>
  <si>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</si>
  <si>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</si>
  <si>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</si>
  <si>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</si>
  <si>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</si>
  <si>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</si>
  <si>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</si>
  <si>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</si>
  <si>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</si>
  <si>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</si>
  <si>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</si>
  <si>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</si>
  <si>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</si>
  <si>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</si>
  <si>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</si>
  <si>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</si>
  <si>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</si>
  <si>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</si>
  <si>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</si>
  <si>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</si>
  <si>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</si>
  <si>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</si>
  <si>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</si>
  <si>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</si>
  <si>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</si>
  <si>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</si>
  <si>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</si>
  <si>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</si>
  <si>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</si>
  <si>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</si>
  <si>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</si>
  <si>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</si>
  <si>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</si>
  <si>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</si>
  <si>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</si>
  <si>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</si>
  <si>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</si>
  <si>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</si>
  <si>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</si>
  <si>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</si>
  <si>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</si>
  <si>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</si>
  <si>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</si>
  <si>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</si>
  <si>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</si>
  <si>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</si>
  <si>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</si>
  <si>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</si>
  <si>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</si>
  <si>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</si>
  <si>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</si>
  <si>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</si>
  <si>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</si>
  <si>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</si>
  <si>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</si>
  <si>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</si>
  <si>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</si>
  <si>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</si>
  <si>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</si>
  <si>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</si>
  <si>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</si>
  <si>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</si>
  <si>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</si>
  <si>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</si>
  <si>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</si>
  <si>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</si>
  <si>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</si>
  <si>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</si>
  <si>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</si>
  <si>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</si>
  <si>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</si>
  <si>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</si>
  <si>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</si>
  <si>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</si>
  <si>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</si>
  <si>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</si>
  <si>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</si>
  <si>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</si>
  <si>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</si>
  <si>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</si>
  <si>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</si>
  <si>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</si>
  <si>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</si>
  <si>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</si>
  <si>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</si>
  <si>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</si>
  <si>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</si>
  <si>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</si>
  <si>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</si>
  <si>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</si>
  <si>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</si>
  <si>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</si>
  <si>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</si>
  <si>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</si>
  <si>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</si>
  <si>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</si>
  <si>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</si>
  <si>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</si>
  <si>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</si>
  <si>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</si>
  <si>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</si>
  <si>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</si>
  <si>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</si>
  <si>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</si>
  <si>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</si>
  <si>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</si>
  <si>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</si>
  <si>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</si>
  <si>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</si>
  <si>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</si>
  <si>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</si>
  <si>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</si>
  <si>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</si>
  <si>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</si>
  <si>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</si>
  <si>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</si>
  <si>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</si>
  <si>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</si>
  <si>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</si>
  <si>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</si>
  <si>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</si>
  <si>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</si>
  <si>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</si>
  <si>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</si>
  <si>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</si>
  <si>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</si>
  <si>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</si>
  <si>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</si>
  <si>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</si>
  <si>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</si>
  <si>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</si>
  <si>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</si>
  <si>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</si>
  <si>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</si>
  <si>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</si>
  <si>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</si>
  <si>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</si>
  <si>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</si>
  <si>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</si>
  <si>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</si>
  <si>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</si>
  <si>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</si>
  <si>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</si>
  <si>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</si>
  <si>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</si>
  <si>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</si>
  <si>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</si>
  <si>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</si>
  <si>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</si>
  <si>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</si>
  <si>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</si>
  <si>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</si>
  <si>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</si>
  <si>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</si>
  <si>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</si>
  <si>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</si>
  <si>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</si>
  <si>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</si>
  <si>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</si>
  <si>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</si>
  <si>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</si>
  <si>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</si>
  <si>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</si>
  <si>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</si>
  <si>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</si>
  <si>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</si>
  <si>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</si>
  <si>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</si>
  <si>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</si>
  <si>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</si>
  <si>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</si>
  <si>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</si>
  <si>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</si>
  <si>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</si>
  <si>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</si>
  <si>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</si>
  <si>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</si>
  <si>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</si>
  <si>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</si>
  <si>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</si>
  <si>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</si>
  <si>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</si>
  <si>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</si>
  <si>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</si>
  <si>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</si>
  <si>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</si>
  <si>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</si>
  <si>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</si>
  <si>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</si>
  <si>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</si>
  <si>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</si>
  <si>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</si>
  <si>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</si>
  <si>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</si>
  <si>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</si>
  <si>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</si>
  <si>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</si>
  <si>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</si>
  <si>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</si>
  <si>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</si>
  <si>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</si>
  <si>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</si>
  <si>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</si>
  <si>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</si>
  <si>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</si>
  <si>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</si>
  <si>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</si>
  <si>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</si>
  <si>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</si>
  <si>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</si>
  <si>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</si>
  <si>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</si>
  <si>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</si>
  <si>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</si>
  <si>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</si>
  <si>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</si>
  <si>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</si>
  <si>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</si>
  <si>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</si>
  <si>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</si>
  <si>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</si>
  <si>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</si>
  <si>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</si>
  <si>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</si>
  <si>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</si>
  <si>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</si>
  <si>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</si>
  <si>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</si>
  <si>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</si>
  <si>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</si>
  <si>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</si>
  <si>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</si>
  <si>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</si>
  <si>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</si>
  <si>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</si>
  <si>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</si>
  <si>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</si>
  <si>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</si>
  <si>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</si>
  <si>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</si>
  <si>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</si>
  <si>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</si>
  <si>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</si>
  <si>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</si>
  <si>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</si>
  <si>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</si>
  <si>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</si>
  <si>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</si>
  <si>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</si>
  <si>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</si>
  <si>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</si>
  <si>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</si>
  <si>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</si>
  <si>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</si>
  <si>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</si>
  <si>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</si>
  <si>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</si>
  <si>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</si>
  <si>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</si>
  <si>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</si>
  <si>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</si>
  <si>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</si>
  <si>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</si>
  <si>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</si>
  <si>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</si>
  <si>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</si>
  <si>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</si>
  <si>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</si>
  <si>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</si>
  <si>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</si>
  <si>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</si>
  <si>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</si>
  <si>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</si>
  <si>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</si>
  <si>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</si>
  <si>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</si>
  <si>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</si>
  <si>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</si>
  <si>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</si>
  <si>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</si>
  <si>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</si>
  <si>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</si>
  <si>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</si>
  <si>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</si>
  <si>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</si>
  <si>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</si>
  <si>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</si>
  <si>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</si>
  <si>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</si>
  <si>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</si>
  <si>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</si>
  <si>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</si>
  <si>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</si>
  <si>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</si>
  <si>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</si>
  <si>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</si>
  <si>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</si>
  <si>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</si>
  <si>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</si>
  <si>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</si>
  <si>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</si>
  <si>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</si>
  <si>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</si>
  <si>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</si>
  <si>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</si>
  <si>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</si>
  <si>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</si>
  <si>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</si>
  <si>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</si>
  <si>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</si>
  <si>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</si>
  <si>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</si>
  <si>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</si>
  <si>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</si>
  <si>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</si>
  <si>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</si>
  <si>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</si>
  <si>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</si>
  <si>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</si>
  <si>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</si>
  <si>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</si>
  <si>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</si>
  <si>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</si>
  <si>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</si>
  <si>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</si>
  <si>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</si>
  <si>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</si>
  <si>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</si>
  <si>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</si>
  <si>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</si>
  <si>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</si>
  <si>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</si>
  <si>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</si>
  <si>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</si>
  <si>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</si>
  <si>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</si>
  <si>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</si>
  <si>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</si>
  <si>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</si>
  <si>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</si>
  <si>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</si>
  <si>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</si>
  <si>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</si>
  <si>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</si>
  <si>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</si>
  <si>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</si>
  <si>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</si>
  <si>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</si>
  <si>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</si>
  <si>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</si>
  <si>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</si>
  <si>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</si>
  <si>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</si>
  <si>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</si>
  <si>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</si>
  <si>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</si>
  <si>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</si>
  <si>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</si>
  <si>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</si>
  <si>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</si>
  <si>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</si>
  <si>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</si>
  <si>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</si>
  <si>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</si>
  <si>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</si>
  <si>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</si>
  <si>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</si>
  <si>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</si>
  <si>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</si>
  <si>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</si>
  <si>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</si>
  <si>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</si>
  <si>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</si>
  <si>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</si>
  <si>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</si>
  <si>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</si>
  <si>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</si>
  <si>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</si>
  <si>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</si>
  <si>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</si>
  <si>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</si>
  <si>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</si>
  <si>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</si>
  <si>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</si>
  <si>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</si>
  <si>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</si>
  <si>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</si>
  <si>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</si>
  <si>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</si>
  <si>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</si>
  <si>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</si>
  <si>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</si>
  <si>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</si>
  <si>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</si>
  <si>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</si>
  <si>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</si>
  <si>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</si>
  <si>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</si>
  <si>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</si>
  <si>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</si>
  <si>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</si>
  <si>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</si>
  <si>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</si>
  <si>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</si>
  <si>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</si>
  <si>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</si>
  <si>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</si>
  <si>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</si>
  <si>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</si>
  <si>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</si>
  <si>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</si>
  <si>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</si>
  <si>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</si>
  <si>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</si>
  <si>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</si>
  <si>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</si>
  <si>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</si>
  <si>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</si>
  <si>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</si>
  <si>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</si>
  <si>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</si>
  <si>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</si>
  <si>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</si>
  <si>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</si>
  <si>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</si>
  <si>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</si>
  <si>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</si>
  <si>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</si>
  <si>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</si>
  <si>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</si>
  <si>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</si>
  <si>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</si>
  <si>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</si>
  <si>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</si>
  <si>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</si>
  <si>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</si>
  <si>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</si>
  <si>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</si>
  <si>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</si>
  <si>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</si>
  <si>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</si>
  <si>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</si>
  <si>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</si>
  <si>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</si>
  <si>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</si>
  <si>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</si>
  <si>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</si>
  <si>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</si>
  <si>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</si>
  <si>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</si>
  <si>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</si>
  <si>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</si>
  <si>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</si>
  <si>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</si>
  <si>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</si>
  <si>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</si>
  <si>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</si>
  <si>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</si>
  <si>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</si>
  <si>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</si>
  <si>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</si>
  <si>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</si>
  <si>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</si>
  <si>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</si>
  <si>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</si>
  <si>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</si>
  <si>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</si>
  <si>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</si>
  <si>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</si>
  <si>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</si>
  <si>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</si>
  <si>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</si>
  <si>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</si>
  <si>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</si>
  <si>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</si>
  <si>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</si>
  <si>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</si>
  <si>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</si>
  <si>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</si>
  <si>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</si>
  <si>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</si>
  <si>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</si>
  <si>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</si>
  <si>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</si>
  <si>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</si>
  <si>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</si>
  <si>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</si>
  <si>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</si>
  <si>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</si>
  <si>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</si>
  <si>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</si>
  <si>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</si>
  <si>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</si>
  <si>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</si>
  <si>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</si>
  <si>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</si>
  <si>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</si>
  <si>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</si>
  <si>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</si>
  <si>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</si>
  <si>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</si>
  <si>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</si>
  <si>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</si>
  <si>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</si>
  <si>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</si>
  <si>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</si>
  <si>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</si>
  <si>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</si>
  <si>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</si>
  <si>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</si>
  <si>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</si>
  <si>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</si>
  <si>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</si>
  <si>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</si>
  <si>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</si>
  <si>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</si>
  <si>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</si>
  <si>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</si>
  <si>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</si>
  <si>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</si>
  <si>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</si>
  <si>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</si>
  <si>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</si>
  <si>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</si>
  <si>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</si>
  <si>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</si>
  <si>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</si>
  <si>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</si>
  <si>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</si>
  <si>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</si>
  <si>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</si>
  <si>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</si>
  <si>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</si>
  <si>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</si>
  <si>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</si>
  <si>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</si>
  <si>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</si>
  <si>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</si>
  <si>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</si>
  <si>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</si>
  <si>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</si>
  <si>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</si>
  <si>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</si>
  <si>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</si>
  <si>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</si>
  <si>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</si>
  <si>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</si>
  <si>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</si>
  <si>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</si>
  <si>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</si>
  <si>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</si>
  <si>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</si>
  <si>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</si>
  <si>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</si>
  <si>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</si>
  <si>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</si>
  <si>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</si>
  <si>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</si>
  <si>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</si>
  <si>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</si>
  <si>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</si>
  <si>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</si>
  <si>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</si>
  <si>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</si>
  <si>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</si>
  <si>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</si>
  <si>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</si>
  <si>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</si>
  <si>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</si>
  <si>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</si>
  <si>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</si>
  <si>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</si>
  <si>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</si>
  <si>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</si>
  <si>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</si>
  <si>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</si>
  <si>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</si>
  <si>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</si>
  <si>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</si>
  <si>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</si>
  <si>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</si>
  <si>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</si>
  <si>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</si>
  <si>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</si>
  <si>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</si>
  <si>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</si>
  <si>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</si>
  <si>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</si>
  <si>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</si>
  <si>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</si>
  <si>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</si>
  <si>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</si>
  <si>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</si>
  <si>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</si>
  <si>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</si>
  <si>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</si>
  <si>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</si>
  <si>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</si>
  <si>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</si>
  <si>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</si>
  <si>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</si>
  <si>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</si>
  <si>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</si>
  <si>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</si>
  <si>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</si>
  <si>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</si>
  <si>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</si>
  <si>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</si>
  <si>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</si>
  <si>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</si>
  <si>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</si>
  <si>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</si>
  <si>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</si>
  <si>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</si>
  <si>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</si>
  <si>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</si>
  <si>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</si>
  <si>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</si>
  <si>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</si>
  <si>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</si>
  <si>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</si>
  <si>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</si>
  <si>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</si>
  <si>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</si>
  <si>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</si>
  <si>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</si>
  <si>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</si>
  <si>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</si>
  <si>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</si>
  <si>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</si>
  <si>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</si>
  <si>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</si>
  <si>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</si>
  <si>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</si>
  <si>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</si>
  <si>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</si>
  <si>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</si>
  <si>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</si>
  <si>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</si>
  <si>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</si>
  <si>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</si>
  <si>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</si>
  <si>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</si>
  <si>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</si>
  <si>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</si>
  <si>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</si>
  <si>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</si>
  <si>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</si>
  <si>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</si>
  <si>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</si>
  <si>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</si>
  <si>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</si>
  <si>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</si>
  <si>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</si>
  <si>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</si>
  <si>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</si>
  <si>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</si>
  <si>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</si>
  <si>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</si>
  <si>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</si>
  <si>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</si>
  <si>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</si>
  <si>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</si>
  <si>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</si>
  <si>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</si>
  <si>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</si>
  <si>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</si>
  <si>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</si>
  <si>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</si>
  <si>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</si>
  <si>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</si>
  <si>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</si>
  <si>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</si>
  <si>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</si>
  <si>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</si>
  <si>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</si>
  <si>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</si>
  <si>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</si>
  <si>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</si>
  <si>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</si>
  <si>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</si>
  <si>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</si>
  <si>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</si>
  <si>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</si>
  <si>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</si>
  <si>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</si>
  <si>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</si>
  <si>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</si>
  <si>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</si>
  <si>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</si>
  <si>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</si>
  <si>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</si>
  <si>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</si>
  <si>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</si>
  <si>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</si>
  <si>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</si>
  <si>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</si>
  <si>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</si>
  <si>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</si>
  <si>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</si>
  <si>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</si>
  <si>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</si>
  <si>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</si>
  <si>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</si>
  <si>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</si>
  <si>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</si>
  <si>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</si>
  <si>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</si>
  <si>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</si>
  <si>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</si>
  <si>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</si>
  <si>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</si>
  <si>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</si>
  <si>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</si>
  <si>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</si>
  <si>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</si>
  <si>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</si>
  <si>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</si>
  <si>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</si>
  <si>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</si>
  <si>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</si>
  <si>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</si>
  <si>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</si>
  <si>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</si>
  <si>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</si>
  <si>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</si>
  <si>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</si>
  <si>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</si>
  <si>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</si>
  <si>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</si>
  <si>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</si>
  <si>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</si>
  <si>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</si>
  <si>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</si>
  <si>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</si>
  <si>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</si>
  <si>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</si>
  <si>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</si>
  <si>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</si>
  <si>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</si>
  <si>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</si>
  <si>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</si>
  <si>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</si>
  <si>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</si>
  <si>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</si>
  <si>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</si>
  <si>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</si>
  <si>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</si>
  <si>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</si>
  <si>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</si>
  <si>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</si>
  <si>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</si>
  <si>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</si>
  <si>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</si>
  <si>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</si>
  <si>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</si>
  <si>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</si>
  <si>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</si>
  <si>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</si>
  <si>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</si>
  <si>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</si>
  <si>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</si>
  <si>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</si>
  <si>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</si>
  <si>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</si>
  <si>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</si>
  <si>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</si>
  <si>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</si>
  <si>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</si>
  <si>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</si>
  <si>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</si>
  <si>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</si>
  <si>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</si>
  <si>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</si>
  <si>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</si>
  <si>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</si>
  <si>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</si>
  <si>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</si>
  <si>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</si>
  <si>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</si>
  <si>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</si>
  <si>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</si>
  <si>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</si>
  <si>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</si>
  <si>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</si>
  <si>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</si>
  <si>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</si>
  <si>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</si>
  <si>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</si>
  <si>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</si>
  <si>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</si>
  <si>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</si>
  <si>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</si>
  <si>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</si>
  <si>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</si>
  <si>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</si>
  <si>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</si>
  <si>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</si>
  <si>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</si>
  <si>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</si>
  <si>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</si>
  <si>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</si>
  <si>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</si>
  <si>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</si>
  <si>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</si>
  <si>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</si>
  <si>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</si>
  <si>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</si>
  <si>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</si>
  <si>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</si>
  <si>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</si>
  <si>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</si>
  <si>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</si>
  <si>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</si>
  <si>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</si>
  <si>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</si>
  <si>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</si>
  <si>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</si>
  <si>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</si>
  <si>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</si>
  <si>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</si>
  <si>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</si>
  <si>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</si>
  <si>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</si>
  <si>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</si>
  <si>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</si>
  <si>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</si>
  <si>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</si>
  <si>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</si>
  <si>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</si>
  <si>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</si>
  <si>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</si>
  <si>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</si>
  <si>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</si>
  <si>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</si>
  <si>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</si>
  <si>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</si>
  <si>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</si>
  <si>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</si>
  <si>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</si>
  <si>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</si>
  <si>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</si>
  <si>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</si>
  <si>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</si>
  <si>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</si>
  <si>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</si>
  <si>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</si>
  <si>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</si>
  <si>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</si>
  <si>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</si>
  <si>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</si>
  <si>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</si>
  <si>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</si>
  <si>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</si>
  <si>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</si>
  <si>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</si>
  <si>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</si>
  <si>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</si>
  <si>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</si>
  <si>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</si>
  <si>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</si>
  <si>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</si>
  <si>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</si>
  <si>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</si>
  <si>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</si>
  <si>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</si>
  <si>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</si>
  <si>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</si>
  <si>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</si>
  <si>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</si>
  <si>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</si>
  <si>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</si>
  <si>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</si>
  <si>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</si>
  <si>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</si>
  <si>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</si>
  <si>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</si>
  <si>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</si>
  <si>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</si>
  <si>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</si>
  <si>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</si>
  <si>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</si>
  <si>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</si>
  <si>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</si>
  <si>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</si>
  <si>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</si>
  <si>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</si>
  <si>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</si>
  <si>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</si>
  <si>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</si>
  <si>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</si>
  <si>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</si>
  <si>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</si>
  <si>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</si>
  <si>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</si>
  <si>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</si>
  <si>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</si>
  <si>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</si>
  <si>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</si>
  <si>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</si>
  <si>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</si>
  <si>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</si>
  <si>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</si>
  <si>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</si>
  <si>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</si>
  <si>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</si>
  <si>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</si>
  <si>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</si>
  <si>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</si>
  <si>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</si>
  <si>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</si>
  <si>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</si>
  <si>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</si>
  <si>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</si>
  <si>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</si>
  <si>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</si>
  <si>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</si>
  <si>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</si>
  <si>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</si>
  <si>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</si>
  <si>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</si>
  <si>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</si>
  <si>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</si>
  <si>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</si>
  <si>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</si>
  <si>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</si>
  <si>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</si>
  <si>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</si>
  <si>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</si>
  <si>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</si>
  <si>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</si>
  <si>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</si>
  <si>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</si>
  <si>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</si>
  <si>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</si>
  <si>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</si>
  <si>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</si>
  <si>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</si>
  <si>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</si>
  <si>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</si>
  <si>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</si>
  <si>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</si>
  <si>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</si>
  <si>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</si>
  <si>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</si>
  <si>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</si>
  <si>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</si>
  <si>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</si>
  <si>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</si>
  <si>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</si>
  <si>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</si>
  <si>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</si>
  <si>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</si>
  <si>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</si>
  <si>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</si>
  <si>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</si>
  <si>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</si>
  <si>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</si>
  <si>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</si>
  <si>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</si>
  <si>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</si>
  <si>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</si>
  <si>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</si>
  <si>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</si>
  <si>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</si>
  <si>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</si>
  <si>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</si>
  <si>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</si>
  <si>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</si>
  <si>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</si>
  <si>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</si>
  <si>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</si>
  <si>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</si>
  <si>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</si>
  <si>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</si>
  <si>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</si>
  <si>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</si>
  <si>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</si>
  <si>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</si>
  <si>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</si>
  <si>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</si>
  <si>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</si>
  <si>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</si>
  <si>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</si>
  <si>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</si>
  <si>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</si>
  <si>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</si>
  <si>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</si>
  <si>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</si>
  <si>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</si>
  <si>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</si>
  <si>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</si>
  <si>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</si>
  <si>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</si>
  <si>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</si>
  <si>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</si>
  <si>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</si>
  <si>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</si>
  <si>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</si>
  <si>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</si>
  <si>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</si>
  <si>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</si>
  <si>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</si>
  <si>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</si>
  <si>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</si>
  <si>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</si>
  <si>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</si>
  <si>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</si>
  <si>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</si>
  <si>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</si>
  <si>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</si>
  <si>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</si>
  <si>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</si>
  <si>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</si>
  <si>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</si>
  <si>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</si>
  <si>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</si>
  <si>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</si>
  <si>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</si>
  <si>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</si>
  <si>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</si>
  <si>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</si>
  <si>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</si>
  <si>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</si>
  <si>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</si>
  <si>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</si>
  <si>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</si>
  <si>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</si>
  <si>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</si>
  <si>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</si>
  <si>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</si>
  <si>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</si>
  <si>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</si>
  <si>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</si>
  <si>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</si>
  <si>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</si>
  <si>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</si>
  <si>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</si>
  <si>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</si>
  <si>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</si>
  <si>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</si>
  <si>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</si>
  <si>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</si>
  <si>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</si>
  <si>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</si>
  <si>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</si>
  <si>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</si>
  <si>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</si>
  <si>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</si>
  <si>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</si>
  <si>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</si>
  <si>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</si>
  <si>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</si>
  <si>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</si>
  <si>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</si>
  <si>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</si>
  <si>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</si>
  <si>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</si>
  <si>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</si>
  <si>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</si>
  <si>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</si>
  <si>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</si>
  <si>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</si>
  <si>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</si>
  <si>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</si>
  <si>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</si>
  <si>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</si>
  <si>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</si>
  <si>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</si>
  <si>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</si>
  <si>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</si>
  <si>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</si>
  <si>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</si>
  <si>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</si>
  <si>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</si>
  <si>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</si>
  <si>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</si>
  <si>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</si>
  <si>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</si>
  <si>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</si>
  <si>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</si>
  <si>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</si>
  <si>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</si>
  <si>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</si>
  <si>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</si>
  <si>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</si>
  <si>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</si>
  <si>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</si>
  <si>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</si>
  <si>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</si>
  <si>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</si>
  <si>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</si>
  <si>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</si>
  <si>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</si>
  <si>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</si>
  <si>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</si>
  <si>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</si>
  <si>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</si>
  <si>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</si>
  <si>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</si>
  <si>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</si>
  <si>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</si>
  <si>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</si>
  <si>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</si>
  <si>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</si>
  <si>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</si>
  <si>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</si>
  <si>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</si>
  <si>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</si>
  <si>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</si>
  <si>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</si>
  <si>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</si>
  <si>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</si>
  <si>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</si>
  <si>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</si>
  <si>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</si>
  <si>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</si>
  <si>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</si>
  <si>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</si>
  <si>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</si>
  <si>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</si>
  <si>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</si>
  <si>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</si>
  <si>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</si>
  <si>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</si>
  <si>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</si>
  <si>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</si>
  <si>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</si>
  <si>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</si>
  <si>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</si>
  <si>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</si>
  <si>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</si>
  <si>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</si>
  <si>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</si>
  <si>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</si>
  <si>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</si>
  <si>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</si>
  <si>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</si>
  <si>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</si>
  <si>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</si>
  <si>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</si>
  <si>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</si>
  <si>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</si>
  <si>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</si>
  <si>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</si>
  <si>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</si>
  <si>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</si>
  <si>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</si>
  <si>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</si>
  <si>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</si>
  <si>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</si>
  <si>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</si>
  <si>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</si>
  <si>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</si>
  <si>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</si>
  <si>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</si>
  <si>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</si>
  <si>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</si>
  <si>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</si>
  <si>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</si>
  <si>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</si>
  <si>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</si>
  <si>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</si>
  <si>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</si>
  <si>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</si>
  <si>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</si>
  <si>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</si>
  <si>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</si>
  <si>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</si>
  <si>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</si>
  <si>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</si>
  <si>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</si>
  <si>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</si>
  <si>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</si>
  <si>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</si>
  <si>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</si>
  <si>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</si>
  <si>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</si>
  <si>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</si>
  <si>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</si>
  <si>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</si>
  <si>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</si>
  <si>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</si>
  <si>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</si>
  <si>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</si>
  <si>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</si>
  <si>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</si>
  <si>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</si>
  <si>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</si>
  <si>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</si>
  <si>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</si>
  <si>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</si>
  <si>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</si>
  <si>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</si>
  <si>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</si>
  <si>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</si>
  <si>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</si>
  <si>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</si>
  <si>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</si>
  <si>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</si>
  <si>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</si>
  <si>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</si>
  <si>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</si>
  <si>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</si>
  <si>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</si>
  <si>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</si>
  <si>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</si>
  <si>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</si>
  <si>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</si>
  <si>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</si>
  <si>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</si>
  <si>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</si>
  <si>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</si>
  <si>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</si>
  <si>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</si>
  <si>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</si>
  <si>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</si>
  <si>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</si>
  <si>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</si>
  <si>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</si>
  <si>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</si>
  <si>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</si>
  <si>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</si>
  <si>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</si>
  <si>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</si>
  <si>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</si>
  <si>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</si>
  <si>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</si>
  <si>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</si>
  <si>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</si>
  <si>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</si>
  <si>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</si>
  <si>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</si>
  <si>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</si>
  <si>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</si>
  <si>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</si>
  <si>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</si>
  <si>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</si>
  <si>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</si>
  <si>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</si>
  <si>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</si>
  <si>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</si>
  <si>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</si>
  <si>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</si>
  <si>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</si>
  <si>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</si>
  <si>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</si>
  <si>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</si>
  <si>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</si>
  <si>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</si>
  <si>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</si>
  <si>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</si>
  <si>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</si>
  <si>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</si>
  <si>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</si>
  <si>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</si>
  <si>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</si>
  <si>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</si>
  <si>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</si>
  <si>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</si>
  <si>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</si>
  <si>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</si>
  <si>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</si>
  <si>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</si>
  <si>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</si>
  <si>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</si>
  <si>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</si>
  <si>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</si>
  <si>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</si>
  <si>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</si>
  <si>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</si>
  <si>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</si>
  <si>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</si>
  <si>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</si>
  <si>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</si>
  <si>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</si>
  <si>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</si>
  <si>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</si>
  <si>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</si>
  <si>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</si>
  <si>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</si>
  <si>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</si>
  <si>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</si>
  <si>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</si>
  <si>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</si>
  <si>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</si>
  <si>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</si>
  <si>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</si>
  <si>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</si>
  <si>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</si>
  <si>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</si>
  <si>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</si>
  <si>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</si>
  <si>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</si>
  <si>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</si>
  <si>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</si>
  <si>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</si>
  <si>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</si>
  <si>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</si>
  <si>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</si>
  <si>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</si>
  <si>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</si>
  <si>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</si>
  <si>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</si>
  <si>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</si>
  <si>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</si>
  <si>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</si>
  <si>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</si>
  <si>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</si>
  <si>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</si>
  <si>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</si>
  <si>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</si>
  <si>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</si>
  <si>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</si>
  <si>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</si>
  <si>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</si>
  <si>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</si>
  <si>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</si>
  <si>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</si>
  <si>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</si>
  <si>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</si>
  <si>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</si>
  <si>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</si>
  <si>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</si>
  <si>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</si>
  <si>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</si>
  <si>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</si>
  <si>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</si>
  <si>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</si>
  <si>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</si>
  <si>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</si>
  <si>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</si>
  <si>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</si>
  <si>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</si>
  <si>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</si>
  <si>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</si>
  <si>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</si>
  <si>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</si>
  <si>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</si>
  <si>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</si>
  <si>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</si>
  <si>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</si>
  <si>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</si>
  <si>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</si>
  <si>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</si>
  <si>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</si>
  <si>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</si>
  <si>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</si>
  <si>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</si>
  <si>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</si>
  <si>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</si>
  <si>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</si>
  <si>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</si>
  <si>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</si>
  <si>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</si>
  <si>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</si>
  <si>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</si>
  <si>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</si>
  <si>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</si>
  <si>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</si>
  <si>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</si>
  <si>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</si>
  <si>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</si>
  <si>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</si>
  <si>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</si>
  <si>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</si>
  <si>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</si>
  <si>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</si>
  <si>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</si>
  <si>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</si>
  <si>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</si>
  <si>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</si>
  <si>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</si>
  <si>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</si>
  <si>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</si>
  <si>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</si>
  <si>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</si>
  <si>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</si>
  <si>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</si>
  <si>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</si>
  <si>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</si>
  <si>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</si>
  <si>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</si>
  <si>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</si>
  <si>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</si>
  <si>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</si>
  <si>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</si>
  <si>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</si>
  <si>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</si>
  <si>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</si>
  <si>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</si>
  <si>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</si>
  <si>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</si>
  <si>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</si>
  <si>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</si>
  <si>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</si>
  <si>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</si>
  <si>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</si>
  <si>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</si>
  <si>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</si>
  <si>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</si>
  <si>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</si>
  <si>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</si>
  <si>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</si>
  <si>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</si>
  <si>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</si>
  <si>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</si>
  <si>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</si>
  <si>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</si>
  <si>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</si>
  <si>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</si>
  <si>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</si>
  <si>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</si>
  <si>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</si>
  <si>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</si>
  <si>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</si>
  <si>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</si>
  <si>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</si>
  <si>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</si>
  <si>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</si>
  <si>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</si>
  <si>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</si>
  <si>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</si>
  <si>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</si>
  <si>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</si>
  <si>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</si>
  <si>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</si>
  <si>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</si>
  <si>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</si>
  <si>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</si>
  <si>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</si>
  <si>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</si>
  <si>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</si>
  <si>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</si>
  <si>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</si>
  <si>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</si>
  <si>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</si>
  <si>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</si>
  <si>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</si>
  <si>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</si>
  <si>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</si>
  <si>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</si>
  <si>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</si>
  <si>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</si>
  <si>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</si>
  <si>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</si>
  <si>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</si>
  <si>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</si>
  <si>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</si>
  <si>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</si>
  <si>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</si>
  <si>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</si>
  <si>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</si>
  <si>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</si>
  <si>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</si>
  <si>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</si>
  <si>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</si>
  <si>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</si>
  <si>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</si>
  <si>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</si>
  <si>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</si>
  <si>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</si>
  <si>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</si>
  <si>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</si>
  <si>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</si>
  <si>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</si>
  <si>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</si>
  <si>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</si>
  <si>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</si>
  <si>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</si>
  <si>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</si>
  <si>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</si>
  <si>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</si>
  <si>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</si>
  <si>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</si>
  <si>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</si>
  <si>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</si>
  <si>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</si>
  <si>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</si>
  <si>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</si>
  <si>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</si>
  <si>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</si>
  <si>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</si>
  <si>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</si>
  <si>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</si>
  <si>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</si>
  <si>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</si>
  <si>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</si>
  <si>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</si>
  <si>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</si>
  <si>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</si>
  <si>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</si>
  <si>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</si>
  <si>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</si>
  <si>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</si>
  <si>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</si>
  <si>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</si>
  <si>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</si>
  <si>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</si>
  <si>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</si>
  <si>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</si>
  <si>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</si>
  <si>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</si>
  <si>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</si>
  <si>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</si>
  <si>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</si>
  <si>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</si>
  <si>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</si>
  <si>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</si>
  <si>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</si>
  <si>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</si>
  <si>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</si>
  <si>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</si>
  <si>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</si>
  <si>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</si>
  <si>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</si>
  <si>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</si>
  <si>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</si>
  <si>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</si>
  <si>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</si>
  <si>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</si>
  <si>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</si>
  <si>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</si>
  <si>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</si>
  <si>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</si>
  <si>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</si>
  <si>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</si>
  <si>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</si>
  <si>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</si>
  <si>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</si>
  <si>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</si>
  <si>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</si>
  <si>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</si>
  <si>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</si>
  <si>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</si>
  <si>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</si>
  <si>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</si>
  <si>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</si>
  <si>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</si>
  <si>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</si>
  <si>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</si>
  <si>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</si>
  <si>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</si>
  <si>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</si>
  <si>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</si>
  <si>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</si>
  <si>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</si>
  <si>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</si>
  <si>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</si>
  <si>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</si>
  <si>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</si>
  <si>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</si>
  <si>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</si>
  <si>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</si>
  <si>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</si>
  <si>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</si>
  <si>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</si>
  <si>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</si>
  <si>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</si>
  <si>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</si>
  <si>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</si>
  <si>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</si>
  <si>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</si>
  <si>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</si>
  <si>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</si>
  <si>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</si>
  <si>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</si>
  <si>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</si>
  <si>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</si>
  <si>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</si>
  <si>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</si>
  <si>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</si>
  <si>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</si>
  <si>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</si>
  <si>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</si>
  <si>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</si>
  <si>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</si>
  <si>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</si>
  <si>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</si>
  <si>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</si>
  <si>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</si>
  <si>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</si>
  <si>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</si>
  <si>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</si>
  <si>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</si>
  <si>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</si>
  <si>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</si>
  <si>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</si>
  <si>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</si>
  <si>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</si>
  <si>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</si>
  <si>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</si>
  <si>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</si>
  <si>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</si>
  <si>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</si>
  <si>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</si>
  <si>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</si>
  <si>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</si>
  <si>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</si>
  <si>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</si>
  <si>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</si>
  <si>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</si>
  <si>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</si>
  <si>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</si>
  <si>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</si>
  <si>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</si>
  <si>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</si>
  <si>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</si>
  <si>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</si>
  <si>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</si>
  <si>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</si>
  <si>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</si>
  <si>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</si>
  <si>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</si>
  <si>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</si>
  <si>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</si>
  <si>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</si>
  <si>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</si>
  <si>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</si>
  <si>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</si>
  <si>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</si>
  <si>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</si>
  <si>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</si>
  <si>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</si>
  <si>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</si>
  <si>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</si>
  <si>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</si>
  <si>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</si>
  <si>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</si>
  <si>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</si>
  <si>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</si>
  <si>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</si>
  <si>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</si>
  <si>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</si>
  <si>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</si>
  <si>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</si>
  <si>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</si>
  <si>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</si>
  <si>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</si>
  <si>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</si>
  <si>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</si>
  <si>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</si>
  <si>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</si>
  <si>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</si>
  <si>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</si>
  <si>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</si>
  <si>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</si>
  <si>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</si>
  <si>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</si>
  <si>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</si>
  <si>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</si>
  <si>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</si>
  <si>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</si>
  <si>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</si>
  <si>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</si>
  <si>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</si>
  <si>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</si>
  <si>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</si>
  <si>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</si>
  <si>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</si>
  <si>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</si>
  <si>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</si>
  <si>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</si>
  <si>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</si>
  <si>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</si>
  <si>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</si>
  <si>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</si>
  <si>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</si>
  <si>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</si>
  <si>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</si>
  <si>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</si>
  <si>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</si>
  <si>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</si>
  <si>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</si>
  <si>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</si>
  <si>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</si>
  <si>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</si>
  <si>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</si>
  <si>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</si>
  <si>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</si>
  <si>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</si>
  <si>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</si>
  <si>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</si>
  <si>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</si>
  <si>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</si>
  <si>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</si>
  <si>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</si>
  <si>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</si>
  <si>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</si>
  <si>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</si>
  <si>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</si>
  <si>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</si>
  <si>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</si>
  <si>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</si>
  <si>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</si>
  <si>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</si>
  <si>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</si>
  <si>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</si>
  <si>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</si>
  <si>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</si>
  <si>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</si>
  <si>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</si>
  <si>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</si>
  <si>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</si>
  <si>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</si>
  <si>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</si>
  <si>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</si>
  <si>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</si>
  <si>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</si>
  <si>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</si>
  <si>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</si>
  <si>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</si>
  <si>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</si>
  <si>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</si>
  <si>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</si>
  <si>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</si>
  <si>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</si>
  <si>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</si>
  <si>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</si>
  <si>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</si>
  <si>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</si>
  <si>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</si>
  <si>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</si>
  <si>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</si>
  <si>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</si>
  <si>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</si>
  <si>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</si>
  <si>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</si>
  <si>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</si>
  <si>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</si>
  <si>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</si>
  <si>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</si>
  <si>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</si>
  <si>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</si>
  <si>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</si>
  <si>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</si>
  <si>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</si>
  <si>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</si>
  <si>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</si>
  <si>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</si>
  <si>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</si>
  <si>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</si>
  <si>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</si>
  <si>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</si>
  <si>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</si>
  <si>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</si>
  <si>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</si>
  <si>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</si>
  <si>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</si>
  <si>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</si>
  <si>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</si>
  <si>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</si>
  <si>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</si>
  <si>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</si>
  <si>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</si>
  <si>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</si>
  <si>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</si>
  <si>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</si>
  <si>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</si>
  <si>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</si>
  <si>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</si>
  <si>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</si>
  <si>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</si>
  <si>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</si>
  <si>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</si>
  <si>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</si>
  <si>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</si>
  <si>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</si>
  <si>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</si>
  <si>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</si>
  <si>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</si>
  <si>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</si>
  <si>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</si>
  <si>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</si>
  <si>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</si>
  <si>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</si>
  <si>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</si>
  <si>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</si>
  <si>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</si>
  <si>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</si>
  <si>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</si>
  <si>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</si>
  <si>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</si>
  <si>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</si>
  <si>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</si>
  <si>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</si>
  <si>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</si>
  <si>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</si>
  <si>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</si>
  <si>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</si>
  <si>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</si>
  <si>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</si>
  <si>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</si>
  <si>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</si>
  <si>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</si>
  <si>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</si>
  <si>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</si>
  <si>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</si>
  <si>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</si>
  <si>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</si>
  <si>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</si>
  <si>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</si>
  <si>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</si>
  <si>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</si>
  <si>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</si>
  <si>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</si>
  <si>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</si>
  <si>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</si>
  <si>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</si>
  <si>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</si>
  <si>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</si>
  <si>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</si>
  <si>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</si>
  <si>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</si>
  <si>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</si>
  <si>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</si>
  <si>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</si>
  <si>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</si>
  <si>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</si>
  <si>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</si>
  <si>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</si>
  <si>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</si>
  <si>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</si>
  <si>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</si>
  <si>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</si>
  <si>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</si>
  <si>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</si>
  <si>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</si>
  <si>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</si>
  <si>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</si>
  <si>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</si>
  <si>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</si>
  <si>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</si>
  <si>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</si>
  <si>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</si>
  <si>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</si>
  <si>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</si>
  <si>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</si>
  <si>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</si>
  <si>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</si>
  <si>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</si>
  <si>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</si>
  <si>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</si>
  <si>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</si>
  <si>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</si>
  <si>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</si>
  <si>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</si>
  <si>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</si>
  <si>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</si>
  <si>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</si>
  <si>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</si>
  <si>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</si>
  <si>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</si>
  <si>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</si>
  <si>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</si>
  <si>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</si>
  <si>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</si>
  <si>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</si>
  <si>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</si>
  <si>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</si>
  <si>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</si>
  <si>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</si>
  <si>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</si>
  <si>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</si>
  <si>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</si>
  <si>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</si>
  <si>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</si>
  <si>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</si>
  <si>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</si>
  <si>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</si>
  <si>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</si>
  <si>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</si>
  <si>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</si>
  <si>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</si>
  <si>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</si>
  <si>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</si>
  <si>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</si>
  <si>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</si>
  <si>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</si>
  <si>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</si>
  <si>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</si>
  <si>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</si>
  <si>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</si>
  <si>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</si>
  <si>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</si>
  <si>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</si>
  <si>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</si>
  <si>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</si>
  <si>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</si>
  <si>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</si>
  <si>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</si>
  <si>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</si>
  <si>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</si>
  <si>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</si>
  <si>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</si>
  <si>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</si>
  <si>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</si>
  <si>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</si>
  <si>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</si>
  <si>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</si>
  <si>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</si>
  <si>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</si>
  <si>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</si>
  <si>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</si>
  <si>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</si>
  <si>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</si>
  <si>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</si>
  <si>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</si>
  <si>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</si>
  <si>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</si>
  <si>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</si>
  <si>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</si>
  <si>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</si>
  <si>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</si>
  <si>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</si>
  <si>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</si>
  <si>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</si>
  <si>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</si>
  <si>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</si>
  <si>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</si>
  <si>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</si>
  <si>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</si>
  <si>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</si>
  <si>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</si>
  <si>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</si>
  <si>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</si>
  <si>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</si>
  <si>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</si>
  <si>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</si>
  <si>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</si>
  <si>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</si>
  <si>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</si>
  <si>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</si>
  <si>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</si>
  <si>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</si>
  <si>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</si>
  <si>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</si>
  <si>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</si>
  <si>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</si>
  <si>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</si>
  <si>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</si>
  <si>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</si>
  <si>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</si>
  <si>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</si>
  <si>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</si>
  <si>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</si>
  <si>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</si>
  <si>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</si>
  <si>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</si>
  <si>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</si>
  <si>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</si>
  <si>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</si>
  <si>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</si>
  <si>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</si>
  <si>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</si>
  <si>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</si>
  <si>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</si>
  <si>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</si>
  <si>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</si>
  <si>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</si>
  <si>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</si>
  <si>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</si>
  <si>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</si>
  <si>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</si>
  <si>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</si>
  <si>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</si>
  <si>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</si>
  <si>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</si>
  <si>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</si>
  <si>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</si>
  <si>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</si>
  <si>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</si>
  <si>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</si>
  <si>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</si>
  <si>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</si>
  <si>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</si>
  <si>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</si>
  <si>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</si>
  <si>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</si>
  <si>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</si>
  <si>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</si>
  <si>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</si>
  <si>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</si>
  <si>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</si>
  <si>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</si>
  <si>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</si>
  <si>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</si>
  <si>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</si>
  <si>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</si>
  <si>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</si>
  <si>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</si>
  <si>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</si>
  <si>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</si>
  <si>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</si>
  <si>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</si>
  <si>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</si>
  <si>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</si>
  <si>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</si>
  <si>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</si>
  <si>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</si>
  <si>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</si>
  <si>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</si>
  <si>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</si>
  <si>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</si>
  <si>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</si>
  <si>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</si>
  <si>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</si>
  <si>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</si>
  <si>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</si>
  <si>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</si>
  <si>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</si>
  <si>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</si>
  <si>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</si>
  <si>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</si>
  <si>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</si>
  <si>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</si>
  <si>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</si>
  <si>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</si>
  <si>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</si>
  <si>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</si>
  <si>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</si>
  <si>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</si>
  <si>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</si>
  <si>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</si>
  <si>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</si>
  <si>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</si>
  <si>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</si>
  <si>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</si>
  <si>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</si>
  <si>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</si>
  <si>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</si>
  <si>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</si>
  <si>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</si>
  <si>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</si>
  <si>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</si>
  <si>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</si>
  <si>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</si>
  <si>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</si>
  <si>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</si>
  <si>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</si>
  <si>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</si>
  <si>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</si>
  <si>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</si>
  <si>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</si>
  <si>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</si>
  <si>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</si>
  <si>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</si>
  <si>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</si>
  <si>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</si>
  <si>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</si>
  <si>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</si>
  <si>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</si>
  <si>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</si>
  <si>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</si>
  <si>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</si>
  <si>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</si>
  <si>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</si>
  <si>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</si>
  <si>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</si>
  <si>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</si>
  <si>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</si>
  <si>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</si>
  <si>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</si>
  <si>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</si>
  <si>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</si>
  <si>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</si>
  <si>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</si>
  <si>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</si>
  <si>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</si>
  <si>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</si>
  <si>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</si>
  <si>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</si>
  <si>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</si>
  <si>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</si>
  <si>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</si>
  <si>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</si>
  <si>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</si>
  <si>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</si>
  <si>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</si>
  <si>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</si>
  <si>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</si>
  <si>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</si>
  <si>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</si>
  <si>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</si>
  <si>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</si>
  <si>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</si>
  <si>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</si>
  <si>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</si>
  <si>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</si>
  <si>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</si>
  <si>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</si>
  <si>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</si>
  <si>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</si>
  <si>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</si>
  <si>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</si>
  <si>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</si>
  <si>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</si>
  <si>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</si>
  <si>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</si>
  <si>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</si>
  <si>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</si>
  <si>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</si>
  <si>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</si>
  <si>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</si>
  <si>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</si>
  <si>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</si>
  <si>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</si>
  <si>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</si>
  <si>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</si>
  <si>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</si>
  <si>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</si>
  <si>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</si>
  <si>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</si>
  <si>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</si>
  <si>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</si>
  <si>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</si>
  <si>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</si>
  <si>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</si>
  <si>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</si>
  <si>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</si>
  <si>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</si>
  <si>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</si>
  <si>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</si>
  <si>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</si>
  <si>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</si>
  <si>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</si>
  <si>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</si>
  <si>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</si>
  <si>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</si>
  <si>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</si>
  <si>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</si>
  <si>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</si>
  <si>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</si>
  <si>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</si>
  <si>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</si>
  <si>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</si>
  <si>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</si>
  <si>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</si>
  <si>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</si>
  <si>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</si>
  <si>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</si>
  <si>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</si>
  <si>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</si>
  <si>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</si>
  <si>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</si>
  <si>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</si>
  <si>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</si>
  <si>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</si>
  <si>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</si>
  <si>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</si>
  <si>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</si>
  <si>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</si>
  <si>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</si>
  <si>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</si>
  <si>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</si>
  <si>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</si>
  <si>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</si>
  <si>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</si>
  <si>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</si>
  <si>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</si>
  <si>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</si>
  <si>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</si>
  <si>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</si>
  <si>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</si>
  <si>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</si>
  <si>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</si>
  <si>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</si>
  <si>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</si>
  <si>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</si>
  <si>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</si>
  <si>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</si>
  <si>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</si>
  <si>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</si>
  <si>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</si>
  <si>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</si>
  <si>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</si>
  <si>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</si>
  <si>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</si>
  <si>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</si>
  <si>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</si>
  <si>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</si>
  <si>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</si>
  <si>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</si>
  <si>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</si>
  <si>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</si>
  <si>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</si>
  <si>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</si>
  <si>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</si>
  <si>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</si>
  <si>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</si>
  <si>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</si>
  <si>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</si>
  <si>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</si>
  <si>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</si>
  <si>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</si>
  <si>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</si>
  <si>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</si>
  <si>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</si>
  <si>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</si>
  <si>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</si>
  <si>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</si>
  <si>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</si>
  <si>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</si>
  <si>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</si>
  <si>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</si>
  <si>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</si>
  <si>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</si>
  <si>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</si>
  <si>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</si>
  <si>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</si>
  <si>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</si>
  <si>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</si>
  <si>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</si>
  <si>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</si>
  <si>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</si>
  <si>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</si>
  <si>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</si>
  <si>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</si>
  <si>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</si>
  <si>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</si>
  <si>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</si>
  <si>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</si>
  <si>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</si>
  <si>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</si>
  <si>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</si>
  <si>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</si>
  <si>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</si>
  <si>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</si>
  <si>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</si>
  <si>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</si>
  <si>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</si>
  <si>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</si>
  <si>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</si>
  <si>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</si>
  <si>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</si>
  <si>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</si>
  <si>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</si>
  <si>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</si>
  <si>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</si>
  <si>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</si>
  <si>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</si>
  <si>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</si>
  <si>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</si>
  <si>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</si>
  <si>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</si>
  <si>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</si>
  <si>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</si>
  <si>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</si>
  <si>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</si>
  <si>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</si>
  <si>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</si>
  <si>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</si>
  <si>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</si>
  <si>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</si>
  <si>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</si>
  <si>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</si>
  <si>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</si>
  <si>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</si>
  <si>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</si>
  <si>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</si>
  <si>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</si>
  <si>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</si>
  <si>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</si>
  <si>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</si>
  <si>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</si>
  <si>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</si>
  <si>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</si>
  <si>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</si>
  <si>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</si>
  <si>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</si>
  <si>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</si>
  <si>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</si>
  <si>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</si>
  <si>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</si>
  <si>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</si>
  <si>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</si>
  <si>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</si>
  <si>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</si>
  <si>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</si>
  <si>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</si>
  <si>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</si>
  <si>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</si>
  <si>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</si>
  <si>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</si>
  <si>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</si>
  <si>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</si>
  <si>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</si>
  <si>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</si>
  <si>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</si>
  <si>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</si>
  <si>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</si>
  <si>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</si>
  <si>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</si>
  <si>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</si>
  <si>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</si>
  <si>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</si>
  <si>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</si>
  <si>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</si>
  <si>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</si>
  <si>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</si>
  <si>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</si>
  <si>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</si>
  <si>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</si>
  <si>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</si>
  <si>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</si>
  <si>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</si>
  <si>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</si>
  <si>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</si>
  <si>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</si>
  <si>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</si>
  <si>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</si>
  <si>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</si>
  <si>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</si>
  <si>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</si>
  <si>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</si>
  <si>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</si>
  <si>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</si>
  <si>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</si>
  <si>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</si>
  <si>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</si>
  <si>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</si>
  <si>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</si>
  <si>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</si>
  <si>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</si>
  <si>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</si>
  <si>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</si>
  <si>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</si>
  <si>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</si>
  <si>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</si>
  <si>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</si>
  <si>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</si>
  <si>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</si>
  <si>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</si>
  <si>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</si>
  <si>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</si>
  <si>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</si>
  <si>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</si>
  <si>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</si>
  <si>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</si>
  <si>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</si>
  <si>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</si>
  <si>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</si>
  <si>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</si>
  <si>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</si>
  <si>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</si>
  <si>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</si>
  <si>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</si>
  <si>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</si>
  <si>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</si>
  <si>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</si>
  <si>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</si>
  <si>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</si>
  <si>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</si>
  <si>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</si>
  <si>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</si>
  <si>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</si>
  <si>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</si>
  <si>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</si>
  <si>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</si>
  <si>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</si>
  <si>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</si>
  <si>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</si>
  <si>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</si>
  <si>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</si>
  <si>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</si>
  <si>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</si>
  <si>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</si>
  <si>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</si>
  <si>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</si>
  <si>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</si>
  <si>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</si>
  <si>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</si>
  <si>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</si>
  <si>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</si>
  <si>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</si>
  <si>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</si>
  <si>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</si>
  <si>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</si>
  <si>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</si>
  <si>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</si>
  <si>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</si>
  <si>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</si>
  <si>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</si>
  <si>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</si>
  <si>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</si>
  <si>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</si>
  <si>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</si>
  <si>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</si>
  <si>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</si>
  <si>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</si>
  <si>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</si>
  <si>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</si>
  <si>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</si>
  <si>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</si>
  <si>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</si>
  <si>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</si>
  <si>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</si>
  <si>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</si>
  <si>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</si>
  <si>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</si>
  <si>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</si>
  <si>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</si>
  <si>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</si>
  <si>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</si>
  <si>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</si>
  <si>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</si>
  <si>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</si>
  <si>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</si>
  <si>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</si>
  <si>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</si>
  <si>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</si>
  <si>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</si>
  <si>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</si>
  <si>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</si>
  <si>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</si>
  <si>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</si>
  <si>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</si>
  <si>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</si>
  <si>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</si>
  <si>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</si>
  <si>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</si>
  <si>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</si>
  <si>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</si>
  <si>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</si>
  <si>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</si>
  <si>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</si>
  <si>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</si>
  <si>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</si>
  <si>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</si>
  <si>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</si>
  <si>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</si>
  <si>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</si>
  <si>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</si>
  <si>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</si>
  <si>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</si>
  <si>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</si>
  <si>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</si>
  <si>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</si>
  <si>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</si>
  <si>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</si>
  <si>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</si>
  <si>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</si>
  <si>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</si>
  <si>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</si>
  <si>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</si>
  <si>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</si>
  <si>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</si>
  <si>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</si>
  <si>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</si>
  <si>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</si>
  <si>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</si>
  <si>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</si>
  <si>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</si>
  <si>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</si>
  <si>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</si>
  <si>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</si>
  <si>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</si>
  <si>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</si>
  <si>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</si>
  <si>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</si>
  <si>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</si>
  <si>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</si>
  <si>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</si>
  <si>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</si>
  <si>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</si>
  <si>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</si>
  <si>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</si>
  <si>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</si>
  <si>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</si>
  <si>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</si>
  <si>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</si>
  <si>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</si>
  <si>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</si>
  <si>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</si>
  <si>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</si>
  <si>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</si>
  <si>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</si>
  <si>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</si>
  <si>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</si>
  <si>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</si>
  <si>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</si>
  <si>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</si>
  <si>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</si>
  <si>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</si>
  <si>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</si>
  <si>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</si>
  <si>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</si>
  <si>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</si>
  <si>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</si>
  <si>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</si>
  <si>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</si>
  <si>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</si>
  <si>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</si>
  <si>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</si>
  <si>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</si>
  <si>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</si>
  <si>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</si>
  <si>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</si>
  <si>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</si>
  <si>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</si>
  <si>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</si>
  <si>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</si>
  <si>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</si>
  <si>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</si>
  <si>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</si>
  <si>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</si>
  <si>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</si>
  <si>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</si>
  <si>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</si>
  <si>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</si>
  <si>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</si>
  <si>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</si>
  <si>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</si>
  <si>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</si>
  <si>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</si>
  <si>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</si>
  <si>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</si>
  <si>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</si>
  <si>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</si>
  <si>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</si>
  <si>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</si>
  <si>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</si>
  <si>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</si>
  <si>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</si>
  <si>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</si>
  <si>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</si>
  <si>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</si>
  <si>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</si>
  <si>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</si>
  <si>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</si>
  <si>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</si>
  <si>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</si>
  <si>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</si>
  <si>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</si>
  <si>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</si>
  <si>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</si>
  <si>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</si>
  <si>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</si>
  <si>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</si>
  <si>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</si>
  <si>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</si>
  <si>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</si>
  <si>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</si>
  <si>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</si>
  <si>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</si>
  <si>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</si>
  <si>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</si>
  <si>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</si>
  <si>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</si>
  <si>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</si>
  <si>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</si>
  <si>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</si>
  <si>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</si>
  <si>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</si>
  <si>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</si>
  <si>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</si>
  <si>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</si>
  <si>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</si>
  <si>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</si>
  <si>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</si>
  <si>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</si>
  <si>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</si>
  <si>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</si>
  <si>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</si>
  <si>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</si>
  <si>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</si>
  <si>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</si>
  <si>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</si>
  <si>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</si>
  <si>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</si>
  <si>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</si>
  <si>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</si>
  <si>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</si>
  <si>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</si>
  <si>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</si>
  <si>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</si>
  <si>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</si>
  <si>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</si>
  <si>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</si>
  <si>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</si>
  <si>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</si>
  <si>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</si>
  <si>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</si>
  <si>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</si>
  <si>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</si>
  <si>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</si>
  <si>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</si>
  <si>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</si>
  <si>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</si>
  <si>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</si>
  <si>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</si>
  <si>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</si>
  <si>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</si>
  <si>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</si>
  <si>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</si>
  <si>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</si>
  <si>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</si>
  <si>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</si>
  <si>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</si>
  <si>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</si>
  <si>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</si>
  <si>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</si>
  <si>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</si>
  <si>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</si>
  <si>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</si>
  <si>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</si>
  <si>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</si>
  <si>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</si>
  <si>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</si>
  <si>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</si>
  <si>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</si>
  <si>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</si>
  <si>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</si>
  <si>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</si>
  <si>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</si>
  <si>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</si>
  <si>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</si>
  <si>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</si>
  <si>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</si>
  <si>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</si>
  <si>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</si>
  <si>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</si>
  <si>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</si>
  <si>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</si>
  <si>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</si>
  <si>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</si>
  <si>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</si>
  <si>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</si>
  <si>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</si>
  <si>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</si>
  <si>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</si>
  <si>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</si>
  <si>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</si>
  <si>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</si>
  <si>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</si>
  <si>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</si>
  <si>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</si>
  <si>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</si>
  <si>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</si>
  <si>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</si>
  <si>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</si>
  <si>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</si>
  <si>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</si>
  <si>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</si>
  <si>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</si>
  <si>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</si>
  <si>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</si>
  <si>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</si>
  <si>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</si>
  <si>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</si>
  <si>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</si>
  <si>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</si>
  <si>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</si>
  <si>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</si>
  <si>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</si>
  <si>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</si>
  <si>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</si>
  <si>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</si>
  <si>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</si>
  <si>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</si>
  <si>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</si>
  <si>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</si>
  <si>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</si>
  <si>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</si>
  <si>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</si>
  <si>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</si>
  <si>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</si>
  <si>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</si>
  <si>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</si>
  <si>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</si>
  <si>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</si>
  <si>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</si>
  <si>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</si>
  <si>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</si>
  <si>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</si>
  <si>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</si>
  <si>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</si>
  <si>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</si>
  <si>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</si>
  <si>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</si>
  <si>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</si>
  <si>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</si>
  <si>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</si>
  <si>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</si>
  <si>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</si>
  <si>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</si>
  <si>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</si>
  <si>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</si>
  <si>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</si>
  <si>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</si>
  <si>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</si>
  <si>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</si>
  <si>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</si>
  <si>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</si>
  <si>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</si>
  <si>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</si>
  <si>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</si>
  <si>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</si>
  <si>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</si>
  <si>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</si>
  <si>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</si>
  <si>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</si>
  <si>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</si>
  <si>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</si>
  <si>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</si>
  <si>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</si>
  <si>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</si>
  <si>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</si>
  <si>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</si>
  <si>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</si>
  <si>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</si>
  <si>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</si>
  <si>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</si>
  <si>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</si>
  <si>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</si>
  <si>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</si>
  <si>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</si>
  <si>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</si>
  <si>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</si>
  <si>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</si>
  <si>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</si>
  <si>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</si>
  <si>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</si>
  <si>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</si>
  <si>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</si>
  <si>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</si>
  <si>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</si>
  <si>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</si>
  <si>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</si>
  <si>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</si>
  <si>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</si>
  <si>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</si>
  <si>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</si>
  <si>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</si>
  <si>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</si>
  <si>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</si>
  <si>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</si>
  <si>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</si>
  <si>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</si>
  <si>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</si>
  <si>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</si>
  <si>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</si>
  <si>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</si>
  <si>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</si>
  <si>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</si>
  <si>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</si>
  <si>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</si>
  <si>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</si>
  <si>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</si>
  <si>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</si>
  <si>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</si>
  <si>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</si>
  <si>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</si>
  <si>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</si>
  <si>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</si>
  <si>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</si>
  <si>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</si>
  <si>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</si>
  <si>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</si>
  <si>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</si>
  <si>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</si>
  <si>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</si>
  <si>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</si>
  <si>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</si>
  <si>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</si>
  <si>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</si>
  <si>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</si>
  <si>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</si>
  <si>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</si>
  <si>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</si>
  <si>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</si>
  <si>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</si>
  <si>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</si>
  <si>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</si>
  <si>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</si>
  <si>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</si>
  <si>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</si>
  <si>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</si>
  <si>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</si>
  <si>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</si>
  <si>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</si>
  <si>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</si>
  <si>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</si>
  <si>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</si>
  <si>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</si>
  <si>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</si>
  <si>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</si>
  <si>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</si>
  <si>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</si>
  <si>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</si>
  <si>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</si>
  <si>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</si>
  <si>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</si>
  <si>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</si>
  <si>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</si>
  <si>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</si>
  <si>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</si>
  <si>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</si>
  <si>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</si>
  <si>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</si>
  <si>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</si>
  <si>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</si>
  <si>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</si>
  <si>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</si>
  <si>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</si>
  <si>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</si>
  <si>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</si>
  <si>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</si>
  <si>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</si>
  <si>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</si>
  <si>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</si>
  <si>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</si>
  <si>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</si>
  <si>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</si>
  <si>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</si>
  <si>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</si>
  <si>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</si>
  <si>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</si>
  <si>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</si>
  <si>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</si>
  <si>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</si>
  <si>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</si>
  <si>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</si>
  <si>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</si>
  <si>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</si>
  <si>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</si>
  <si>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</si>
  <si>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</si>
  <si>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</si>
  <si>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</si>
  <si>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</si>
  <si>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</si>
  <si>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</si>
  <si>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</si>
  <si>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</si>
  <si>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</si>
  <si>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</si>
  <si>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</si>
  <si>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</si>
  <si>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</si>
  <si>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</si>
  <si>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</si>
  <si>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</si>
  <si>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</si>
  <si>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</si>
  <si>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</si>
  <si>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</si>
  <si>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</si>
  <si>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</si>
  <si>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</si>
  <si>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</si>
  <si>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</si>
  <si>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</si>
  <si>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</si>
  <si>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</si>
  <si>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</si>
  <si>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</si>
  <si>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</si>
  <si>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</si>
  <si>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</si>
  <si>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</si>
  <si>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</si>
  <si>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</si>
  <si>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</si>
  <si>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</si>
  <si>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</si>
  <si>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</si>
  <si>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</si>
  <si>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</si>
  <si>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</si>
  <si>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</si>
  <si>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</si>
  <si>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</si>
  <si>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</si>
  <si>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</si>
  <si>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</si>
  <si>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</si>
  <si>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</si>
  <si>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</si>
  <si>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</si>
  <si>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</si>
  <si>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</si>
  <si>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</si>
  <si>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</si>
  <si>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</si>
  <si>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</si>
  <si>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</si>
  <si>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</si>
  <si>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</si>
  <si>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</si>
  <si>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</si>
  <si>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</si>
  <si>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</si>
  <si>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</si>
  <si>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</si>
  <si>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</si>
  <si>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</si>
  <si>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</si>
  <si>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</si>
  <si>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</si>
  <si>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</si>
  <si>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</si>
  <si>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</si>
  <si>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</si>
  <si>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</si>
  <si>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</si>
  <si>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</si>
  <si>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</si>
  <si>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</si>
  <si>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</si>
  <si>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</si>
  <si>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</si>
  <si>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</si>
  <si>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</si>
  <si>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</si>
  <si>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</si>
  <si>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</si>
  <si>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</si>
  <si>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</si>
  <si>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</si>
  <si>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</si>
  <si>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</si>
  <si>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</si>
  <si>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</si>
  <si>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</si>
  <si>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</si>
  <si>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</si>
  <si>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</si>
  <si>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</si>
  <si>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</si>
  <si>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</si>
  <si>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</si>
  <si>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</si>
  <si>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</si>
  <si>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</si>
  <si>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</si>
  <si>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</si>
  <si>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</si>
  <si>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</si>
  <si>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</si>
  <si>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</si>
  <si>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</si>
  <si>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</si>
  <si>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</si>
  <si>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</si>
  <si>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</si>
  <si>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</si>
  <si>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</si>
  <si>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</si>
  <si>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</si>
  <si>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</si>
  <si>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</si>
  <si>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</si>
  <si>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</si>
  <si>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</si>
  <si>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</si>
  <si>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</si>
  <si>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</si>
  <si>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</si>
  <si>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</si>
  <si>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</si>
  <si>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</si>
  <si>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</si>
  <si>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</si>
  <si>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</si>
  <si>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</si>
  <si>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</si>
  <si>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</si>
  <si>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</si>
  <si>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</si>
  <si>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</si>
  <si>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</si>
  <si>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</si>
  <si>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</si>
  <si>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</si>
  <si>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</si>
  <si>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</si>
  <si>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</si>
  <si>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</si>
  <si>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</si>
  <si>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</si>
  <si>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</si>
  <si>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</si>
  <si>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</si>
  <si>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</si>
  <si>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</si>
  <si>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</si>
  <si>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</si>
  <si>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</si>
  <si>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</si>
  <si>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</si>
  <si>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</si>
  <si>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</si>
  <si>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</si>
  <si>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</si>
  <si>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</si>
  <si>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</si>
  <si>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</si>
  <si>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</si>
  <si>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</si>
  <si>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</si>
  <si>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</si>
  <si>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</si>
  <si>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</si>
  <si>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</si>
  <si>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</si>
  <si>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</si>
  <si>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</si>
  <si>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</si>
  <si>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</si>
  <si>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</si>
  <si>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</si>
  <si>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</si>
  <si>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</si>
  <si>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</si>
  <si>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</si>
  <si>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</si>
  <si>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</si>
  <si>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</si>
  <si>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</si>
  <si>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</si>
  <si>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</si>
  <si>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</si>
  <si>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</si>
  <si>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</si>
  <si>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</si>
  <si>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</si>
  <si>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</si>
  <si>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</si>
  <si>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</si>
  <si>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</si>
  <si>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</si>
  <si>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</si>
  <si>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</si>
  <si>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</si>
  <si>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</si>
  <si>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</si>
  <si>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</si>
  <si>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</si>
  <si>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</si>
  <si>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</si>
  <si>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</si>
  <si>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</si>
  <si>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</si>
  <si>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</si>
  <si>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</si>
  <si>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</si>
  <si>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</si>
  <si>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</si>
  <si>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</si>
  <si>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</si>
  <si>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</si>
  <si>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</si>
  <si>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</si>
  <si>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</si>
  <si>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</si>
  <si>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</si>
  <si>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</si>
  <si>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</si>
  <si>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</si>
  <si>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</si>
  <si>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</si>
  <si>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</si>
  <si>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</si>
  <si>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</si>
  <si>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</si>
  <si>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</si>
  <si>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</si>
  <si>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</si>
  <si>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</si>
  <si>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</si>
  <si>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</si>
  <si>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</si>
  <si>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</si>
  <si>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</si>
  <si>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</si>
  <si>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</si>
  <si>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</si>
  <si>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</si>
  <si>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</si>
  <si>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</si>
  <si>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</si>
  <si>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</si>
  <si>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</si>
  <si>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</si>
  <si>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</si>
  <si>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</si>
  <si>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</si>
  <si>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</si>
  <si>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</si>
  <si>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</si>
  <si>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</si>
  <si>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</si>
  <si>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</si>
  <si>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</si>
  <si>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</si>
  <si>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</si>
  <si>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</si>
  <si>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</si>
  <si>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</si>
  <si>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</si>
  <si>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</si>
  <si>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</si>
  <si>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</si>
  <si>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</si>
  <si>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</si>
  <si>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</si>
  <si>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</si>
  <si>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</si>
  <si>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</si>
  <si>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</si>
  <si>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</si>
  <si>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</si>
  <si>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</si>
  <si>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</si>
  <si>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</si>
  <si>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</si>
  <si>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</si>
  <si>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</si>
  <si>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</si>
  <si>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</si>
  <si>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</si>
  <si>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</si>
  <si>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</si>
  <si>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</si>
  <si>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</si>
  <si>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</si>
  <si>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</si>
  <si>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</si>
  <si>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</si>
  <si>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</si>
  <si>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</si>
  <si>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</si>
  <si>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</si>
  <si>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</si>
  <si>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</si>
  <si>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</si>
  <si>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</si>
  <si>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</si>
  <si>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</si>
  <si>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</si>
  <si>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</si>
  <si>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</si>
  <si>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</si>
  <si>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</si>
  <si>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</si>
  <si>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</si>
  <si>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</si>
  <si>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</si>
  <si>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</si>
  <si>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</si>
  <si>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</si>
  <si>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</si>
  <si>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</si>
  <si>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</si>
  <si>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</si>
  <si>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</si>
  <si>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</si>
  <si>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</si>
  <si>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</si>
  <si>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</si>
  <si>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</si>
  <si>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</si>
  <si>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</si>
  <si>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</si>
  <si>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</si>
  <si>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</si>
  <si>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</si>
  <si>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</si>
  <si>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</si>
  <si>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</si>
  <si>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</si>
  <si>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</si>
  <si>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</si>
  <si>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</si>
  <si>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</si>
  <si>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</si>
  <si>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</si>
  <si>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</si>
  <si>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</si>
  <si>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</si>
  <si>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</si>
  <si>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</si>
  <si>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</si>
  <si>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</si>
  <si>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</si>
  <si>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</si>
  <si>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</si>
  <si>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</si>
  <si>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</si>
  <si>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</si>
  <si>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</si>
  <si>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</si>
  <si>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</si>
  <si>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</si>
  <si>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</si>
  <si>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</si>
  <si>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</si>
  <si>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</si>
  <si>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</si>
  <si>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</si>
  <si>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</si>
  <si>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</si>
  <si>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</si>
  <si>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</si>
  <si>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</si>
  <si>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</si>
  <si>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</si>
  <si>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</si>
  <si>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</si>
  <si>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</si>
  <si>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</si>
  <si>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</si>
  <si>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</si>
  <si>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</si>
  <si>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</si>
  <si>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</si>
  <si>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</si>
  <si>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</si>
  <si>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</si>
  <si>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</si>
  <si>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</si>
  <si>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</si>
  <si>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</si>
  <si>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</si>
  <si>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</si>
  <si>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</si>
  <si>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</si>
  <si>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</si>
  <si>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</si>
  <si>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</si>
  <si>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</si>
  <si>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</si>
  <si>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</si>
  <si>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</si>
  <si>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</si>
  <si>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</si>
  <si>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</si>
  <si>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</si>
  <si>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</si>
  <si>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</si>
  <si>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</si>
  <si>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</si>
  <si>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</si>
  <si>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</si>
  <si>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</si>
  <si>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</si>
  <si>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</si>
  <si>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</si>
  <si>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</si>
  <si>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</si>
  <si>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</si>
  <si>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</si>
  <si>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</si>
  <si>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</si>
  <si>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</si>
  <si>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</si>
  <si>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</si>
  <si>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</si>
  <si>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</si>
  <si>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</si>
  <si>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</si>
  <si>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</si>
  <si>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</si>
  <si>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</si>
  <si>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</si>
  <si>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</si>
  <si>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</si>
  <si>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</si>
  <si>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</si>
  <si>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</si>
  <si>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</si>
  <si>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</si>
  <si>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</si>
  <si>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</si>
  <si>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</si>
  <si>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</si>
  <si>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</si>
  <si>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</si>
  <si>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</si>
  <si>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</si>
  <si>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</si>
  <si>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</si>
  <si>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</si>
  <si>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</si>
  <si>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</si>
  <si>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</si>
  <si>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</si>
  <si>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</si>
  <si>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</si>
  <si>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</si>
  <si>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</si>
  <si>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</si>
  <si>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</si>
  <si>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</si>
  <si>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</si>
  <si>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</si>
  <si>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</si>
  <si>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</si>
  <si>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</si>
  <si>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</si>
  <si>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</si>
  <si>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</si>
  <si>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</si>
  <si>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</si>
  <si>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</si>
  <si>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</si>
  <si>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</si>
  <si>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</si>
  <si>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</si>
  <si>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</si>
  <si>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</si>
  <si>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</si>
  <si>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</si>
  <si>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</si>
  <si>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</si>
  <si>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</si>
  <si>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</si>
  <si>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</si>
  <si>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</si>
  <si>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</si>
  <si>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</si>
  <si>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</si>
  <si>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</si>
  <si>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</si>
  <si>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</si>
  <si>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</si>
  <si>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</si>
  <si>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</si>
  <si>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</si>
  <si>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</si>
  <si>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</si>
  <si>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</si>
  <si>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</si>
  <si>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</si>
  <si>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</si>
  <si>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</si>
  <si>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</si>
  <si>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</si>
  <si>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</si>
  <si>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</si>
  <si>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</si>
  <si>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</si>
  <si>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</si>
  <si>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</si>
  <si>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</si>
  <si>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</si>
  <si>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</si>
  <si>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</si>
  <si>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</si>
  <si>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</si>
  <si>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</si>
  <si>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</si>
  <si>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</si>
  <si>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</si>
  <si>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</si>
  <si>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</si>
  <si>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</si>
  <si>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</si>
  <si>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</si>
  <si>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</si>
  <si>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</si>
  <si>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</si>
  <si>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</si>
  <si>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</si>
  <si>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</si>
  <si>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</si>
  <si>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</si>
  <si>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</si>
  <si>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</si>
  <si>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</si>
  <si>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</si>
  <si>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</si>
  <si>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</si>
  <si>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</si>
  <si>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</si>
  <si>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</si>
  <si>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</si>
  <si>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</si>
  <si>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</si>
  <si>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</si>
  <si>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</si>
  <si>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</si>
  <si>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</si>
  <si>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</si>
  <si>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</si>
  <si>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</si>
  <si>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</si>
  <si>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</si>
  <si>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</si>
  <si>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</si>
  <si>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</si>
  <si>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</si>
  <si>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</si>
  <si>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</si>
  <si>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</si>
  <si>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</si>
  <si>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</si>
  <si>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</si>
  <si>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</si>
  <si>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</si>
  <si>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</si>
  <si>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</si>
  <si>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</si>
  <si>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</si>
  <si>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</si>
  <si>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</si>
  <si>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</si>
  <si>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</si>
  <si>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</si>
  <si>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</si>
  <si>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</si>
  <si>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</si>
  <si>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</si>
  <si>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</si>
  <si>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</si>
  <si>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</si>
  <si>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</si>
  <si>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</si>
  <si>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</si>
  <si>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</si>
  <si>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</si>
  <si>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</si>
  <si>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</si>
  <si>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</si>
  <si>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</si>
  <si>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</si>
  <si>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</si>
  <si>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</si>
  <si>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</si>
  <si>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</si>
  <si>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</si>
  <si>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</si>
  <si>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</si>
  <si>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</si>
  <si>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</si>
  <si>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</si>
  <si>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</si>
  <si>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</si>
  <si>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</si>
  <si>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</si>
  <si>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</si>
  <si>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</si>
  <si>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</si>
  <si>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</si>
  <si>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</si>
  <si>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</si>
  <si>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</si>
  <si>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</si>
  <si>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</si>
  <si>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</si>
  <si>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</si>
  <si>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</si>
  <si>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</si>
  <si>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</si>
  <si>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</si>
  <si>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</si>
  <si>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</si>
  <si>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</si>
  <si>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</si>
  <si>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</si>
  <si>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</si>
  <si>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</si>
  <si>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</si>
  <si>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</si>
  <si>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</si>
  <si>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</si>
  <si>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</si>
  <si>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</si>
  <si>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</si>
  <si>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</si>
  <si>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</si>
  <si>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</si>
  <si>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</si>
  <si>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</si>
  <si>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</si>
  <si>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</si>
  <si>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</si>
  <si>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</si>
  <si>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</si>
  <si>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</si>
  <si>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</si>
  <si>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</si>
  <si>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</si>
  <si>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</si>
  <si>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</si>
  <si>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</si>
  <si>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</si>
  <si>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</si>
  <si>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</si>
  <si>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</si>
  <si>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</si>
  <si>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</si>
  <si>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</si>
  <si>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</si>
  <si>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</si>
  <si>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</si>
  <si>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</si>
  <si>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</si>
  <si>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</si>
  <si>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</si>
  <si>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</si>
  <si>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</si>
  <si>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</si>
  <si>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</si>
  <si>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</si>
  <si>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</si>
  <si>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</si>
  <si>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</si>
  <si>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</si>
  <si>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</si>
  <si>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</si>
  <si>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</si>
  <si>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</si>
  <si>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</si>
  <si>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</si>
  <si>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</si>
  <si>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</si>
  <si>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</si>
  <si>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</si>
  <si>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</si>
  <si>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</si>
  <si>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</si>
  <si>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</si>
  <si>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</si>
  <si>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</si>
  <si>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</si>
  <si>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</si>
  <si>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</si>
  <si>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</si>
  <si>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</si>
  <si>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</si>
  <si>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</si>
  <si>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</si>
  <si>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</si>
  <si>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</si>
  <si>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</si>
  <si>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</si>
  <si>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</si>
  <si>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</si>
  <si>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</si>
  <si>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</si>
  <si>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</si>
  <si>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</si>
  <si>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</si>
  <si>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</si>
  <si>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</si>
  <si>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</si>
  <si>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</si>
  <si>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</si>
  <si>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</si>
  <si>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</si>
  <si>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</si>
  <si>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</si>
  <si>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</si>
  <si>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</si>
  <si>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</si>
  <si>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</si>
  <si>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</si>
  <si>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</si>
  <si>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</si>
  <si>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</si>
  <si>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</si>
  <si>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</si>
  <si>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</si>
  <si>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</si>
  <si>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</si>
  <si>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</si>
  <si>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</si>
  <si>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</si>
  <si>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</si>
  <si>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</si>
  <si>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</si>
  <si>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</si>
  <si>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</si>
  <si>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</si>
  <si>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</si>
  <si>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</si>
  <si>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</si>
  <si>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</si>
  <si>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</si>
  <si>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</si>
  <si>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</si>
  <si>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</si>
  <si>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</si>
  <si>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</si>
  <si>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</si>
  <si>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</si>
  <si>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</si>
  <si>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</si>
  <si>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</si>
  <si>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</si>
  <si>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</si>
  <si>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</si>
  <si>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</si>
  <si>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</si>
  <si>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</si>
  <si>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</si>
  <si>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</si>
  <si>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</si>
  <si>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</si>
  <si>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</si>
  <si>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</si>
  <si>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</si>
  <si>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</si>
  <si>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</si>
  <si>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</si>
  <si>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</si>
  <si>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</si>
  <si>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</si>
  <si>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</si>
  <si>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</si>
  <si>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</si>
  <si>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</si>
  <si>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</si>
  <si>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</si>
  <si>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</si>
  <si>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</si>
  <si>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</si>
  <si>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</si>
  <si>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</si>
  <si>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</si>
  <si>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</si>
  <si>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</si>
  <si>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</si>
  <si>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</si>
  <si>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</si>
  <si>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</si>
  <si>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</si>
  <si>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</si>
  <si>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</si>
  <si>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</si>
  <si>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</si>
  <si>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</si>
  <si>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</si>
  <si>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</si>
  <si>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</si>
  <si>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</si>
  <si>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</si>
  <si>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</si>
  <si>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</si>
  <si>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</si>
  <si>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</si>
  <si>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</si>
  <si>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</si>
  <si>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</si>
  <si>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</si>
  <si>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</si>
  <si>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</si>
  <si>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</si>
  <si>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</si>
  <si>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</si>
  <si>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</si>
  <si>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</si>
  <si>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</si>
  <si>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</si>
  <si>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</si>
  <si>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</si>
  <si>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</si>
  <si>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</si>
  <si>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</si>
  <si>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</si>
  <si>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</si>
  <si>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</si>
  <si>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</si>
  <si>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</si>
  <si>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</si>
  <si>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</si>
  <si>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</si>
  <si>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</si>
  <si>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</si>
  <si>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</si>
  <si>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</si>
  <si>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</si>
  <si>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</si>
  <si>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</si>
  <si>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</si>
  <si>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</si>
  <si>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</si>
  <si>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</si>
  <si>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</si>
  <si>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</si>
  <si>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</si>
  <si>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</si>
  <si>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</si>
  <si>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</si>
  <si>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</si>
  <si>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</si>
  <si>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</si>
  <si>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</si>
  <si>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</si>
  <si>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</si>
  <si>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</si>
  <si>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</si>
  <si>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</si>
  <si>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</si>
  <si>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</si>
  <si>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</si>
  <si>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</si>
  <si>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</si>
  <si>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</si>
  <si>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</si>
  <si>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</si>
  <si>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</si>
  <si>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</si>
  <si>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</si>
  <si>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</si>
  <si>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</si>
  <si>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</si>
  <si>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</si>
  <si>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</si>
  <si>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</si>
  <si>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</si>
  <si>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</si>
  <si>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</si>
  <si>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</si>
  <si>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</si>
  <si>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</si>
  <si>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</si>
  <si>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</si>
  <si>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</si>
  <si>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</si>
  <si>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</si>
  <si>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</si>
  <si>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</si>
  <si>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</si>
  <si>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</si>
  <si>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</si>
  <si>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</si>
  <si>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</si>
  <si>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</si>
  <si>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</si>
  <si>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</si>
  <si>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</si>
  <si>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</si>
  <si>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</si>
  <si>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</si>
  <si>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</si>
  <si>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</si>
  <si>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</si>
  <si>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</si>
  <si>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</si>
  <si>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</si>
  <si>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</si>
  <si>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</si>
  <si>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</si>
  <si>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</si>
  <si>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</si>
  <si>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</si>
  <si>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</si>
  <si>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</si>
  <si>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</si>
  <si>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</si>
  <si>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</si>
  <si>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</si>
  <si>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</si>
  <si>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</si>
  <si>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</si>
  <si>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</si>
  <si>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</si>
  <si>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</si>
  <si>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</si>
  <si>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</si>
  <si>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</si>
  <si>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</si>
  <si>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</si>
  <si>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</si>
  <si>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</si>
  <si>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</si>
  <si>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</si>
  <si>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</si>
  <si>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</si>
  <si>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</si>
  <si>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</si>
  <si>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</si>
  <si>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</si>
  <si>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</si>
  <si>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</si>
  <si>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</si>
  <si>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</si>
  <si>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</si>
  <si>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</si>
  <si>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</si>
  <si>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</si>
  <si>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</si>
  <si>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</si>
  <si>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</si>
  <si>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</si>
  <si>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</si>
  <si>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</si>
  <si>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</si>
  <si>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</si>
  <si>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</si>
  <si>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</si>
  <si>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</si>
  <si>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</si>
  <si>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</si>
  <si>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</si>
  <si>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</si>
  <si>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</si>
  <si>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</si>
  <si>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</si>
  <si>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</si>
  <si>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</si>
  <si>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</si>
  <si>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</si>
  <si>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</si>
  <si>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</si>
  <si>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</si>
  <si>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</si>
  <si>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</si>
  <si>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</si>
  <si>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</si>
  <si>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</si>
  <si>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</si>
  <si>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</si>
  <si>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</si>
  <si>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</si>
  <si>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</si>
  <si>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</si>
  <si>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</si>
  <si>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</si>
  <si>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</si>
  <si>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</si>
  <si>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</si>
  <si>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</si>
  <si>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</si>
  <si>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</si>
  <si>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</si>
  <si>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</si>
  <si>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</si>
  <si>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</si>
  <si>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</si>
  <si>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</si>
  <si>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</si>
  <si>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</si>
  <si>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</si>
  <si>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</si>
  <si>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</si>
  <si>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</si>
  <si>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</si>
  <si>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</si>
  <si>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</si>
  <si>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</si>
  <si>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</si>
  <si>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</si>
  <si>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</si>
  <si>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</si>
  <si>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</si>
  <si>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</si>
  <si>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</si>
  <si>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</si>
  <si>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</si>
  <si>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</si>
  <si>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</si>
  <si>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</si>
  <si>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</si>
  <si>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</si>
  <si>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</si>
  <si>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</si>
  <si>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</si>
  <si>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</si>
  <si>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</si>
  <si>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</si>
  <si>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</si>
  <si>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</si>
  <si>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</si>
  <si>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</si>
  <si>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</si>
  <si>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</si>
  <si>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</si>
  <si>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</si>
  <si>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</si>
  <si>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</si>
  <si>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</si>
  <si>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</si>
  <si>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</si>
  <si>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</si>
  <si>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</si>
  <si>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</si>
  <si>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</si>
  <si>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</si>
  <si>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</si>
  <si>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</si>
  <si>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</si>
  <si>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</si>
  <si>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</si>
  <si>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</si>
  <si>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</si>
  <si>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</si>
  <si>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</si>
  <si>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</si>
  <si>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</si>
  <si>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</si>
  <si>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</si>
  <si>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</si>
  <si>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</si>
  <si>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</si>
  <si>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</si>
  <si>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</si>
  <si>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</si>
  <si>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</si>
  <si>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</si>
  <si>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</si>
  <si>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</si>
  <si>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</si>
  <si>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</si>
  <si>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</si>
  <si>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</si>
  <si>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</si>
  <si>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</si>
  <si>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</si>
  <si>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</si>
  <si>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</si>
  <si>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</si>
  <si>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</si>
  <si>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</si>
  <si>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</si>
  <si>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</si>
  <si>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</si>
  <si>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</si>
  <si>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</si>
  <si>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</si>
  <si>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</si>
  <si>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</si>
  <si>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</si>
  <si>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</si>
  <si>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</si>
  <si>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</si>
  <si>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</si>
  <si>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</si>
  <si>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</si>
  <si>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</si>
  <si>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</si>
  <si>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</si>
  <si>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</si>
  <si>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</si>
  <si>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</si>
  <si>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</si>
  <si>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</si>
  <si>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</si>
  <si>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</si>
  <si>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</si>
  <si>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</si>
  <si>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</si>
  <si>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</si>
  <si>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</si>
  <si>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</si>
  <si>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</si>
  <si>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</si>
  <si>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</si>
  <si>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</si>
  <si>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</si>
  <si>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</si>
  <si>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</si>
  <si>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</si>
  <si>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</si>
  <si>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</si>
  <si>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</si>
  <si>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</si>
  <si>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</si>
  <si>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</si>
  <si>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</si>
  <si>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</si>
  <si>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</si>
  <si>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</si>
  <si>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</si>
  <si>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</si>
  <si>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</si>
  <si>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</si>
  <si>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</si>
  <si>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</si>
  <si>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</si>
  <si>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</si>
  <si>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</si>
  <si>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</si>
  <si>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</si>
  <si>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</si>
  <si>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</si>
  <si>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</si>
  <si>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</si>
  <si>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</si>
  <si>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</si>
  <si>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</si>
  <si>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</si>
  <si>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</si>
  <si>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</si>
  <si>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</si>
  <si>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</si>
  <si>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</si>
  <si>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</si>
  <si>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</si>
  <si>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</si>
  <si>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</si>
  <si>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</si>
  <si>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</si>
  <si>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</si>
  <si>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</si>
  <si>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</si>
  <si>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</si>
  <si>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</si>
  <si>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</si>
  <si>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</si>
  <si>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</si>
  <si>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</si>
  <si>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</si>
  <si>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</si>
  <si>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</si>
  <si>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</si>
  <si>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</si>
  <si>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</si>
  <si>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</si>
  <si>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</si>
  <si>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</si>
  <si>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</si>
  <si>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</si>
  <si>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</si>
  <si>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</si>
  <si>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</si>
  <si>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</si>
  <si>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</si>
  <si>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</si>
  <si>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</si>
  <si>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</si>
  <si>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</si>
  <si>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</si>
  <si>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</si>
  <si>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</si>
  <si>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</si>
  <si>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</si>
  <si>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</si>
  <si>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</si>
  <si>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</si>
  <si>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</si>
  <si>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</si>
  <si>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</si>
  <si>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</si>
  <si>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</si>
  <si>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</si>
  <si>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</si>
  <si>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</si>
  <si>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</si>
  <si>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</si>
  <si>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</si>
  <si>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</si>
  <si>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</si>
  <si>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</si>
  <si>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</si>
  <si>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</si>
  <si>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</si>
  <si>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</si>
  <si>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</si>
  <si>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</si>
  <si>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</si>
  <si>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</si>
  <si>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</si>
  <si>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</si>
  <si>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</si>
  <si>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</si>
  <si>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</si>
  <si>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</si>
  <si>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</si>
  <si>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</si>
  <si>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</si>
  <si>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</si>
  <si>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</si>
  <si>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</si>
  <si>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</si>
  <si>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</si>
  <si>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</si>
  <si>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</si>
  <si>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</si>
  <si>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</si>
  <si>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</si>
  <si>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</si>
  <si>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</si>
  <si>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</si>
  <si>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</si>
  <si>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</si>
  <si>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</si>
  <si>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</si>
  <si>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</si>
  <si>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</si>
  <si>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</si>
  <si>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</si>
  <si>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</si>
  <si>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</si>
  <si>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</si>
  <si>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</si>
  <si>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</si>
  <si>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</si>
  <si>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</si>
  <si>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</si>
  <si>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</si>
  <si>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</si>
  <si>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</si>
  <si>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</si>
  <si>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</si>
  <si>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</si>
  <si>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</si>
  <si>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</si>
  <si>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</si>
  <si>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</si>
  <si>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</si>
  <si>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</si>
  <si>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</si>
  <si>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</si>
  <si>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</si>
  <si>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</si>
  <si>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</si>
  <si>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</si>
  <si>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</si>
  <si>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</si>
  <si>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</si>
  <si>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</si>
  <si>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</si>
  <si>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</si>
  <si>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</si>
  <si>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</si>
  <si>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</si>
  <si>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</si>
  <si>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</si>
  <si>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</si>
  <si>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</si>
  <si>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</si>
  <si>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</si>
  <si>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</si>
  <si>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</si>
  <si>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</si>
  <si>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</si>
  <si>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</si>
  <si>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</si>
  <si>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</si>
  <si>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</si>
  <si>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</si>
  <si>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</si>
  <si>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</si>
  <si>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</si>
  <si>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</si>
  <si>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</si>
  <si>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</si>
  <si>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</si>
  <si>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</si>
  <si>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</si>
  <si>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</si>
  <si>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</si>
  <si>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</si>
  <si>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</si>
  <si>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</si>
  <si>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</si>
  <si>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</si>
  <si>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</si>
  <si>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</si>
  <si>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</si>
  <si>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</si>
  <si>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</si>
  <si>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</si>
  <si>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</si>
  <si>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</si>
  <si>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</si>
  <si>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</si>
  <si>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</si>
  <si>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</si>
  <si>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</si>
  <si>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</si>
  <si>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</si>
  <si>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</si>
  <si>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</si>
  <si>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</si>
  <si>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</si>
  <si>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</si>
  <si>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</si>
  <si>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</si>
  <si>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</si>
  <si>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</si>
  <si>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</si>
  <si>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</si>
  <si>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</si>
  <si>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</si>
  <si>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</si>
  <si>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</si>
  <si>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</si>
  <si>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</si>
  <si>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</si>
  <si>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</si>
  <si>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</si>
  <si>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</si>
  <si>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</si>
  <si>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</si>
  <si>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</si>
  <si>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</si>
  <si>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</si>
  <si>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</si>
  <si>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</si>
  <si>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</si>
  <si>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</si>
  <si>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</si>
  <si>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</si>
  <si>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</si>
  <si>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</si>
  <si>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</si>
  <si>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</si>
  <si>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</si>
  <si>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</si>
  <si>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</si>
  <si>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</si>
  <si>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</si>
  <si>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</si>
  <si>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</si>
  <si>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</si>
  <si>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</si>
  <si>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</si>
  <si>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</si>
  <si>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</si>
  <si>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</si>
  <si>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</si>
  <si>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</si>
  <si>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</si>
  <si>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</si>
  <si>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</si>
  <si>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</si>
  <si>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</si>
  <si>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</si>
  <si>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</si>
  <si>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</si>
  <si>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</si>
  <si>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</si>
  <si>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</si>
  <si>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</si>
  <si>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</si>
  <si>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</si>
  <si>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</si>
  <si>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</si>
  <si>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</si>
  <si>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</si>
  <si>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</si>
  <si>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</si>
  <si>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</si>
  <si>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</si>
  <si>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</si>
  <si>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</si>
  <si>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</si>
  <si>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</si>
  <si>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</si>
  <si>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</si>
  <si>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</si>
  <si>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</si>
  <si>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</si>
  <si>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</si>
  <si>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</si>
  <si>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</si>
  <si>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</si>
  <si>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</si>
  <si>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</si>
  <si>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</si>
  <si>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</si>
  <si>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</si>
  <si>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</si>
  <si>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</si>
  <si>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</si>
  <si>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</si>
  <si>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</si>
  <si>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</si>
  <si>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</si>
  <si>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</si>
  <si>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</si>
  <si>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</si>
  <si>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</si>
  <si>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</si>
  <si>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</si>
  <si>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</si>
  <si>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</si>
  <si>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</si>
  <si>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</si>
  <si>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</si>
  <si>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</si>
  <si>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</si>
  <si>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</si>
  <si>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</si>
  <si>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</si>
  <si>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</si>
  <si>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</si>
  <si>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</si>
  <si>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</si>
  <si>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</si>
  <si>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</si>
  <si>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</si>
  <si>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</si>
  <si>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</si>
  <si>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</si>
  <si>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</si>
  <si>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</si>
  <si>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</si>
  <si>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</si>
  <si>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</si>
  <si>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</si>
  <si>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</si>
  <si>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</si>
  <si>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</si>
  <si>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</si>
  <si>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</si>
  <si>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</si>
  <si>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</si>
  <si>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</si>
  <si>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</si>
  <si>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</si>
  <si>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</si>
  <si>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</si>
  <si>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</si>
  <si>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</si>
  <si>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</si>
  <si>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</si>
  <si>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</si>
  <si>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</si>
  <si>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</si>
  <si>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</si>
  <si>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</si>
  <si>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</si>
  <si>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</si>
  <si>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</si>
  <si>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</si>
  <si>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</si>
  <si>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</si>
  <si>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</si>
  <si>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</si>
  <si>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</si>
  <si>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</si>
  <si>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</si>
  <si>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</si>
  <si>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</si>
  <si>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</si>
  <si>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</si>
  <si>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</si>
  <si>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</si>
  <si>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</si>
  <si>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</si>
  <si>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</si>
  <si>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</si>
  <si>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</si>
  <si>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</si>
  <si>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</si>
  <si>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</si>
  <si>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</si>
  <si>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</si>
  <si>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</si>
  <si>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</si>
  <si>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</si>
  <si>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</si>
  <si>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</si>
  <si>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</si>
  <si>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</si>
  <si>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</si>
  <si>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</si>
  <si>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</si>
  <si>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</si>
  <si>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</si>
  <si>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</si>
  <si>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</si>
  <si>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</si>
  <si>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</si>
  <si>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</si>
  <si>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</si>
  <si>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</si>
  <si>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</si>
  <si>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</si>
  <si>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</si>
  <si>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</si>
  <si>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</si>
  <si>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</si>
  <si>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</si>
  <si>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</si>
  <si>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</si>
  <si>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</si>
  <si>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</si>
  <si>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</si>
  <si>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</si>
  <si>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</si>
  <si>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</si>
  <si>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</si>
  <si>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</si>
  <si>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</si>
  <si>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</si>
  <si>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</si>
  <si>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</si>
  <si>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</si>
  <si>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</si>
  <si>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</si>
  <si>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</si>
  <si>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</si>
  <si>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</si>
  <si>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</si>
  <si>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</si>
  <si>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</si>
  <si>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</si>
  <si>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</si>
  <si>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</si>
  <si>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</si>
  <si>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</si>
  <si>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</si>
  <si>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</si>
  <si>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</si>
  <si>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</si>
  <si>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</si>
  <si>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</si>
  <si>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</si>
  <si>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</si>
  <si>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</si>
  <si>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</si>
  <si>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</si>
  <si>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</si>
  <si>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</si>
  <si>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</si>
  <si>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</si>
  <si>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</si>
  <si>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</si>
  <si>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</si>
  <si>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</si>
  <si>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</si>
  <si>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</si>
  <si>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</si>
  <si>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</si>
  <si>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</si>
  <si>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</si>
  <si>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</si>
  <si>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</si>
  <si>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</si>
  <si>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</si>
  <si>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</si>
  <si>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</si>
  <si>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</si>
  <si>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</si>
  <si>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</si>
  <si>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</si>
  <si>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</si>
  <si>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</si>
  <si>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</si>
  <si>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</si>
  <si>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</si>
  <si>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</si>
  <si>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</si>
  <si>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</si>
  <si>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</si>
  <si>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</si>
  <si>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</si>
  <si>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</si>
  <si>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</si>
  <si>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</si>
  <si>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</si>
  <si>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</si>
  <si>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</si>
  <si>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</si>
  <si>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</si>
  <si>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</si>
  <si>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</si>
  <si>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</si>
  <si>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</si>
  <si>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</si>
  <si>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</si>
  <si>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</si>
  <si>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</si>
  <si>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</si>
  <si>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</si>
  <si>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</si>
  <si>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</si>
  <si>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</si>
  <si>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</si>
  <si>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</si>
  <si>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</si>
  <si>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</si>
  <si>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</si>
  <si>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</si>
  <si>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</si>
  <si>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</si>
  <si>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</si>
  <si>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</si>
  <si>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</si>
  <si>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</si>
  <si>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</si>
  <si>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</si>
  <si>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</si>
  <si>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</si>
  <si>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</si>
  <si>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</si>
  <si>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</si>
  <si>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</si>
  <si>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</si>
  <si>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</si>
  <si>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</si>
  <si>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</si>
  <si>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</si>
  <si>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</si>
  <si>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</si>
  <si>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</si>
  <si>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</si>
  <si>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</si>
  <si>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</si>
  <si>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</si>
  <si>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</si>
  <si>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</si>
  <si>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</si>
  <si>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</si>
  <si>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</si>
  <si>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</si>
  <si>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</si>
  <si>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</si>
  <si>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</si>
  <si>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</si>
  <si>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</si>
  <si>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</si>
  <si>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</si>
  <si>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</si>
  <si>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</si>
  <si>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</si>
  <si>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</si>
  <si>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</si>
  <si>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</si>
  <si>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</si>
  <si>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</si>
  <si>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</si>
  <si>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</si>
  <si>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</si>
  <si>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</si>
  <si>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</si>
  <si>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</si>
  <si>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</si>
  <si>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</si>
  <si>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</si>
  <si>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</si>
  <si>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</si>
  <si>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</si>
  <si>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</si>
  <si>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</si>
  <si>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</si>
  <si>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</si>
  <si>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</si>
  <si>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</si>
  <si>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</si>
  <si>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</si>
  <si>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</si>
  <si>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</si>
  <si>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</si>
  <si>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</si>
  <si>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</si>
  <si>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</si>
  <si>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</si>
  <si>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</si>
  <si>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</si>
  <si>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</si>
  <si>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</si>
  <si>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</si>
  <si>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</si>
  <si>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</si>
  <si>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</si>
  <si>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</si>
  <si>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</si>
  <si>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</si>
  <si>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</si>
  <si>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</si>
  <si>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</si>
  <si>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</si>
  <si>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</si>
  <si>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</si>
  <si>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</si>
  <si>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</si>
  <si>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</si>
  <si>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</si>
  <si>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</si>
  <si>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</si>
  <si>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</si>
  <si>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</si>
  <si>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</si>
  <si>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</si>
  <si>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</si>
  <si>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</si>
  <si>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</si>
  <si>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</si>
  <si>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</si>
  <si>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</si>
  <si>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</si>
  <si>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</si>
  <si>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</si>
  <si>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</si>
  <si>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</si>
  <si>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</si>
  <si>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</si>
  <si>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</si>
  <si>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</si>
  <si>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</si>
  <si>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</si>
  <si>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</si>
  <si>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</si>
  <si>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</si>
  <si>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</si>
  <si>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</si>
  <si>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</si>
  <si>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</si>
  <si>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</si>
  <si>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</si>
  <si>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</si>
  <si>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</si>
  <si>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</si>
  <si>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</si>
  <si>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</si>
  <si>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</si>
  <si>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</si>
  <si>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</si>
  <si>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</si>
  <si>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</si>
  <si>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</si>
  <si>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</si>
  <si>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</si>
  <si>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</si>
  <si>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</si>
  <si>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</si>
  <si>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</si>
  <si>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</si>
  <si>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</si>
  <si>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</si>
  <si>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</si>
  <si>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</si>
  <si>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</si>
  <si>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</si>
  <si>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</si>
  <si>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</si>
  <si>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</si>
  <si>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</si>
  <si>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</si>
  <si>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</si>
  <si>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</si>
  <si>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</si>
  <si>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</si>
  <si>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</si>
  <si>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</si>
  <si>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</si>
  <si>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</si>
  <si>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</si>
  <si>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</si>
  <si>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</si>
  <si>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</si>
  <si>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</si>
  <si>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</si>
  <si>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</si>
  <si>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</si>
  <si>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</si>
  <si>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</si>
  <si>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</si>
  <si>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</si>
  <si>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</si>
  <si>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</si>
  <si>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</si>
  <si>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</si>
  <si>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</si>
  <si>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</si>
  <si>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</si>
  <si>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</si>
  <si>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</si>
  <si>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</si>
  <si>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</si>
  <si>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</si>
  <si>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</si>
  <si>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</si>
  <si>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</si>
  <si>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</si>
  <si>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</si>
  <si>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</si>
  <si>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</si>
  <si>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</si>
  <si>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</si>
  <si>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</si>
  <si>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</si>
  <si>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</si>
  <si>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</si>
  <si>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</si>
  <si>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</si>
  <si>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</si>
  <si>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</si>
  <si>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</si>
  <si>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</si>
  <si>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</si>
  <si>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</si>
  <si>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</si>
  <si>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</si>
  <si>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</si>
  <si>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</si>
  <si>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</si>
  <si>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</si>
  <si>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</si>
  <si>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</si>
  <si>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</si>
  <si>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</si>
  <si>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</si>
  <si>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</si>
  <si>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</si>
  <si>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</si>
  <si>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</si>
  <si>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</si>
  <si>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</si>
  <si>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</si>
  <si>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</si>
  <si>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</si>
  <si>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</si>
  <si>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</si>
  <si>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</si>
  <si>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</si>
  <si>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</si>
  <si>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</si>
  <si>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</si>
  <si>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</si>
  <si>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</si>
  <si>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</si>
  <si>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</si>
  <si>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</si>
  <si>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</si>
  <si>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</si>
  <si>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</si>
  <si>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</si>
  <si>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</si>
  <si>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</si>
  <si>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</si>
  <si>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</si>
  <si>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</si>
  <si>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</si>
  <si>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</si>
  <si>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</si>
  <si>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</si>
  <si>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</si>
  <si>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</si>
  <si>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</si>
  <si>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</si>
  <si>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</si>
  <si>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</si>
  <si>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</si>
  <si>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</si>
  <si>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</si>
  <si>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</si>
  <si>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</si>
  <si>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</si>
  <si>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</si>
  <si>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</si>
  <si>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</si>
  <si>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</si>
  <si>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</si>
  <si>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</si>
  <si>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</si>
  <si>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</si>
  <si>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</si>
  <si>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</si>
  <si>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</si>
  <si>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</si>
  <si>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</si>
  <si>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</si>
  <si>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</si>
  <si>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</si>
  <si>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</si>
  <si>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</si>
  <si>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</si>
  <si>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</si>
  <si>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</si>
  <si>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</si>
  <si>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</si>
  <si>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</si>
  <si>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</si>
  <si>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</si>
  <si>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</si>
  <si>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</si>
  <si>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</si>
  <si>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</si>
  <si>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</si>
  <si>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</si>
  <si>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</si>
  <si>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</si>
  <si>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</si>
  <si>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</si>
  <si>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</si>
  <si>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</si>
  <si>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</si>
  <si>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</si>
  <si>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</si>
  <si>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</si>
  <si>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</si>
  <si>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</si>
  <si>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</si>
  <si>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</si>
  <si>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</si>
  <si>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</si>
  <si>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</si>
  <si>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</si>
  <si>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</si>
  <si>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</si>
  <si>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</si>
  <si>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</si>
  <si>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</si>
  <si>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</si>
  <si>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</si>
  <si>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</si>
  <si>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</si>
  <si>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</si>
  <si>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</si>
  <si>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</si>
  <si>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</si>
  <si>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</si>
  <si>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</si>
  <si>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</si>
  <si>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</si>
  <si>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</si>
  <si>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</si>
  <si>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</si>
  <si>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</si>
  <si>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</si>
  <si>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</si>
  <si>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</si>
  <si>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</si>
  <si>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</si>
  <si>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</si>
  <si>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</si>
  <si>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</si>
  <si>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</si>
  <si>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</si>
  <si>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</si>
  <si>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</si>
  <si>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</si>
  <si>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</si>
  <si>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</si>
  <si>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</si>
  <si>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</si>
  <si>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</si>
  <si>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</si>
  <si>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</si>
  <si>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</si>
  <si>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</si>
  <si>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</si>
  <si>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</si>
  <si>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</si>
  <si>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</si>
  <si>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</si>
  <si>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</si>
  <si>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</si>
  <si>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</si>
  <si>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</si>
  <si>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</si>
  <si>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</si>
  <si>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</si>
  <si>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</si>
  <si>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</si>
  <si>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</si>
  <si>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</si>
  <si>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</si>
  <si>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</si>
  <si>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</si>
  <si>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</si>
  <si>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</si>
  <si>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</si>
  <si>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</si>
  <si>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</si>
  <si>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</si>
  <si>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</si>
  <si>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</si>
  <si>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</si>
  <si>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</si>
  <si>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</si>
  <si>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</si>
  <si>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</si>
  <si>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</si>
  <si>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</si>
  <si>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</si>
  <si>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</si>
  <si>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</si>
  <si>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</si>
  <si>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</si>
  <si>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</si>
  <si>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</si>
  <si>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</si>
  <si>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</si>
  <si>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</si>
  <si>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</si>
  <si>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</si>
  <si>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</si>
  <si>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</si>
  <si>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</si>
  <si>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</si>
  <si>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</si>
  <si>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</si>
  <si>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</si>
  <si>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</si>
  <si>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</si>
  <si>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</si>
  <si>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</si>
  <si>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</si>
  <si>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</si>
  <si>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</si>
  <si>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</si>
  <si>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</si>
  <si>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</si>
  <si>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</si>
  <si>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</si>
  <si>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</si>
  <si>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</si>
  <si>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</si>
  <si>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</si>
  <si>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</si>
  <si>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</si>
  <si>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</si>
  <si>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</si>
  <si>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</si>
  <si>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</si>
  <si>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</si>
  <si>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</si>
  <si>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</si>
  <si>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</si>
  <si>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</si>
  <si>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</si>
  <si>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</si>
  <si>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</si>
  <si>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</si>
  <si>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</si>
  <si>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</si>
  <si>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</si>
  <si>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</si>
  <si>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</si>
  <si>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</si>
  <si>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</si>
  <si>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</si>
  <si>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</si>
  <si>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</si>
  <si>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</si>
  <si>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</si>
  <si>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</si>
  <si>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</si>
  <si>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</si>
  <si>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</si>
  <si>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</si>
  <si>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</si>
  <si>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</si>
  <si>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</si>
  <si>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</si>
  <si>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</si>
  <si>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</si>
  <si>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</si>
  <si>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</si>
  <si>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</si>
  <si>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</si>
  <si>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</si>
  <si>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</si>
  <si>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</si>
  <si>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</si>
  <si>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</si>
  <si>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</si>
  <si>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</si>
  <si>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</si>
  <si>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</si>
  <si>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</si>
  <si>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</si>
  <si>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</si>
  <si>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</si>
  <si>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</si>
  <si>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</si>
  <si>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</si>
  <si>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</si>
  <si>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</si>
  <si>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</si>
  <si>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</si>
  <si>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</si>
  <si>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</si>
  <si>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</si>
  <si>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</si>
  <si>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</si>
  <si>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</si>
  <si>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</si>
  <si>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</si>
  <si>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</si>
  <si>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</si>
  <si>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</si>
  <si>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</si>
  <si>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</si>
  <si>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</si>
  <si>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</si>
  <si>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</si>
  <si>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</si>
  <si>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</si>
  <si>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</si>
  <si>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</si>
  <si>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</si>
  <si>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</si>
  <si>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</si>
  <si>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</si>
  <si>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</si>
  <si>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</si>
  <si>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</si>
  <si>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</si>
  <si>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</si>
  <si>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</si>
  <si>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</si>
  <si>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</si>
  <si>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</si>
  <si>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</si>
  <si>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</si>
  <si>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</si>
  <si>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</si>
  <si>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</si>
  <si>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</si>
  <si>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</si>
  <si>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</si>
  <si>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</si>
  <si>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</si>
  <si>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</si>
  <si>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</si>
  <si>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</si>
  <si>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</si>
  <si>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</si>
  <si>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</si>
  <si>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</si>
  <si>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</si>
  <si>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</si>
  <si>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</si>
  <si>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</si>
  <si>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</si>
  <si>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</si>
  <si>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</si>
  <si>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</si>
  <si>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</si>
  <si>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</si>
  <si>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</si>
  <si>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</si>
  <si>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</si>
  <si>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</si>
  <si>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</si>
  <si>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</si>
  <si>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</si>
  <si>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</si>
  <si>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</si>
  <si>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</si>
  <si>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</si>
  <si>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</si>
  <si>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</si>
  <si>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</si>
  <si>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</si>
  <si>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</si>
  <si>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</si>
  <si>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</si>
  <si>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</si>
  <si>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</si>
  <si>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</si>
  <si>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</si>
  <si>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</si>
  <si>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</si>
  <si>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</si>
  <si>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</si>
  <si>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</si>
  <si>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</si>
  <si>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</si>
  <si>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</si>
  <si>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</si>
  <si>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</si>
  <si>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</si>
  <si>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</si>
  <si>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</si>
  <si>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</si>
  <si>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</si>
  <si>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</si>
  <si>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</si>
  <si>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</si>
  <si>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</si>
  <si>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</si>
  <si>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</si>
  <si>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</si>
  <si>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</si>
  <si>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</si>
  <si>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</si>
  <si>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</si>
  <si>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</si>
  <si>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</si>
  <si>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</si>
  <si>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</si>
  <si>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</si>
  <si>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</si>
  <si>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</si>
  <si>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</si>
  <si>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</si>
  <si>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</si>
  <si>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</si>
  <si>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</si>
  <si>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</si>
  <si>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</si>
  <si>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</si>
  <si>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</si>
  <si>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</si>
  <si>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</si>
  <si>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</si>
  <si>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</si>
  <si>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</si>
  <si>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</si>
  <si>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</si>
  <si>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</si>
  <si>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</si>
  <si>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</si>
  <si>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</si>
  <si>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</si>
  <si>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</si>
  <si>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</si>
  <si>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</si>
  <si>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</si>
  <si>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</si>
  <si>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</si>
  <si>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</si>
  <si>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</si>
  <si>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</si>
  <si>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</si>
  <si>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</si>
  <si>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</si>
  <si>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</si>
  <si>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</si>
  <si>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</si>
  <si>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</si>
  <si>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</si>
  <si>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</si>
  <si>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</si>
  <si>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</si>
  <si>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</si>
  <si>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</si>
  <si>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</si>
  <si>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</si>
  <si>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</si>
  <si>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</si>
  <si>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</si>
  <si>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</si>
  <si>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</si>
  <si>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</si>
  <si>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</si>
  <si>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</si>
  <si>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</si>
  <si>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</si>
  <si>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</si>
  <si>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</si>
  <si>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</si>
  <si>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</si>
  <si>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</si>
  <si>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</si>
  <si>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</si>
  <si>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</si>
  <si>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</si>
  <si>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</si>
  <si>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</si>
  <si>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</si>
  <si>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</si>
  <si>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</si>
  <si>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</si>
  <si>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</si>
  <si>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</si>
  <si>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</si>
  <si>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</si>
  <si>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</si>
  <si>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</si>
  <si>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</si>
  <si>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</si>
  <si>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</si>
  <si>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</si>
  <si>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</si>
  <si>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</si>
  <si>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</si>
  <si>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</si>
  <si>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</si>
  <si>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</si>
  <si>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</si>
  <si>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</si>
  <si>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</si>
  <si>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</si>
  <si>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</si>
  <si>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</si>
  <si>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</si>
  <si>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</si>
  <si>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</si>
  <si>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</si>
  <si>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</si>
  <si>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</si>
  <si>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</si>
  <si>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</si>
  <si>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</si>
  <si>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</si>
  <si>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</si>
  <si>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</si>
  <si>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</si>
  <si>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</si>
  <si>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</si>
  <si>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</si>
  <si>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</si>
  <si>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</si>
  <si>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</si>
  <si>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</si>
  <si>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</si>
  <si>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</si>
  <si>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</si>
  <si>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</si>
  <si>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</si>
  <si>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</si>
  <si>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</si>
  <si>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</si>
  <si>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</si>
  <si>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</si>
  <si>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</si>
  <si>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</si>
  <si>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</si>
  <si>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</si>
  <si>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</si>
  <si>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</si>
  <si>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</si>
  <si>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</si>
  <si>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</si>
  <si>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</si>
  <si>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</si>
  <si>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</si>
  <si>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</si>
  <si>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</si>
  <si>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</si>
  <si>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</si>
  <si>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</si>
  <si>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</si>
  <si>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</si>
  <si>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</si>
  <si>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</si>
  <si>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</si>
  <si>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</si>
  <si>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</si>
  <si>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</si>
  <si>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</si>
  <si>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</si>
  <si>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</si>
  <si>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</si>
  <si>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</si>
  <si>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</si>
  <si>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</si>
  <si>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</si>
  <si>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</si>
  <si>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</si>
  <si>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</si>
  <si>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</si>
  <si>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</si>
  <si>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</si>
  <si>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</si>
  <si>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</si>
  <si>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</si>
  <si>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</si>
  <si>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</si>
  <si>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</si>
  <si>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</si>
  <si>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</si>
  <si>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</si>
  <si>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</si>
  <si>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</si>
  <si>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</si>
  <si>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</si>
  <si>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</si>
  <si>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</si>
  <si>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</si>
  <si>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</si>
  <si>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</si>
  <si>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</si>
  <si>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</si>
  <si>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</si>
  <si>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</si>
  <si>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</si>
  <si>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</si>
  <si>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</si>
  <si>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</si>
  <si>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</si>
  <si>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</si>
  <si>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</si>
  <si>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</si>
  <si>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</si>
  <si>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</si>
  <si>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</si>
  <si>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</si>
  <si>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</si>
  <si>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</si>
  <si>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</si>
  <si>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</si>
  <si>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</si>
  <si>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</si>
  <si>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</si>
  <si>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</si>
  <si>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</si>
  <si>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</si>
  <si>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</si>
  <si>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</si>
  <si>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</si>
  <si>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</si>
  <si>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</si>
  <si>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</si>
  <si>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</si>
  <si>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</si>
  <si>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</si>
  <si>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</si>
  <si>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</si>
  <si>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</si>
  <si>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</si>
  <si>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</si>
  <si>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</si>
  <si>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</si>
  <si>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</si>
  <si>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</si>
  <si>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</si>
  <si>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</si>
  <si>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</si>
  <si>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</si>
  <si>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</si>
  <si>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</si>
  <si>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</si>
  <si>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</si>
  <si>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</si>
  <si>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</si>
  <si>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</si>
  <si>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</si>
  <si>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</si>
  <si>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</si>
  <si>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</si>
  <si>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</si>
  <si>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</si>
  <si>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</si>
  <si>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</si>
  <si>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</si>
  <si>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</si>
  <si>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</si>
  <si>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</si>
  <si>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</si>
  <si>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</si>
  <si>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</si>
  <si>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</si>
  <si>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</si>
  <si>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</si>
  <si>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</si>
  <si>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</si>
  <si>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</si>
  <si>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</si>
  <si>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</si>
  <si>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</si>
  <si>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</si>
  <si>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</si>
  <si>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</si>
  <si>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</si>
  <si>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</si>
  <si>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</si>
  <si>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</si>
  <si>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</si>
  <si>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</si>
  <si>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</si>
  <si>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</si>
  <si>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</si>
  <si>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</si>
  <si>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</si>
  <si>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</si>
  <si>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</si>
  <si>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</si>
  <si>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</si>
  <si>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</si>
  <si>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</si>
  <si>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</si>
  <si>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</si>
  <si>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</si>
  <si>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</si>
  <si>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</si>
  <si>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</si>
  <si>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</si>
  <si>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</si>
  <si>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</si>
  <si>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</si>
  <si>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</si>
  <si>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</si>
  <si>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</si>
  <si>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</si>
  <si>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</si>
  <si>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</si>
  <si>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</si>
  <si>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</si>
  <si>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</si>
  <si>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</si>
  <si>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</si>
  <si>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</si>
  <si>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</si>
  <si>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</si>
  <si>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</si>
  <si>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</si>
  <si>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</si>
  <si>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</si>
  <si>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</si>
  <si>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</si>
  <si>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</si>
  <si>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</si>
  <si>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</si>
  <si>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</si>
  <si>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</si>
  <si>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</si>
  <si>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</si>
  <si>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</si>
  <si>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</si>
  <si>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</si>
  <si>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</si>
  <si>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</si>
  <si>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</si>
  <si>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</si>
  <si>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</si>
  <si>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</si>
  <si>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</si>
  <si>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</si>
  <si>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</si>
  <si>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</si>
  <si>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</si>
  <si>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</si>
  <si>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</si>
  <si>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</si>
  <si>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</si>
  <si>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</si>
  <si>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</si>
  <si>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</si>
  <si>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</si>
  <si>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</si>
  <si>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</si>
  <si>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</si>
  <si>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</si>
  <si>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</si>
  <si>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</si>
  <si>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</si>
  <si>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</si>
  <si>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</si>
  <si>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</si>
  <si>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</si>
  <si>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</si>
  <si>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</si>
  <si>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</si>
  <si>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</si>
  <si>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</si>
  <si>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</si>
  <si>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</si>
  <si>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</si>
  <si>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</si>
  <si>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</si>
  <si>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</si>
  <si>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</si>
  <si>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</si>
  <si>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</si>
  <si>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</si>
  <si>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</si>
  <si>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</si>
  <si>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</si>
  <si>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</si>
  <si>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</si>
  <si>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</si>
  <si>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</si>
  <si>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</si>
  <si>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</si>
  <si>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</si>
  <si>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</si>
  <si>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</si>
  <si>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</si>
  <si>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</si>
  <si>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</si>
  <si>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</si>
  <si>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</si>
  <si>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</si>
  <si>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</si>
  <si>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</si>
  <si>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</si>
  <si>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</si>
  <si>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</si>
  <si>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</si>
  <si>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</si>
  <si>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</si>
  <si>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</si>
  <si>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</si>
  <si>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</si>
  <si>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</si>
  <si>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</si>
  <si>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</si>
  <si>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</si>
  <si>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</si>
  <si>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</si>
  <si>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</si>
  <si>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</si>
  <si>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</si>
  <si>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</si>
  <si>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</si>
  <si>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</si>
  <si>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</si>
  <si>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</si>
  <si>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</si>
  <si>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</si>
  <si>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</si>
  <si>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</si>
  <si>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</si>
  <si>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</si>
  <si>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</si>
  <si>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</si>
  <si>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</si>
  <si>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</si>
  <si>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</si>
  <si>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</si>
  <si>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</si>
  <si>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</si>
  <si>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</si>
  <si>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</si>
  <si>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</si>
  <si>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</si>
  <si>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</si>
  <si>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</si>
  <si>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</si>
  <si>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</si>
  <si>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</si>
  <si>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</si>
  <si>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</si>
  <si>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</si>
  <si>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</si>
  <si>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</si>
  <si>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</si>
  <si>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</si>
  <si>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</si>
  <si>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</si>
  <si>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</si>
  <si>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</si>
  <si>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</si>
  <si>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</si>
  <si>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</si>
  <si>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</si>
  <si>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</si>
  <si>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</si>
  <si>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</si>
  <si>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</si>
  <si>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</si>
  <si>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</si>
  <si>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</si>
  <si>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</si>
  <si>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</si>
  <si>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</si>
  <si>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</si>
  <si>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</si>
  <si>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</si>
  <si>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</si>
  <si>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</si>
  <si>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</si>
  <si>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</si>
  <si>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</si>
  <si>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</si>
  <si>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</si>
  <si>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</si>
  <si>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</si>
  <si>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</si>
  <si>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</si>
  <si>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</si>
  <si>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</si>
  <si>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</si>
  <si>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</si>
  <si>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</si>
  <si>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</si>
  <si>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</si>
  <si>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</si>
  <si>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</si>
  <si>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</si>
  <si>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</si>
  <si>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</si>
  <si>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</si>
  <si>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</si>
  <si>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</si>
  <si>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</si>
  <si>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</si>
  <si>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</si>
  <si>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</si>
  <si>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</si>
  <si>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</si>
  <si>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</si>
  <si>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</si>
  <si>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</si>
  <si>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</si>
  <si>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</si>
  <si>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</si>
  <si>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</si>
  <si>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</si>
  <si>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</si>
  <si>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</si>
  <si>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</si>
  <si>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</si>
  <si>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</si>
  <si>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</si>
  <si>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</si>
  <si>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</si>
  <si>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</si>
  <si>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</si>
  <si>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</si>
  <si>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</si>
  <si>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</si>
  <si>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</si>
  <si>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</si>
  <si>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</si>
  <si>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</si>
  <si>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</si>
  <si>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</si>
  <si>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</si>
  <si>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</si>
  <si>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</si>
  <si>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</si>
  <si>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</si>
  <si>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</si>
  <si>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</si>
  <si>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</si>
  <si>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</si>
  <si>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</si>
  <si>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</si>
  <si>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</si>
  <si>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</si>
  <si>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</si>
  <si>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</si>
  <si>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</si>
  <si>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</si>
  <si>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</si>
  <si>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</si>
  <si>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</si>
  <si>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</si>
  <si>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</si>
  <si>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</si>
  <si>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</si>
  <si>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</si>
  <si>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</si>
  <si>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</si>
  <si>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</si>
  <si>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</si>
  <si>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</si>
  <si>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</si>
  <si>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</si>
  <si>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</si>
  <si>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</si>
  <si>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</si>
  <si>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</si>
  <si>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</si>
  <si>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</si>
  <si>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</si>
  <si>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</si>
  <si>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</si>
  <si>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</si>
  <si>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</si>
  <si>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</si>
  <si>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</si>
  <si>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</si>
  <si>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</si>
  <si>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</si>
  <si>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</si>
  <si>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</si>
  <si>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</si>
  <si>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</si>
  <si>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</si>
  <si>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</si>
  <si>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</si>
  <si>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</si>
  <si>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</si>
  <si>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</si>
  <si>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</si>
  <si>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</si>
  <si>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</si>
  <si>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</si>
  <si>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</si>
  <si>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</si>
  <si>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</si>
  <si>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</si>
  <si>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</si>
  <si>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</si>
  <si>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</si>
  <si>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</si>
  <si>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</si>
  <si>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</si>
  <si>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</si>
  <si>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</si>
  <si>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</si>
  <si>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</si>
  <si>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</si>
  <si>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</si>
  <si>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</si>
  <si>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</si>
  <si>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</si>
  <si>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</si>
  <si>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</si>
  <si>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</si>
  <si>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</si>
  <si>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</si>
  <si>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</si>
  <si>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</si>
  <si>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</si>
  <si>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</si>
  <si>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</si>
  <si>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</si>
  <si>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</si>
  <si>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</si>
  <si>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</si>
  <si>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</si>
  <si>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</si>
  <si>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</si>
  <si>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</si>
  <si>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</si>
  <si>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</si>
  <si>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</si>
  <si>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</si>
  <si>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</si>
  <si>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</si>
  <si>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</si>
  <si>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</si>
  <si>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</si>
  <si>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</si>
  <si>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</si>
  <si>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</si>
  <si>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</si>
  <si>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</si>
  <si>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</si>
  <si>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</si>
  <si>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</si>
  <si>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</si>
  <si>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</si>
  <si>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</si>
  <si>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</si>
  <si>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</si>
  <si>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</si>
  <si>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</si>
  <si>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</si>
  <si>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</si>
  <si>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</si>
  <si>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</si>
  <si>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</si>
  <si>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</si>
  <si>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</si>
  <si>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</si>
  <si>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</si>
  <si>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</si>
  <si>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</si>
  <si>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</si>
  <si>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</si>
  <si>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</si>
  <si>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</si>
  <si>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</si>
  <si>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</si>
  <si>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</si>
  <si>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</si>
  <si>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</si>
  <si>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</si>
  <si>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</si>
  <si>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</si>
  <si>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</si>
  <si>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</si>
  <si>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</si>
  <si>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</si>
  <si>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</si>
  <si>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</si>
  <si>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</si>
  <si>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</si>
  <si>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</si>
  <si>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</si>
  <si>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</si>
  <si>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</si>
  <si>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</si>
  <si>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</si>
  <si>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</si>
  <si>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</si>
  <si>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</si>
  <si>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</si>
  <si>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</si>
  <si>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</si>
  <si>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</si>
  <si>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</si>
  <si>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</si>
  <si>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</si>
  <si>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</si>
  <si>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</si>
  <si>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</si>
  <si>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</si>
  <si>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</si>
  <si>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</si>
  <si>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</si>
  <si>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</si>
  <si>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</si>
  <si>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</si>
  <si>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</si>
  <si>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</si>
  <si>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</si>
  <si>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</si>
  <si>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</si>
  <si>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</si>
  <si>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</si>
  <si>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</si>
  <si>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</si>
  <si>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</si>
  <si>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</si>
  <si>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</si>
  <si>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</si>
  <si>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</si>
  <si>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</si>
  <si>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</si>
  <si>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</si>
  <si>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</si>
  <si>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</si>
  <si>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</si>
  <si>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</si>
  <si>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</si>
  <si>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</si>
  <si>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</si>
  <si>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</si>
  <si>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</si>
  <si>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</si>
  <si>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</si>
  <si>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</si>
  <si>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</si>
  <si>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</si>
  <si>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</si>
  <si>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</si>
  <si>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</si>
  <si>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</si>
  <si>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</si>
  <si>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</si>
  <si>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</si>
  <si>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</si>
  <si>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</si>
  <si>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</si>
  <si>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</si>
  <si>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</si>
  <si>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</si>
  <si>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</si>
  <si>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</si>
  <si>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</si>
  <si>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</si>
  <si>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</si>
  <si>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</si>
  <si>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</si>
  <si>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</si>
  <si>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</si>
  <si>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</si>
  <si>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</si>
  <si>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</si>
  <si>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</si>
  <si>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</si>
  <si>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</si>
  <si>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</si>
  <si>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</si>
  <si>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</si>
  <si>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</si>
  <si>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</si>
  <si>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</si>
  <si>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</si>
  <si>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</si>
  <si>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</si>
  <si>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</si>
  <si>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</si>
  <si>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</si>
  <si>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</si>
  <si>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</si>
  <si>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</si>
  <si>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</si>
  <si>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</si>
  <si>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</si>
  <si>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</si>
  <si>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</si>
  <si>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</si>
  <si>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</si>
  <si>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</si>
  <si>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</si>
  <si>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</si>
  <si>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</si>
  <si>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</si>
  <si>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</si>
  <si>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</si>
  <si>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</si>
  <si>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</si>
  <si>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</si>
  <si>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</si>
  <si>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</si>
  <si>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</si>
  <si>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</si>
  <si>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</si>
  <si>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</si>
  <si>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</si>
  <si>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</si>
  <si>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</si>
  <si>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</si>
  <si>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</si>
  <si>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</si>
  <si>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</si>
  <si>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</si>
  <si>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</si>
  <si>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</si>
  <si>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</si>
  <si>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</si>
  <si>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</si>
  <si>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</si>
  <si>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</si>
  <si>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</si>
  <si>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</si>
  <si>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</si>
  <si>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</si>
  <si>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</si>
  <si>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</si>
  <si>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</si>
  <si>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</si>
  <si>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</si>
  <si>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</si>
  <si>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</si>
  <si>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</si>
  <si>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</si>
  <si>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</si>
  <si>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</si>
  <si>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</si>
  <si>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</si>
  <si>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</si>
  <si>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</si>
  <si>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</si>
  <si>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</si>
  <si>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</si>
  <si>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</si>
  <si>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</si>
  <si>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</si>
  <si>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</si>
  <si>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</si>
  <si>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</si>
  <si>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</si>
  <si>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</si>
  <si>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</si>
  <si>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</si>
  <si>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</si>
  <si>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</si>
  <si>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</si>
  <si>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</si>
  <si>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</si>
  <si>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</si>
  <si>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</si>
  <si>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</si>
  <si>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</si>
  <si>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</si>
  <si>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</si>
  <si>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</si>
  <si>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</si>
  <si>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</si>
  <si>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</si>
  <si>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</si>
  <si>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</si>
  <si>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</si>
  <si>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</si>
  <si>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</si>
  <si>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</si>
  <si>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</si>
  <si>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</si>
  <si>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</si>
  <si>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</si>
  <si>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</si>
  <si>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</si>
  <si>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</si>
  <si>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</si>
  <si>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</si>
  <si>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</si>
  <si>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</si>
  <si>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</si>
  <si>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</si>
  <si>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</si>
  <si>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</si>
  <si>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</si>
  <si>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</si>
  <si>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</si>
  <si>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</si>
  <si>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</si>
  <si>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</si>
  <si>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</si>
  <si>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</si>
  <si>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</si>
  <si>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</si>
  <si>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</si>
  <si>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</si>
  <si>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</si>
  <si>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</si>
  <si>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</si>
  <si>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</si>
  <si>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</si>
  <si>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</si>
  <si>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</si>
  <si>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</si>
  <si>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</si>
  <si>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</si>
  <si>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</si>
  <si>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</si>
  <si>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</si>
  <si>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</si>
  <si>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</si>
  <si>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</si>
  <si>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</si>
  <si>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</si>
  <si>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</si>
  <si>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</si>
  <si>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</si>
  <si>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</si>
  <si>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</si>
  <si>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</si>
  <si>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</si>
  <si>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</si>
  <si>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</si>
  <si>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</si>
  <si>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</si>
  <si>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</si>
  <si>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</si>
  <si>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</si>
  <si>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</si>
  <si>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</si>
  <si>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</si>
  <si>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</si>
  <si>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</si>
  <si>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</si>
  <si>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</si>
  <si>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</si>
  <si>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</si>
  <si>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</si>
  <si>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</si>
  <si>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</si>
  <si>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</si>
  <si>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</si>
  <si>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</si>
  <si>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</si>
  <si>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</si>
  <si>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</si>
  <si>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</si>
  <si>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</si>
  <si>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</si>
  <si>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</si>
  <si>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</si>
  <si>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</si>
  <si>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</si>
  <si>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</si>
  <si>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</si>
  <si>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</si>
  <si>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</si>
  <si>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</si>
  <si>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</si>
  <si>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</si>
  <si>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</si>
  <si>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</si>
  <si>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</si>
  <si>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</si>
  <si>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</si>
  <si>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</si>
  <si>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</si>
  <si>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</si>
  <si>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</si>
  <si>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</si>
  <si>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</si>
  <si>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</si>
  <si>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</si>
  <si>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</si>
  <si>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</si>
  <si>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</si>
  <si>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</si>
  <si>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</si>
  <si>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</si>
  <si>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</si>
  <si>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</si>
  <si>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</si>
  <si>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</si>
  <si>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</si>
  <si>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</si>
  <si>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</si>
  <si>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</si>
  <si>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</si>
  <si>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</si>
  <si>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</si>
  <si>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</si>
  <si>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</si>
  <si>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</si>
  <si>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</si>
  <si>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</si>
  <si>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</si>
  <si>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</si>
  <si>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</si>
  <si>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</si>
  <si>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</si>
  <si>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</si>
  <si>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</si>
  <si>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</si>
  <si>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</si>
  <si>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</si>
  <si>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</si>
  <si>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</si>
  <si>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</si>
  <si>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</si>
  <si>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</si>
  <si>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</si>
  <si>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</si>
  <si>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</si>
  <si>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</si>
  <si>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</si>
  <si>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</si>
  <si>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</si>
  <si>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</si>
  <si>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</si>
  <si>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</si>
  <si>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</si>
  <si>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</si>
  <si>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</si>
  <si>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</si>
  <si>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</si>
  <si>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</si>
  <si>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</si>
  <si>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</si>
  <si>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</si>
  <si>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</si>
  <si>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</si>
  <si>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</si>
  <si>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</si>
  <si>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</si>
  <si>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</si>
  <si>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</si>
  <si>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</si>
  <si>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</si>
  <si>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</si>
  <si>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</si>
  <si>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</si>
  <si>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</si>
  <si>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</si>
  <si>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</si>
  <si>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</si>
  <si>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</si>
  <si>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</si>
  <si>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</si>
  <si>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</si>
  <si>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</si>
  <si>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</si>
  <si>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</si>
  <si>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</si>
  <si>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</si>
  <si>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</si>
  <si>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</si>
  <si>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</si>
  <si>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</si>
  <si>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</si>
  <si>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</si>
  <si>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</si>
  <si>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</si>
  <si>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</si>
  <si>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</si>
  <si>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</si>
  <si>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</si>
  <si>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</si>
  <si>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</si>
  <si>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</si>
  <si>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</si>
  <si>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</si>
  <si>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</si>
  <si>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</si>
  <si>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</si>
  <si>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</si>
  <si>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</si>
  <si>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</si>
  <si>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</si>
  <si>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</si>
  <si>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</si>
  <si>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</si>
  <si>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</si>
  <si>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</si>
  <si>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</si>
  <si>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</si>
  <si>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</si>
  <si>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</si>
  <si>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</si>
  <si>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</si>
  <si>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</si>
  <si>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</si>
  <si>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</si>
  <si>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</si>
  <si>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</si>
  <si>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</si>
  <si>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</si>
  <si>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</si>
  <si>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</si>
  <si>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</si>
  <si>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</si>
  <si>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</si>
  <si>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</si>
  <si>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</si>
  <si>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</si>
  <si>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</si>
  <si>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</si>
  <si>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</si>
  <si>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</si>
  <si>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</si>
  <si>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</si>
  <si>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</si>
  <si>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</si>
  <si>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</si>
  <si>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</si>
  <si>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</si>
  <si>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</si>
  <si>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</si>
  <si>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</si>
  <si>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</si>
  <si>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</si>
  <si>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</si>
  <si>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</si>
  <si>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</si>
  <si>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</si>
  <si>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</si>
  <si>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</si>
  <si>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</si>
  <si>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</si>
  <si>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</si>
  <si>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</si>
  <si>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</si>
  <si>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</si>
  <si>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</si>
  <si>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</si>
  <si>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</si>
  <si>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</si>
  <si>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</si>
  <si>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</si>
  <si>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</si>
  <si>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</si>
  <si>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</si>
  <si>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</si>
  <si>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</si>
  <si>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</si>
  <si>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</si>
  <si>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</si>
  <si>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</si>
  <si>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</si>
  <si>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</si>
  <si>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</si>
  <si>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</si>
  <si>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</si>
  <si>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</si>
  <si>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</si>
  <si>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</si>
  <si>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</si>
  <si>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</si>
  <si>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</si>
  <si>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</si>
  <si>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</si>
  <si>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</si>
  <si>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</si>
  <si>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</si>
  <si>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</si>
  <si>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</si>
  <si>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</si>
  <si>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</si>
  <si>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</si>
  <si>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</si>
  <si>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</si>
  <si>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</si>
  <si>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</si>
  <si>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</si>
  <si>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</si>
  <si>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</si>
  <si>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</si>
  <si>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</si>
  <si>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</si>
  <si>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</si>
  <si>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</si>
  <si>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</si>
  <si>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</si>
  <si>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</si>
  <si>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</si>
  <si>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</si>
  <si>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</si>
  <si>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</si>
  <si>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</si>
  <si>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</si>
  <si>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</si>
  <si>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</si>
  <si>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</si>
  <si>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</si>
  <si>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</si>
  <si>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</si>
  <si>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</si>
  <si>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</si>
  <si>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</si>
  <si>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</si>
  <si>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</si>
  <si>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</si>
  <si>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</si>
  <si>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</si>
  <si>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</si>
  <si>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</si>
  <si>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</si>
  <si>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</si>
  <si>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</si>
  <si>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</si>
  <si>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</si>
  <si>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</si>
  <si>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</si>
  <si>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</si>
  <si>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</si>
  <si>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</si>
  <si>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</si>
  <si>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</si>
  <si>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</si>
  <si>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</si>
  <si>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</si>
  <si>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</si>
  <si>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</si>
  <si>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</si>
  <si>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</si>
  <si>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</si>
  <si>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</si>
  <si>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</si>
  <si>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</si>
  <si>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</si>
  <si>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</si>
  <si>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</si>
  <si>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</si>
  <si>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</si>
  <si>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</si>
  <si>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</si>
  <si>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</si>
  <si>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</si>
  <si>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</si>
  <si>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</si>
  <si>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</si>
  <si>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</si>
  <si>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</si>
  <si>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</si>
  <si>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</si>
  <si>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</si>
  <si>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</si>
  <si>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</si>
  <si>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</si>
  <si>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</si>
  <si>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</si>
  <si>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</si>
  <si>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</si>
  <si>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</si>
  <si>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</si>
  <si>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</si>
  <si>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</si>
  <si>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</si>
  <si>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</si>
  <si>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</si>
  <si>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</si>
  <si>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</si>
  <si>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</si>
  <si>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</si>
  <si>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</si>
  <si>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</si>
  <si>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</si>
  <si>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</si>
  <si>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</si>
  <si>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</si>
  <si>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</si>
  <si>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</si>
  <si>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</si>
  <si>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</si>
  <si>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</si>
  <si>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</si>
  <si>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</si>
  <si>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</si>
  <si>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</si>
  <si>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</si>
  <si>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</si>
  <si>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</si>
  <si>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</si>
  <si>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</si>
  <si>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</si>
  <si>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</si>
  <si>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</si>
  <si>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</si>
  <si>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</si>
  <si>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</si>
  <si>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</si>
  <si>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</si>
  <si>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</si>
  <si>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</si>
  <si>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</si>
  <si>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</si>
  <si>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</si>
  <si>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</si>
  <si>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</si>
  <si>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</si>
  <si>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</si>
  <si>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</si>
  <si>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</si>
  <si>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</si>
  <si>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</si>
  <si>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</si>
  <si>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</si>
  <si>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</si>
  <si>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</si>
  <si>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</si>
  <si>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</si>
  <si>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</si>
  <si>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</si>
  <si>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</si>
  <si>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</si>
  <si>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</si>
  <si>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</si>
  <si>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</si>
  <si>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</si>
  <si>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</si>
  <si>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</si>
  <si>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</si>
  <si>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</si>
  <si>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</si>
  <si>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</si>
  <si>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</si>
  <si>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</si>
  <si>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</si>
  <si>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</si>
  <si>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</si>
  <si>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</si>
  <si>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</si>
  <si>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</si>
  <si>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</si>
  <si>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</si>
  <si>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</si>
  <si>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</si>
  <si>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</si>
  <si>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</si>
  <si>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</si>
  <si>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</si>
  <si>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</si>
  <si>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</si>
  <si>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</si>
  <si>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</si>
  <si>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</si>
  <si>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</si>
  <si>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</si>
  <si>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</si>
  <si>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</si>
  <si>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</si>
  <si>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</si>
  <si>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</si>
  <si>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</si>
  <si>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</si>
  <si>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</si>
  <si>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</si>
  <si>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</si>
  <si>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</si>
  <si>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</si>
  <si>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</si>
  <si>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</si>
  <si>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</si>
  <si>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</si>
  <si>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</si>
  <si>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</si>
  <si>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</si>
  <si>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</si>
  <si>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</si>
  <si>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</si>
  <si>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</si>
  <si>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</si>
  <si>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</si>
  <si>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</si>
  <si>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</si>
  <si>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</si>
  <si>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</si>
  <si>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</si>
  <si>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</si>
  <si>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</si>
  <si>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</si>
  <si>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</si>
  <si>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</si>
  <si>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</si>
  <si>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</si>
  <si>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</si>
  <si>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</si>
  <si>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</si>
  <si>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</si>
  <si>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</si>
  <si>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</si>
  <si>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</si>
  <si>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</si>
  <si>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</si>
  <si>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</si>
  <si>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</si>
  <si>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</si>
  <si>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</si>
  <si>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</si>
  <si>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</si>
  <si>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</si>
  <si>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</si>
  <si>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</si>
  <si>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</si>
  <si>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</si>
  <si>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</si>
  <si>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</si>
  <si>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</si>
  <si>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</si>
  <si>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</si>
  <si>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</si>
  <si>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</si>
  <si>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</si>
  <si>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</si>
  <si>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</si>
  <si>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</si>
  <si>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</si>
  <si>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</si>
  <si>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</si>
  <si>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</si>
  <si>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</si>
  <si>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</si>
  <si>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</si>
  <si>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</si>
  <si>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</si>
  <si>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</si>
  <si>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</si>
  <si>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</si>
  <si>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</si>
  <si>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</si>
  <si>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</si>
  <si>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</si>
  <si>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</si>
  <si>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</si>
  <si>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</si>
  <si>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</si>
  <si>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</si>
  <si>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</si>
  <si>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</si>
  <si>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</si>
  <si>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</si>
  <si>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</si>
  <si>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</si>
  <si>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</si>
  <si>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</si>
  <si>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</si>
  <si>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</si>
  <si>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</si>
  <si>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</si>
  <si>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</si>
  <si>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</si>
  <si>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</si>
  <si>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</si>
  <si>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</si>
  <si>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</si>
  <si>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</si>
  <si>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</si>
  <si>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</si>
  <si>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</si>
  <si>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</si>
  <si>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</si>
  <si>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</si>
  <si>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</si>
  <si>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</si>
  <si>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</si>
  <si>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</si>
  <si>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</si>
  <si>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</si>
  <si>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</si>
  <si>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</si>
  <si>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</si>
  <si>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</si>
  <si>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</si>
  <si>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</si>
  <si>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</si>
  <si>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</si>
  <si>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</si>
  <si>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</si>
  <si>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</si>
  <si>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</si>
  <si>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</si>
  <si>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</si>
  <si>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</si>
  <si>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</si>
  <si>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</si>
  <si>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</si>
  <si>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</si>
  <si>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</si>
  <si>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</si>
  <si>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</si>
  <si>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</si>
  <si>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</si>
  <si>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</si>
  <si>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</si>
  <si>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</si>
  <si>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</si>
  <si>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</si>
  <si>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</si>
  <si>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</si>
  <si>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</si>
  <si>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</si>
  <si>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</si>
  <si>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</si>
  <si>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</si>
  <si>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</si>
  <si>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</si>
  <si>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</si>
  <si>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</si>
  <si>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</si>
  <si>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</si>
  <si>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</si>
  <si>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</si>
  <si>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</si>
  <si>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</si>
  <si>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</si>
  <si>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</si>
  <si>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</si>
  <si>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</si>
  <si>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</si>
  <si>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</si>
  <si>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</si>
  <si>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</si>
  <si>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</si>
  <si>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</si>
  <si>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</si>
  <si>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</si>
  <si>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</si>
  <si>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</si>
  <si>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</si>
  <si>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</si>
  <si>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</si>
  <si>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</si>
  <si>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</si>
  <si>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</si>
  <si>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</si>
  <si>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</si>
  <si>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</si>
  <si>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</si>
  <si>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</si>
  <si>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</si>
  <si>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</si>
  <si>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</si>
  <si>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</si>
  <si>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</si>
  <si>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</si>
  <si>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</si>
  <si>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</si>
  <si>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</si>
  <si>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</si>
  <si>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</si>
  <si>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</si>
  <si>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</si>
  <si>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</si>
  <si>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</si>
  <si>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</si>
  <si>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</si>
  <si>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</si>
  <si>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</si>
  <si>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</si>
  <si>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</si>
  <si>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</si>
  <si>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</si>
  <si>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</si>
  <si>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</si>
  <si>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</si>
  <si>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</si>
  <si>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</si>
  <si>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</si>
  <si>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</si>
  <si>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</si>
  <si>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</si>
  <si>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</si>
  <si>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</si>
  <si>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</si>
  <si>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</si>
  <si>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</si>
  <si>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</si>
  <si>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</si>
  <si>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</si>
  <si>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</si>
  <si>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</si>
  <si>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</si>
  <si>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</si>
  <si>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</si>
  <si>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</si>
  <si>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</si>
  <si>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</si>
  <si>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</si>
  <si>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</si>
  <si>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</si>
  <si>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</si>
  <si>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</si>
  <si>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</si>
  <si>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</si>
  <si>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</si>
  <si>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</si>
  <si>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</si>
  <si>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</si>
  <si>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</si>
  <si>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</si>
  <si>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</si>
  <si>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</si>
  <si>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</si>
  <si>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</si>
  <si>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</si>
  <si>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</si>
  <si>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</si>
  <si>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</si>
  <si>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</si>
  <si>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</si>
  <si>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</si>
  <si>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</si>
  <si>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</si>
  <si>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</si>
  <si>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</si>
  <si>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</si>
  <si>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</si>
  <si>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</si>
  <si>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</si>
  <si>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</si>
  <si>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</si>
  <si>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</si>
  <si>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</si>
  <si>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</si>
  <si>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</si>
  <si>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</si>
  <si>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</si>
  <si>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</si>
  <si>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</si>
  <si>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</si>
  <si>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</si>
  <si>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</si>
  <si>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</si>
  <si>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</si>
  <si>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</si>
  <si>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</si>
  <si>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</si>
  <si>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</si>
  <si>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</si>
  <si>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</si>
  <si>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</si>
  <si>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</si>
  <si>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</si>
  <si>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</si>
  <si>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</si>
  <si>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</si>
  <si>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</si>
  <si>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</si>
  <si>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</si>
  <si>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</si>
  <si>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</si>
  <si>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</si>
  <si>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</si>
  <si>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</si>
  <si>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</si>
  <si>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</si>
  <si>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</si>
  <si>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</si>
  <si>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</si>
  <si>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</si>
  <si>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</si>
  <si>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</si>
  <si>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</si>
  <si>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</si>
  <si>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</si>
  <si>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</si>
  <si>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</si>
  <si>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</si>
  <si>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</si>
  <si>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</si>
  <si>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</si>
  <si>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</si>
  <si>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</si>
  <si>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</si>
  <si>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</si>
  <si>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</si>
  <si>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</si>
  <si>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</si>
  <si>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</si>
  <si>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</si>
  <si>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</si>
  <si>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</si>
  <si>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</si>
  <si>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</si>
  <si>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</si>
  <si>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</si>
  <si>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</si>
  <si>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</si>
  <si>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</si>
  <si>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</si>
  <si>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</si>
  <si>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</si>
  <si>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</si>
  <si>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</si>
  <si>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</si>
  <si>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</si>
  <si>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</si>
  <si>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</si>
  <si>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</si>
  <si>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</si>
  <si>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</si>
  <si>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</si>
  <si>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</si>
  <si>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</si>
  <si>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</si>
  <si>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</si>
  <si>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</si>
  <si>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</si>
  <si>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</si>
  <si>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</si>
  <si>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</si>
  <si>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</si>
  <si>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</si>
  <si>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</si>
  <si>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</si>
  <si>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</si>
  <si>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</si>
  <si>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</si>
  <si>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</si>
  <si>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</si>
  <si>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</si>
  <si>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</si>
  <si>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</si>
  <si>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</si>
  <si>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</si>
  <si>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</si>
  <si>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</si>
  <si>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</si>
  <si>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</si>
  <si>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</si>
  <si>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</si>
  <si>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</si>
  <si>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</si>
  <si>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</si>
  <si>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</si>
  <si>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</si>
  <si>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</si>
  <si>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</si>
  <si>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</si>
  <si>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</si>
  <si>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</si>
  <si>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</si>
  <si>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</si>
  <si>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</si>
  <si>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</si>
  <si>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</si>
  <si>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</si>
  <si>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</si>
  <si>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</si>
  <si>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</si>
  <si>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</si>
  <si>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</si>
  <si>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</si>
  <si>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</si>
  <si>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</si>
  <si>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</si>
  <si>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</si>
  <si>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</si>
  <si>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</si>
  <si>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</si>
  <si>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</si>
  <si>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</si>
  <si>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</si>
  <si>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</si>
  <si>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</si>
  <si>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</si>
  <si>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</si>
  <si>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</si>
  <si>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</si>
  <si>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</si>
  <si>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</si>
  <si>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</si>
  <si>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</si>
  <si>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</si>
  <si>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</si>
  <si>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</si>
  <si>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</si>
  <si>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</si>
  <si>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</si>
  <si>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</si>
  <si>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</si>
  <si>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</si>
  <si>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</si>
  <si>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</si>
  <si>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</si>
  <si>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</si>
  <si>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</si>
  <si>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</si>
  <si>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</si>
  <si>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</si>
  <si>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</si>
  <si>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</si>
  <si>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</si>
  <si>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</si>
  <si>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</si>
  <si>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</si>
  <si>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</si>
  <si>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</si>
  <si>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</si>
  <si>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</si>
  <si>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</si>
  <si>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</si>
  <si>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</si>
  <si>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</si>
  <si>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</si>
  <si>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</si>
  <si>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</si>
  <si>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</si>
  <si>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</si>
  <si>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</si>
  <si>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</si>
  <si>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</si>
  <si>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</si>
  <si>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</si>
  <si>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</si>
  <si>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</si>
  <si>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</si>
  <si>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</si>
  <si>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</si>
  <si>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</si>
  <si>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</si>
  <si>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</si>
  <si>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</si>
  <si>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</si>
  <si>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</si>
  <si>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</si>
  <si>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</si>
  <si>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</si>
  <si>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</si>
  <si>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</si>
  <si>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</si>
  <si>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</si>
  <si>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</si>
  <si>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</si>
  <si>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</si>
  <si>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</si>
  <si>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</si>
  <si>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</si>
  <si>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</si>
  <si>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</si>
  <si>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</si>
  <si>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</si>
  <si>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</si>
  <si>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</si>
  <si>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</si>
  <si>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</si>
  <si>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</si>
  <si>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</si>
  <si>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</si>
  <si>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</si>
  <si>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</si>
  <si>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</si>
  <si>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</si>
  <si>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</si>
  <si>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</si>
  <si>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</si>
  <si>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</si>
  <si>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</si>
  <si>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</si>
  <si>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</si>
  <si>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</si>
  <si>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</si>
  <si>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</si>
  <si>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</si>
  <si>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</si>
  <si>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</si>
  <si>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</si>
  <si>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</si>
  <si>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</si>
  <si>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</si>
  <si>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</si>
  <si>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</si>
  <si>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</si>
  <si>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</si>
  <si>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</si>
  <si>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</si>
  <si>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</si>
  <si>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</si>
  <si>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</si>
  <si>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</si>
  <si>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</si>
  <si>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</si>
  <si>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</si>
  <si>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</si>
  <si>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</si>
  <si>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</si>
  <si>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</si>
  <si>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</si>
  <si>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</si>
  <si>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</si>
  <si>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</si>
  <si>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</si>
  <si>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</si>
  <si>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</si>
  <si>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</si>
  <si>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</si>
  <si>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</si>
  <si>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</si>
  <si>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</si>
  <si>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</si>
  <si>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</si>
  <si>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</si>
  <si>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</si>
  <si>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</si>
  <si>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</si>
  <si>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</si>
  <si>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</si>
  <si>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</si>
  <si>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</si>
  <si>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</si>
  <si>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</si>
  <si>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</si>
  <si>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</si>
  <si>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</si>
  <si>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</si>
  <si>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</si>
  <si>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</si>
  <si>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</si>
  <si>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</si>
  <si>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</si>
  <si>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</si>
  <si>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</si>
  <si>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</si>
  <si>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</si>
  <si>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</si>
  <si>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</si>
  <si>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</si>
  <si>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</si>
  <si>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</si>
  <si>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</si>
  <si>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</si>
  <si>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</si>
  <si>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</si>
  <si>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</si>
  <si>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</si>
  <si>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</si>
  <si>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</si>
  <si>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</si>
  <si>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</si>
  <si>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</si>
  <si>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</si>
  <si>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</si>
  <si>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</si>
  <si>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</si>
  <si>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</si>
  <si>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</si>
  <si>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</si>
  <si>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</si>
  <si>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</si>
  <si>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</si>
  <si>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</si>
  <si>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</si>
  <si>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</si>
  <si>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</si>
  <si>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</si>
  <si>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</si>
  <si>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</si>
  <si>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</si>
  <si>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</si>
  <si>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</si>
  <si>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</si>
  <si>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</si>
  <si>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</si>
  <si>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</si>
  <si>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</si>
  <si>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</si>
  <si>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</si>
  <si>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</si>
  <si>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</si>
  <si>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</si>
  <si>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</si>
  <si>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</si>
  <si>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</si>
  <si>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</si>
  <si>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</si>
  <si>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</si>
  <si>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</si>
  <si>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</si>
  <si>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</si>
  <si>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</si>
  <si>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</si>
  <si>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</si>
  <si>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</si>
  <si>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</si>
  <si>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</si>
  <si>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</si>
  <si>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</si>
  <si>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</si>
  <si>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</si>
  <si>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</si>
  <si>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</si>
  <si>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</si>
  <si>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</si>
  <si>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</si>
  <si>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</si>
  <si>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</si>
  <si>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</si>
  <si>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</si>
  <si>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</si>
  <si>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</si>
  <si>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</si>
  <si>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</si>
  <si>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</si>
  <si>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</si>
  <si>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</si>
  <si>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</si>
  <si>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</si>
  <si>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</si>
  <si>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</si>
  <si>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</si>
  <si>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</si>
  <si>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</si>
  <si>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</si>
  <si>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</si>
  <si>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</si>
  <si>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</si>
  <si>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</si>
  <si>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</si>
  <si>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</si>
  <si>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</si>
  <si>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</si>
  <si>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</si>
  <si>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</si>
  <si>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</si>
  <si>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</si>
  <si>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</si>
  <si>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</si>
  <si>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</si>
  <si>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</si>
  <si>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</si>
  <si>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</si>
  <si>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</si>
  <si>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</si>
  <si>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</si>
  <si>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</si>
  <si>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</si>
  <si>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</si>
  <si>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</si>
  <si>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</si>
  <si>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</si>
  <si>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</si>
  <si>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</si>
  <si>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</si>
  <si>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</si>
  <si>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</si>
  <si>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</si>
  <si>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</si>
  <si>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</si>
  <si>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</si>
  <si>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</si>
  <si>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</si>
  <si>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</si>
  <si>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</si>
  <si>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</si>
  <si>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</si>
  <si>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</si>
  <si>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</si>
  <si>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</si>
  <si>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</si>
  <si>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</si>
  <si>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</si>
  <si>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</si>
  <si>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</si>
  <si>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</si>
  <si>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</si>
  <si>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</si>
  <si>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</si>
  <si>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</si>
  <si>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</si>
  <si>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</si>
  <si>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</si>
  <si>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</si>
  <si>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</si>
  <si>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</si>
  <si>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</si>
  <si>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</si>
  <si>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</si>
  <si>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</si>
  <si>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</si>
  <si>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</si>
  <si>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</si>
  <si>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</si>
  <si>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</si>
  <si>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</si>
  <si>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</si>
  <si>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</si>
  <si>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</si>
  <si>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</si>
  <si>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</si>
  <si>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</si>
  <si>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</si>
  <si>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</si>
  <si>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</si>
  <si>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</si>
  <si>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</si>
  <si>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</si>
  <si>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</si>
  <si>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</si>
  <si>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</si>
  <si>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</si>
  <si>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</si>
  <si>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</si>
  <si>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</si>
  <si>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</si>
  <si>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</si>
  <si>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</si>
  <si>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</si>
  <si>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</si>
  <si>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</si>
  <si>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</si>
  <si>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</si>
  <si>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</si>
  <si>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</si>
  <si>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</si>
  <si>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</si>
  <si>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</si>
  <si>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</si>
  <si>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</si>
  <si>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</si>
  <si>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</si>
  <si>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</si>
  <si>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</si>
  <si>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</si>
  <si>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</si>
  <si>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</si>
  <si>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</si>
  <si>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</si>
  <si>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</si>
  <si>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</si>
  <si>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</si>
  <si>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</si>
  <si>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</si>
  <si>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</si>
  <si>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</si>
  <si>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</si>
  <si>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</si>
  <si>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</si>
  <si>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</si>
  <si>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</si>
  <si>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</si>
  <si>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</si>
  <si>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</si>
  <si>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</si>
  <si>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</si>
  <si>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</si>
  <si>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</si>
  <si>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</si>
  <si>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</si>
  <si>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</si>
  <si>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</si>
  <si>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</si>
  <si>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</si>
  <si>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</si>
  <si>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</si>
  <si>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</si>
  <si>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</si>
  <si>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</si>
  <si>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</si>
  <si>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</si>
  <si>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</si>
  <si>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</si>
  <si>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</si>
  <si>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</si>
  <si>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</si>
  <si>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</si>
  <si>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</si>
  <si>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</si>
  <si>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</si>
  <si>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</si>
  <si>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</si>
  <si>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</si>
  <si>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</si>
  <si>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</si>
  <si>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</si>
  <si>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</si>
  <si>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</si>
  <si>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</si>
  <si>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</si>
  <si>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</si>
  <si>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</si>
  <si>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</si>
  <si>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</si>
  <si>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</si>
  <si>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</si>
  <si>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</si>
  <si>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</si>
  <si>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</si>
  <si>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</si>
  <si>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</si>
  <si>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</si>
  <si>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</si>
  <si>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</si>
  <si>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</si>
  <si>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</si>
  <si>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</si>
  <si>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</si>
  <si>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</si>
  <si>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</si>
  <si>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</si>
  <si>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</si>
  <si>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</si>
  <si>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</si>
  <si>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</si>
  <si>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</si>
  <si>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</si>
  <si>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</si>
  <si>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</si>
  <si>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</si>
  <si>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</si>
  <si>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</si>
  <si>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</si>
  <si>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</si>
  <si>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</si>
  <si>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</si>
  <si>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</si>
  <si>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</si>
  <si>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</si>
  <si>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</si>
  <si>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</si>
  <si>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</si>
  <si>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</si>
  <si>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</si>
  <si>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</si>
  <si>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</si>
  <si>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</si>
  <si>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</si>
  <si>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</si>
  <si>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</si>
  <si>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</si>
  <si>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</si>
  <si>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</si>
  <si>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</si>
  <si>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</si>
  <si>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</si>
  <si>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</si>
  <si>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</si>
  <si>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</si>
  <si>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</si>
  <si>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</si>
  <si>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</si>
  <si>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</si>
  <si>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</si>
  <si>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</si>
  <si>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</si>
  <si>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</si>
  <si>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</si>
  <si>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</si>
  <si>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</si>
  <si>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</si>
  <si>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</si>
  <si>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</si>
  <si>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</si>
  <si>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</si>
  <si>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</si>
  <si>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</si>
  <si>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</si>
  <si>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</si>
  <si>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</si>
  <si>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</si>
  <si>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</si>
  <si>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</si>
  <si>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</si>
  <si>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</si>
  <si>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</si>
  <si>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</si>
  <si>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</si>
  <si>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</si>
  <si>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</si>
  <si>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</si>
  <si>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</si>
  <si>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</si>
  <si>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</si>
  <si>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</si>
  <si>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</si>
  <si>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</si>
  <si>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</si>
  <si>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</si>
  <si>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</si>
  <si>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</si>
  <si>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</si>
  <si>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</si>
  <si>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</si>
  <si>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</si>
  <si>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</si>
  <si>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</si>
  <si>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</si>
  <si>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</si>
  <si>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</si>
  <si>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</si>
  <si>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</si>
  <si>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</si>
  <si>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</si>
  <si>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</si>
  <si>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</si>
  <si>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</si>
  <si>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</si>
  <si>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</si>
  <si>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</si>
  <si>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</si>
  <si>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</si>
  <si>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</si>
  <si>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</si>
  <si>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</si>
  <si>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</si>
  <si>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</si>
  <si>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</si>
  <si>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</si>
  <si>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</si>
  <si>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</si>
  <si>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</si>
  <si>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</si>
  <si>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</si>
  <si>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</si>
  <si>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</si>
  <si>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</si>
  <si>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</si>
  <si>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</si>
  <si>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</si>
  <si>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</si>
  <si>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</si>
  <si>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</si>
  <si>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</si>
  <si>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</si>
  <si>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</si>
  <si>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</si>
  <si>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</si>
  <si>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</si>
  <si>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</si>
  <si>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</si>
  <si>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</si>
  <si>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</si>
  <si>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</si>
  <si>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</si>
  <si>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</si>
  <si>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</si>
  <si>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</si>
  <si>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</si>
  <si>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</si>
  <si>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</si>
  <si>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</si>
  <si>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</si>
  <si>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</si>
  <si>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</si>
  <si>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</si>
  <si>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</si>
  <si>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</si>
  <si>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</si>
  <si>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</si>
  <si>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</si>
  <si>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</si>
  <si>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</si>
  <si>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</si>
  <si>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</si>
  <si>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</si>
  <si>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</si>
  <si>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</si>
  <si>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</si>
  <si>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</si>
  <si>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</si>
  <si>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</si>
  <si>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</si>
  <si>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</si>
  <si>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</si>
  <si>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</si>
  <si>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</si>
  <si>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</si>
  <si>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</si>
  <si>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</si>
  <si>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</si>
  <si>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</si>
  <si>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</si>
  <si>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</si>
  <si>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</si>
  <si>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</si>
  <si>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</si>
  <si>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</si>
  <si>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</si>
  <si>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</si>
  <si>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</si>
  <si>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</si>
  <si>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</si>
  <si>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</si>
  <si>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</si>
  <si>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</si>
  <si>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</si>
  <si>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</si>
  <si>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</si>
  <si>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</si>
  <si>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</si>
  <si>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</si>
  <si>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</si>
  <si>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</si>
  <si>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</si>
  <si>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</si>
  <si>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</si>
  <si>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</si>
  <si>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</si>
  <si>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</si>
  <si>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</si>
  <si>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</si>
  <si>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</si>
  <si>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</si>
  <si>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</si>
  <si>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</si>
  <si>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</si>
  <si>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</si>
  <si>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</si>
  <si>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</si>
  <si>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</si>
  <si>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</si>
  <si>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</si>
  <si>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</si>
  <si>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</si>
  <si>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</si>
  <si>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</si>
  <si>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</si>
  <si>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</si>
  <si>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</si>
  <si>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</si>
  <si>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</si>
  <si>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</si>
  <si>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</si>
  <si>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</si>
  <si>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</si>
  <si>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</si>
  <si>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</si>
  <si>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</si>
  <si>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</si>
  <si>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</si>
  <si>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</si>
  <si>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</si>
  <si>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</si>
  <si>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</si>
  <si>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</si>
  <si>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</si>
  <si>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</si>
  <si>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</si>
  <si>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</si>
  <si>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</si>
  <si>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</si>
  <si>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</si>
  <si>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</si>
  <si>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</si>
  <si>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</si>
  <si>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</si>
  <si>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</si>
  <si>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</si>
  <si>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</si>
  <si>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</si>
  <si>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</si>
  <si>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</si>
  <si>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</si>
  <si>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</si>
  <si>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</si>
  <si>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</si>
  <si>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</si>
  <si>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</si>
  <si>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</si>
  <si>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</si>
  <si>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</si>
  <si>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</si>
  <si>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</si>
  <si>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</si>
  <si>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</si>
  <si>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</si>
  <si>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</si>
  <si>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</si>
  <si>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</si>
  <si>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</si>
  <si>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</si>
  <si>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</si>
  <si>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</si>
  <si>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</si>
  <si>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</si>
  <si>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</si>
  <si>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</si>
  <si>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</si>
  <si>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</si>
  <si>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</si>
  <si>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</si>
  <si>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</si>
  <si>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</si>
  <si>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</si>
  <si>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</si>
  <si>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</si>
  <si>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</si>
  <si>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</si>
  <si>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</si>
  <si>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</si>
  <si>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</si>
  <si>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</si>
  <si>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</si>
  <si>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</si>
  <si>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</si>
  <si>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</si>
  <si>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</si>
  <si>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</si>
  <si>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</si>
  <si>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</si>
  <si>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</si>
  <si>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</si>
  <si>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</si>
  <si>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</si>
  <si>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</si>
  <si>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</si>
  <si>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</si>
  <si>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</si>
  <si>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</si>
  <si>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</si>
  <si>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</si>
  <si>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</si>
  <si>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</si>
  <si>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</si>
  <si>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</si>
  <si>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</si>
  <si>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</si>
  <si>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</si>
  <si>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</si>
  <si>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</si>
  <si>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</si>
  <si>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</si>
  <si>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</si>
  <si>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</si>
  <si>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</si>
  <si>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</si>
  <si>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</si>
  <si>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</si>
  <si>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</si>
  <si>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</si>
  <si>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</si>
  <si>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</si>
  <si>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</si>
  <si>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</si>
  <si>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</si>
  <si>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</si>
  <si>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</si>
  <si>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</si>
  <si>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</si>
  <si>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</si>
  <si>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</si>
  <si>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</si>
  <si>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</si>
  <si>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</si>
  <si>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</si>
  <si>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</si>
  <si>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</si>
  <si>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</si>
  <si>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</si>
  <si>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</si>
  <si>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</si>
  <si>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</si>
  <si>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</si>
  <si>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</si>
  <si>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</si>
  <si>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</si>
  <si>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</si>
  <si>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</si>
  <si>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</si>
  <si>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</si>
  <si>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</si>
  <si>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</si>
  <si>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</si>
  <si>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</si>
  <si>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</si>
  <si>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</si>
  <si>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</si>
  <si>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</si>
  <si>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</si>
  <si>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</si>
  <si>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</si>
  <si>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</si>
  <si>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</si>
  <si>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</si>
  <si>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</si>
  <si>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</si>
  <si>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</si>
  <si>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</si>
  <si>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</si>
  <si>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</si>
  <si>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</si>
  <si>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</si>
  <si>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</si>
  <si>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</si>
  <si>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</si>
  <si>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</si>
  <si>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</si>
  <si>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</si>
  <si>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</si>
  <si>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</si>
  <si>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</si>
  <si>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</si>
  <si>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</si>
  <si>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</si>
  <si>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</si>
  <si>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</si>
  <si>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</si>
  <si>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</si>
  <si>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</si>
  <si>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</si>
  <si>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</si>
  <si>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</si>
  <si>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</si>
  <si>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</si>
  <si>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</si>
  <si>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</si>
  <si>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</si>
  <si>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</si>
  <si>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</si>
  <si>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</si>
  <si>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</si>
  <si>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</si>
  <si>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</si>
  <si>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</si>
  <si>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</si>
  <si>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</si>
  <si>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</si>
  <si>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</si>
  <si>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</si>
  <si>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</si>
  <si>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</si>
  <si>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</si>
  <si>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</si>
  <si>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</si>
  <si>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</si>
  <si>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</si>
  <si>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</si>
  <si>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</si>
  <si>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</si>
  <si>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</si>
  <si>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</si>
  <si>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</si>
  <si>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</si>
  <si>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</si>
  <si>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</si>
  <si>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</si>
  <si>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</si>
  <si>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</si>
  <si>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</si>
  <si>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</si>
  <si>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</si>
  <si>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</si>
  <si>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</si>
  <si>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</si>
  <si>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</si>
  <si>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</si>
  <si>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</si>
  <si>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</si>
  <si>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</si>
  <si>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</si>
  <si>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</si>
  <si>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</si>
  <si>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</si>
  <si>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</si>
  <si>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</si>
  <si>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</si>
  <si>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</si>
  <si>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</si>
  <si>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</si>
  <si>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</si>
  <si>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</si>
  <si>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</si>
  <si>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</si>
  <si>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</si>
  <si>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</si>
  <si>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</si>
  <si>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</si>
  <si>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</si>
  <si>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</si>
  <si>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</si>
  <si>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</si>
  <si>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</si>
  <si>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</si>
  <si>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</si>
  <si>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</si>
  <si>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</si>
  <si>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</si>
  <si>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</si>
  <si>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</si>
  <si>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</si>
  <si>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</si>
  <si>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</si>
  <si>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</si>
  <si>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</si>
  <si>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</si>
  <si>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</si>
  <si>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</si>
  <si>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</si>
  <si>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</si>
  <si>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</si>
  <si>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</si>
  <si>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</si>
  <si>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</si>
  <si>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</si>
  <si>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</si>
  <si>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</si>
  <si>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</si>
  <si>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</si>
  <si>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</si>
  <si>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</si>
  <si>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</si>
  <si>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</si>
  <si>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</si>
  <si>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</si>
  <si>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</si>
  <si>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</si>
  <si>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</si>
  <si>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</si>
  <si>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</si>
  <si>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</si>
  <si>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</si>
  <si>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</si>
  <si>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</si>
  <si>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</si>
  <si>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</si>
  <si>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</si>
  <si>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</si>
  <si>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</si>
  <si>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</si>
  <si>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</si>
  <si>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</si>
  <si>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</si>
  <si>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</si>
  <si>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</si>
  <si>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</si>
  <si>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</si>
  <si>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</si>
  <si>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</si>
  <si>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</si>
  <si>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</si>
  <si>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</si>
  <si>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</si>
  <si>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</si>
  <si>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</si>
  <si>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</si>
  <si>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</si>
  <si>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</si>
  <si>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</si>
  <si>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</si>
  <si>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</si>
  <si>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</si>
  <si>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</si>
  <si>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</si>
  <si>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</si>
  <si>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</si>
  <si>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</si>
  <si>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</si>
  <si>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</si>
  <si>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</si>
  <si>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</si>
  <si>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</si>
  <si>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</si>
  <si>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</si>
  <si>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</si>
  <si>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</si>
  <si>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</si>
  <si>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</si>
  <si>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</si>
  <si>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</si>
  <si>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</si>
  <si>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</si>
  <si>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</si>
  <si>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</si>
  <si>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</si>
  <si>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</si>
  <si>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</si>
  <si>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</si>
  <si>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</si>
  <si>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</si>
  <si>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</si>
  <si>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</si>
  <si>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</si>
  <si>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</si>
  <si>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</si>
  <si>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</si>
  <si>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</si>
  <si>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</si>
  <si>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</si>
  <si>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</si>
  <si>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</si>
  <si>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</si>
  <si>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</si>
  <si>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</si>
  <si>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</si>
  <si>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</si>
  <si>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</si>
  <si>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</si>
  <si>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</si>
  <si>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</si>
  <si>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</si>
  <si>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</si>
  <si>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</si>
  <si>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</si>
  <si>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</si>
  <si>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</si>
  <si>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</si>
  <si>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</si>
  <si>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</si>
  <si>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</si>
  <si>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</si>
  <si>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</si>
  <si>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</si>
  <si>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</si>
  <si>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</si>
  <si>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</si>
  <si>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</si>
  <si>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</si>
  <si>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</si>
  <si>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</si>
  <si>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</si>
  <si>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</si>
  <si>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</si>
  <si>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</si>
  <si>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</si>
  <si>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</si>
  <si>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</si>
  <si>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</si>
  <si>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</si>
  <si>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</si>
  <si>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</si>
  <si>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</si>
  <si>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</si>
  <si>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</si>
  <si>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</si>
  <si>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</si>
  <si>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</si>
  <si>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</si>
  <si>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</si>
  <si>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</si>
  <si>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</si>
  <si>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</si>
  <si>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</si>
  <si>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</si>
  <si>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</si>
  <si>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</si>
  <si>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</si>
  <si>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</si>
  <si>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</si>
  <si>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</si>
  <si>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</si>
  <si>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</si>
  <si>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</si>
  <si>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</si>
  <si>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</si>
  <si>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</si>
  <si>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</si>
  <si>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</si>
  <si>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</si>
  <si>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</si>
  <si>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</si>
  <si>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</si>
  <si>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</si>
  <si>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</si>
  <si>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</si>
  <si>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</si>
  <si>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</si>
  <si>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</si>
  <si>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</si>
  <si>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</si>
  <si>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</si>
  <si>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</si>
  <si>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</si>
  <si>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</si>
  <si>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</si>
  <si>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</si>
  <si>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</si>
  <si>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</si>
  <si>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</si>
  <si>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</si>
  <si>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</si>
  <si>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</si>
  <si>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</si>
  <si>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</si>
  <si>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</si>
  <si>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</si>
  <si>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</si>
  <si>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</si>
  <si>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</si>
  <si>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</si>
  <si>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</si>
  <si>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</si>
  <si>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</si>
  <si>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</si>
  <si>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</si>
  <si>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</si>
  <si>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</si>
  <si>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</si>
  <si>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</si>
  <si>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</si>
  <si>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</si>
  <si>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</si>
  <si>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</si>
  <si>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</si>
  <si>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</si>
  <si>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</si>
  <si>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</si>
  <si>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</si>
  <si>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</si>
  <si>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</si>
  <si>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</si>
  <si>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</si>
  <si>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</si>
  <si>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</si>
  <si>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</si>
  <si>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</si>
  <si>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</si>
  <si>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</si>
  <si>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</si>
  <si>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</si>
  <si>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</si>
  <si>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</si>
  <si>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</si>
  <si>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</si>
  <si>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</si>
  <si>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</si>
  <si>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</si>
  <si>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</si>
  <si>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</si>
  <si>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</si>
  <si>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</si>
  <si>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</si>
  <si>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</si>
  <si>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</si>
  <si>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</si>
  <si>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</si>
  <si>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</si>
  <si>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</si>
  <si>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</si>
  <si>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</si>
  <si>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</si>
  <si>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</si>
  <si>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</si>
  <si>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</si>
  <si>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</si>
  <si>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</si>
  <si>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</si>
  <si>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</si>
  <si>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</si>
  <si>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</si>
  <si>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</si>
  <si>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</si>
  <si>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</si>
  <si>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</si>
  <si>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</si>
  <si>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</si>
  <si>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</si>
  <si>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</si>
  <si>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</si>
  <si>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</si>
  <si>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</si>
  <si>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</si>
  <si>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</si>
  <si>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</si>
  <si>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</si>
  <si>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</si>
  <si>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</si>
  <si>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</si>
  <si>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</si>
  <si>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</si>
  <si>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</si>
  <si>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</si>
  <si>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</si>
  <si>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</si>
  <si>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</si>
  <si>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</si>
  <si>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</si>
  <si>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</si>
  <si>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</si>
  <si>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</si>
  <si>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</si>
  <si>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</si>
  <si>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</si>
  <si>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</si>
  <si>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</si>
  <si>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</si>
  <si>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</si>
  <si>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</si>
  <si>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</si>
  <si>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</si>
  <si>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</si>
  <si>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</si>
  <si>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</si>
  <si>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</si>
  <si>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</si>
  <si>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</si>
  <si>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</si>
  <si>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</si>
  <si>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</si>
  <si>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</si>
  <si>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</si>
  <si>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</si>
  <si>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</si>
  <si>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</si>
  <si>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</si>
  <si>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</si>
  <si>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</si>
  <si>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</si>
  <si>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</si>
  <si>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</si>
  <si>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</si>
  <si>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</si>
  <si>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</si>
  <si>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</si>
  <si>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</si>
  <si>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</si>
  <si>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</si>
  <si>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</si>
  <si>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</si>
  <si>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</si>
  <si>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</si>
  <si>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</si>
  <si>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</si>
  <si>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</si>
  <si>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</si>
  <si>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</si>
  <si>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</si>
  <si>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</si>
  <si>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</si>
  <si>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</si>
  <si>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</si>
  <si>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</si>
  <si>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</si>
  <si>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</si>
  <si>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</si>
  <si>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</si>
  <si>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</si>
  <si>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</si>
  <si>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</si>
  <si>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</si>
  <si>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</si>
  <si>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</si>
  <si>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</si>
  <si>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</si>
  <si>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</si>
  <si>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</si>
  <si>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</si>
  <si>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</si>
  <si>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</si>
  <si>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</si>
  <si>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</si>
  <si>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</si>
  <si>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</si>
  <si>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</si>
  <si>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</si>
  <si>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</si>
  <si>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</si>
  <si>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</si>
  <si>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</si>
  <si>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</si>
  <si>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</si>
  <si>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</si>
  <si>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</si>
  <si>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</si>
  <si>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</si>
  <si>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</si>
  <si>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</si>
  <si>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</si>
  <si>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</si>
  <si>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</si>
  <si>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</si>
  <si>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</si>
  <si>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</si>
  <si>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</si>
  <si>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</si>
  <si>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</si>
  <si>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</si>
  <si>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</si>
  <si>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</si>
  <si>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</si>
  <si>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</si>
  <si>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</si>
  <si>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</si>
  <si>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</si>
  <si>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</si>
  <si>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</si>
  <si>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</si>
  <si>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</si>
  <si>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</si>
  <si>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</si>
  <si>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</si>
  <si>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</si>
  <si>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</si>
  <si>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</si>
  <si>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</si>
  <si>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</si>
  <si>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</si>
  <si>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</si>
  <si>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</si>
  <si>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</si>
  <si>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</si>
  <si>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</si>
  <si>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</si>
  <si>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</si>
  <si>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</si>
  <si>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</si>
  <si>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</si>
  <si>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</si>
  <si>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</si>
  <si>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</si>
  <si>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</si>
  <si>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</si>
  <si>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</si>
  <si>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</si>
  <si>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</si>
  <si>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</si>
  <si>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</si>
  <si>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</si>
  <si>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</si>
  <si>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</si>
  <si>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</si>
  <si>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</si>
  <si>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</si>
  <si>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</si>
  <si>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</si>
  <si>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</si>
  <si>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</si>
  <si>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</si>
  <si>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</si>
  <si>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</si>
  <si>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</si>
  <si>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</si>
  <si>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</si>
  <si>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</si>
  <si>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</si>
  <si>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</si>
  <si>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</si>
  <si>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</si>
  <si>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</si>
  <si>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</si>
  <si>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</si>
  <si>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</si>
  <si>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</si>
  <si>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</si>
  <si>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</si>
  <si>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</si>
  <si>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</si>
  <si>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</si>
  <si>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</si>
  <si>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</si>
  <si>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</si>
  <si>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</si>
  <si>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</si>
  <si>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</si>
  <si>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</si>
  <si>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</si>
  <si>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</si>
  <si>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</si>
  <si>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</si>
  <si>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</si>
  <si>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</si>
  <si>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</si>
  <si>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</si>
  <si>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</si>
  <si>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</si>
  <si>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</si>
  <si>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</si>
  <si>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</si>
  <si>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</si>
  <si>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</si>
  <si>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</si>
  <si>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</si>
  <si>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</si>
  <si>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</si>
  <si>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</si>
  <si>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</si>
  <si>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</si>
  <si>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</si>
  <si>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</si>
  <si>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</si>
  <si>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</si>
  <si>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</si>
  <si>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</si>
  <si>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</si>
  <si>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</si>
  <si>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</si>
  <si>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</si>
  <si>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</si>
  <si>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</si>
  <si>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</si>
  <si>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</si>
  <si>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</si>
  <si>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</si>
  <si>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</si>
  <si>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</si>
  <si>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</si>
  <si>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</si>
  <si>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</si>
  <si>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</si>
  <si>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</si>
  <si>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</si>
  <si>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</si>
  <si>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</si>
  <si>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</si>
  <si>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</si>
  <si>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</si>
  <si>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</si>
  <si>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</si>
  <si>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</si>
  <si>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</si>
  <si>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</si>
  <si>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</si>
  <si>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</si>
  <si>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</si>
  <si>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</si>
  <si>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</si>
  <si>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</si>
  <si>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</si>
  <si>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</si>
  <si>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</si>
  <si>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</si>
  <si>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</si>
  <si>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</si>
  <si>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</si>
  <si>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</si>
  <si>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</si>
  <si>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</si>
  <si>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</si>
  <si>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</si>
  <si>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</si>
  <si>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</si>
  <si>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</si>
  <si>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</si>
  <si>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</si>
  <si>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</si>
  <si>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</si>
  <si>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</si>
  <si>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</si>
  <si>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</si>
  <si>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</si>
  <si>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</si>
  <si>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</si>
  <si>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</si>
  <si>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</si>
  <si>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</si>
  <si>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</si>
  <si>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</si>
  <si>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</si>
  <si>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</si>
  <si>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</si>
  <si>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</si>
  <si>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</si>
  <si>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</si>
  <si>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</si>
  <si>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</si>
  <si>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</si>
  <si>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</si>
  <si>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</si>
  <si>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</si>
  <si>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</si>
  <si>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</si>
  <si>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</si>
  <si>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</si>
  <si>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</si>
  <si>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</si>
  <si>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</si>
  <si>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</si>
  <si>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</si>
  <si>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</si>
  <si>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</si>
  <si>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</si>
  <si>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</si>
  <si>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</si>
  <si>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</si>
  <si>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</si>
  <si>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</si>
  <si>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</si>
  <si>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</si>
  <si>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</si>
  <si>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</si>
  <si>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</si>
  <si>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</si>
  <si>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</si>
  <si>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</si>
  <si>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</si>
  <si>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</si>
  <si>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</si>
  <si>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</si>
  <si>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</si>
  <si>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</si>
  <si>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</si>
  <si>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</si>
  <si>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</si>
  <si>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</si>
  <si>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</si>
  <si>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</si>
  <si>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</si>
  <si>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</si>
  <si>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</si>
  <si>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</si>
  <si>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</si>
  <si>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</si>
  <si>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</si>
  <si>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</si>
  <si>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</si>
  <si>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</si>
  <si>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</si>
  <si>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</si>
  <si>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</si>
  <si>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</si>
  <si>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</si>
  <si>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</si>
  <si>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</si>
  <si>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</si>
  <si>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</si>
  <si>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</si>
  <si>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</si>
  <si>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</si>
  <si>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</si>
  <si>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</si>
  <si>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</si>
  <si>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</si>
  <si>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</si>
  <si>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</si>
  <si>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</si>
  <si>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</si>
  <si>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</si>
  <si>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</si>
  <si>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</si>
  <si>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</si>
  <si>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</si>
  <si>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</si>
  <si>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</si>
  <si>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</si>
  <si>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</si>
  <si>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</si>
  <si>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</si>
  <si>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</si>
  <si>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</si>
  <si>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</si>
  <si>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</si>
  <si>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</si>
  <si>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</si>
  <si>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</si>
  <si>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</si>
  <si>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</si>
  <si>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</si>
  <si>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</si>
  <si>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</si>
  <si>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</si>
  <si>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</si>
  <si>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</si>
  <si>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</si>
  <si>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</si>
  <si>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</si>
  <si>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</si>
  <si>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</si>
  <si>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</si>
  <si>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</si>
  <si>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</si>
  <si>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</si>
  <si>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</si>
  <si>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</si>
  <si>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</si>
  <si>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</si>
  <si>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</si>
  <si>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</si>
  <si>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</si>
  <si>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</si>
  <si>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</si>
  <si>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</si>
  <si>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</si>
  <si>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</si>
  <si>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</si>
  <si>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</si>
  <si>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</si>
  <si>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</si>
  <si>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</si>
  <si>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</si>
  <si>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</si>
  <si>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</si>
  <si>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</si>
  <si>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</si>
  <si>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</si>
  <si>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</si>
  <si>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</si>
  <si>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</si>
  <si>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</si>
  <si>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</si>
  <si>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</si>
  <si>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</si>
  <si>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</si>
  <si>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</si>
  <si>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</si>
  <si>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</si>
  <si>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</si>
  <si>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</si>
  <si>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</si>
  <si>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</si>
  <si>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</si>
  <si>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</si>
  <si>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</si>
  <si>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</si>
  <si>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</si>
  <si>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</si>
  <si>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</si>
  <si>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</si>
  <si>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</si>
  <si>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</si>
  <si>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</si>
  <si>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</si>
  <si>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</si>
  <si>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</si>
  <si>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</si>
  <si>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</si>
  <si>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</si>
  <si>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</si>
  <si>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</si>
  <si>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</si>
  <si>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</si>
  <si>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</si>
  <si>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</si>
  <si>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</si>
  <si>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</si>
  <si>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</si>
  <si>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</si>
  <si>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</si>
  <si>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</si>
  <si>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</si>
  <si>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</si>
  <si>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</si>
  <si>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</si>
  <si>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</si>
  <si>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</si>
  <si>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</si>
  <si>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</si>
  <si>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</si>
  <si>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</si>
  <si>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</si>
  <si>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</si>
  <si>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</si>
  <si>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</si>
  <si>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</si>
  <si>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</si>
  <si>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</si>
  <si>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</si>
  <si>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</si>
  <si>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</si>
  <si>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</si>
  <si>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</si>
  <si>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</si>
  <si>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</si>
  <si>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</si>
  <si>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</si>
  <si>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</si>
  <si>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</si>
  <si>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</si>
  <si>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</si>
  <si>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</si>
  <si>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</si>
  <si>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</si>
  <si>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</si>
  <si>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</si>
  <si>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</si>
  <si>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</si>
  <si>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</si>
  <si>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</si>
  <si>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</si>
  <si>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</si>
  <si>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</si>
  <si>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</si>
  <si>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</si>
  <si>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</si>
  <si>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</si>
  <si>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</si>
  <si>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</si>
  <si>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</si>
  <si>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</si>
  <si>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</si>
  <si>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</si>
  <si>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</si>
  <si>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</si>
  <si>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</si>
  <si>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</si>
  <si>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</si>
  <si>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</si>
  <si>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</si>
  <si>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</si>
  <si>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</si>
  <si>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</si>
  <si>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</si>
  <si>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</si>
  <si>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</si>
  <si>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</si>
  <si>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</si>
  <si>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</si>
  <si>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</si>
  <si>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</si>
  <si>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</si>
  <si>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</si>
  <si>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</si>
  <si>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</si>
  <si>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</si>
  <si>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</si>
  <si>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</si>
  <si>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</si>
  <si>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</si>
  <si>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</si>
  <si>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</si>
  <si>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</si>
  <si>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</si>
  <si>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</si>
  <si>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</si>
  <si>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</si>
  <si>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</si>
  <si>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</si>
  <si>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</si>
  <si>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</si>
  <si>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</si>
  <si>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</si>
  <si>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</si>
  <si>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</si>
  <si>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</si>
  <si>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</si>
  <si>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</si>
  <si>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</si>
  <si>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</si>
  <si>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</si>
  <si>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</si>
  <si>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</si>
  <si>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</si>
  <si>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</si>
  <si>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</si>
  <si>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</si>
  <si>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</si>
  <si>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</si>
  <si>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</si>
  <si>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</si>
  <si>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</si>
  <si>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</si>
  <si>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</si>
  <si>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</si>
  <si>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</si>
  <si>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</si>
  <si>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</si>
  <si>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</si>
  <si>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</si>
  <si>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</si>
  <si>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</si>
  <si>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</si>
  <si>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</si>
  <si>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</si>
  <si>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</si>
  <si>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</si>
  <si>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</si>
  <si>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</si>
  <si>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</si>
  <si>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</si>
  <si>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</si>
  <si>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</si>
  <si>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</si>
  <si>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</si>
  <si>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</si>
  <si>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</si>
  <si>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</si>
  <si>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</si>
  <si>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</si>
  <si>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</si>
  <si>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</si>
  <si>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</si>
  <si>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</si>
  <si>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</si>
  <si>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</si>
  <si>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</si>
  <si>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</si>
  <si>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</si>
  <si>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</si>
  <si>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</si>
  <si>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</si>
  <si>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</si>
  <si>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</si>
  <si>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</si>
  <si>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</si>
  <si>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</si>
  <si>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</si>
  <si>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</si>
  <si>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</si>
  <si>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</si>
  <si>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</si>
  <si>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</si>
  <si>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</si>
  <si>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</si>
  <si>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</si>
  <si>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</si>
  <si>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</si>
  <si>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</si>
  <si>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</si>
  <si>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</si>
  <si>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</si>
  <si>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</si>
  <si>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</si>
  <si>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</si>
  <si>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</si>
  <si>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</si>
  <si>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</si>
  <si>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</si>
  <si>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</si>
  <si>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</si>
  <si>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</si>
  <si>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</si>
  <si>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</si>
  <si>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</si>
  <si>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</si>
  <si>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</si>
  <si>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</si>
  <si>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</si>
  <si>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</si>
  <si>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</si>
  <si>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</si>
  <si>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</si>
  <si>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</si>
  <si>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</si>
  <si>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</si>
  <si>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</si>
  <si>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</si>
  <si>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</si>
  <si>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</si>
  <si>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</si>
  <si>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</si>
  <si>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</si>
  <si>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</si>
  <si>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</si>
  <si>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</si>
  <si>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</si>
  <si>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</si>
  <si>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</si>
  <si>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</si>
  <si>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</si>
  <si>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</si>
  <si>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</si>
  <si>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</si>
  <si>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</si>
  <si>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</si>
  <si>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</si>
  <si>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</si>
  <si>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</si>
  <si>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</si>
  <si>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</si>
  <si>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</si>
  <si>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</si>
  <si>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</si>
  <si>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</si>
  <si>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</si>
  <si>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</si>
  <si>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</si>
  <si>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</si>
  <si>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</si>
  <si>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</si>
  <si>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</si>
  <si>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</si>
  <si>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</si>
  <si>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</si>
  <si>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</si>
  <si>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</si>
  <si>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</si>
  <si>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</si>
  <si>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</si>
  <si>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</si>
  <si>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</si>
  <si>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</si>
  <si>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</si>
  <si>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</si>
  <si>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</si>
  <si>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</si>
  <si>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</si>
  <si>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</si>
  <si>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</si>
  <si>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</si>
  <si>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</si>
  <si>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</si>
  <si>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</si>
  <si>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</si>
  <si>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</si>
  <si>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</si>
  <si>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</si>
  <si>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</si>
  <si>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</si>
  <si>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</si>
  <si>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</si>
  <si>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</si>
  <si>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</si>
  <si>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</si>
  <si>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</si>
  <si>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</si>
  <si>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</si>
  <si>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</si>
  <si>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</si>
  <si>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</si>
  <si>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</si>
  <si>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</si>
  <si>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</si>
  <si>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</si>
  <si>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</si>
  <si>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</si>
  <si>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</si>
  <si>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</si>
  <si>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</si>
  <si>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</si>
  <si>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</si>
  <si>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</si>
  <si>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</si>
  <si>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</si>
  <si>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</si>
  <si>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</si>
  <si>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</si>
  <si>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</si>
  <si>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</si>
  <si>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</si>
  <si>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</si>
  <si>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</si>
  <si>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</si>
  <si>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</si>
  <si>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</si>
  <si>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</si>
  <si>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</si>
  <si>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</si>
  <si>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</si>
  <si>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</si>
  <si>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</si>
  <si>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</si>
  <si>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</si>
  <si>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</si>
  <si>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</si>
  <si>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</si>
  <si>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</si>
  <si>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</si>
  <si>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</si>
  <si>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</si>
  <si>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</si>
  <si>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</si>
  <si>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</si>
  <si>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</si>
  <si>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</si>
  <si>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</si>
  <si>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</si>
  <si>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</si>
  <si>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</si>
  <si>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</si>
  <si>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</si>
  <si>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</si>
  <si>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</si>
  <si>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</si>
  <si>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</si>
  <si>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</si>
  <si>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</si>
  <si>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</si>
  <si>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</si>
  <si>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</si>
  <si>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</si>
  <si>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</si>
  <si>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</si>
  <si>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</si>
  <si>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</si>
  <si>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</si>
  <si>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</si>
  <si>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</si>
  <si>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</si>
  <si>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</si>
  <si>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</si>
  <si>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</si>
  <si>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</si>
  <si>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</si>
  <si>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</si>
  <si>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</si>
  <si>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</si>
  <si>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</si>
  <si>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</si>
  <si>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</si>
  <si>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</si>
  <si>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</si>
  <si>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</si>
  <si>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</si>
  <si>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</si>
  <si>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</si>
  <si>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</si>
  <si>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</si>
  <si>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</si>
  <si>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</si>
  <si>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</si>
  <si>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</si>
  <si>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</si>
  <si>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</si>
  <si>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</si>
  <si>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</si>
  <si>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</si>
  <si>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</si>
  <si>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</si>
  <si>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</si>
  <si>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</si>
  <si>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</si>
  <si>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</si>
  <si>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</si>
  <si>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</si>
  <si>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</si>
  <si>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</si>
  <si>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</si>
  <si>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</si>
  <si>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</si>
  <si>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</si>
  <si>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</si>
  <si>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</si>
  <si>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</si>
  <si>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</si>
  <si>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</si>
  <si>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</si>
  <si>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</si>
  <si>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</si>
  <si>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</si>
  <si>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</si>
  <si>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</si>
  <si>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</si>
  <si>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</si>
  <si>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</si>
  <si>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</si>
  <si>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</si>
  <si>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</si>
  <si>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</si>
  <si>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</si>
  <si>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</si>
  <si>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</si>
  <si>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</si>
  <si>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</si>
  <si>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</si>
  <si>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</si>
  <si>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</si>
  <si>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</si>
  <si>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</si>
  <si>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</si>
  <si>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</si>
  <si>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</si>
  <si>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</si>
  <si>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</si>
  <si>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</si>
  <si>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</si>
  <si>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</si>
  <si>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</si>
  <si>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</si>
  <si>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</si>
  <si>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</si>
  <si>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</si>
  <si>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</si>
  <si>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</si>
  <si>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</si>
  <si>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</si>
  <si>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</si>
  <si>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</si>
  <si>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</si>
  <si>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</si>
  <si>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</si>
  <si>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</si>
  <si>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</si>
  <si>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</si>
  <si>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</si>
  <si>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</si>
  <si>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</si>
  <si>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</si>
  <si>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</si>
  <si>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</si>
  <si>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</si>
  <si>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</si>
  <si>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</si>
  <si>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</si>
  <si>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</si>
  <si>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</si>
  <si>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</si>
  <si>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</si>
  <si>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</si>
  <si>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</si>
  <si>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</si>
  <si>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</si>
  <si>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</si>
  <si>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</si>
  <si>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</si>
  <si>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</si>
  <si>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</si>
  <si>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</si>
  <si>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</si>
  <si>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</si>
  <si>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</si>
  <si>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</si>
  <si>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</si>
  <si>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</si>
  <si>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</si>
  <si>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</si>
  <si>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</si>
  <si>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</si>
  <si>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</si>
  <si>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</si>
  <si>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</si>
  <si>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</si>
  <si>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</si>
  <si>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</si>
  <si>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</si>
  <si>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</si>
  <si>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</si>
  <si>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</si>
  <si>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</si>
  <si>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</si>
  <si>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</si>
  <si>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</si>
  <si>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</si>
  <si>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</si>
  <si>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</si>
  <si>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</si>
  <si>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</si>
  <si>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</si>
  <si>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</si>
  <si>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</si>
  <si>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</si>
  <si>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</si>
  <si>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</si>
  <si>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</si>
  <si>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</si>
  <si>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</si>
  <si>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</si>
  <si>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</si>
  <si>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</si>
  <si>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</si>
  <si>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</si>
  <si>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</si>
  <si>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</si>
  <si>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</si>
  <si>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</si>
  <si>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</si>
  <si>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</si>
  <si>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</si>
  <si>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</si>
  <si>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</si>
  <si>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</si>
  <si>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</si>
  <si>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</si>
  <si>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</si>
  <si>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</si>
  <si>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</si>
  <si>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</si>
  <si>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</si>
  <si>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</si>
  <si>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</si>
  <si>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</si>
  <si>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</si>
  <si>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</si>
  <si>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</si>
  <si>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</si>
  <si>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</si>
  <si>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</si>
  <si>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</si>
  <si>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</si>
  <si>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</si>
  <si>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</si>
  <si>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</si>
  <si>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</si>
  <si>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</si>
  <si>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</si>
  <si>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</si>
  <si>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</si>
  <si>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</si>
  <si>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</si>
  <si>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</si>
  <si>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</si>
  <si>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</si>
  <si>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</si>
  <si>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</si>
  <si>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</si>
  <si>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</si>
  <si>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</si>
  <si>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</si>
  <si>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</si>
  <si>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</si>
  <si>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</si>
  <si>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</si>
  <si>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</si>
  <si>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</si>
  <si>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</si>
  <si>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</si>
  <si>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</si>
  <si>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</si>
  <si>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</si>
  <si>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</si>
  <si>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</si>
  <si>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</si>
  <si>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</si>
  <si>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</si>
  <si>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</si>
  <si>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</si>
  <si>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</si>
  <si>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</si>
  <si>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</si>
  <si>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</si>
  <si>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</si>
  <si>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</si>
  <si>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</si>
  <si>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</si>
  <si>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</si>
  <si>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</si>
  <si>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</si>
  <si>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</si>
  <si>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</si>
  <si>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</si>
  <si>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</si>
  <si>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</si>
  <si>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</si>
  <si>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</si>
  <si>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</si>
  <si>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</si>
  <si>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</si>
  <si>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</si>
  <si>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</si>
  <si>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</si>
  <si>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</si>
  <si>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</si>
  <si>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</si>
  <si>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</si>
  <si>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</si>
  <si>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</si>
  <si>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</si>
  <si>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</si>
  <si>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</si>
  <si>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</si>
  <si>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</si>
  <si>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</si>
  <si>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</si>
  <si>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</si>
  <si>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</si>
  <si>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</si>
  <si>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</si>
  <si>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</si>
  <si>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</si>
  <si>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</si>
  <si>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</si>
  <si>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</si>
  <si>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</si>
  <si>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</si>
  <si>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</si>
  <si>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</si>
  <si>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</si>
  <si>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</si>
  <si>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</si>
  <si>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</si>
  <si>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</si>
  <si>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</si>
  <si>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</si>
  <si>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</si>
  <si>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</si>
  <si>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</si>
  <si>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</si>
  <si>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</si>
  <si>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</si>
  <si>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</si>
  <si>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</si>
  <si>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</si>
  <si>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</si>
  <si>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</si>
  <si>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</si>
  <si>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</si>
  <si>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</si>
  <si>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</si>
  <si>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</si>
  <si>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</si>
  <si>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</si>
  <si>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</si>
  <si>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</si>
  <si>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</si>
  <si>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</si>
  <si>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</si>
  <si>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</si>
  <si>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</si>
  <si>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</si>
  <si>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</si>
  <si>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</si>
  <si>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</si>
  <si>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</si>
  <si>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</si>
  <si>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</si>
  <si>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</si>
  <si>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</si>
  <si>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</si>
  <si>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</si>
  <si>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</si>
  <si>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</si>
  <si>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</si>
  <si>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</si>
  <si>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</si>
  <si>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</si>
  <si>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</si>
  <si>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</si>
  <si>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</si>
  <si>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</si>
  <si>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</si>
  <si>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</si>
  <si>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</si>
  <si>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</si>
  <si>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</si>
  <si>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</si>
  <si>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</si>
  <si>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</si>
  <si>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</si>
  <si>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</si>
  <si>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</si>
  <si>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</si>
  <si>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</si>
  <si>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</si>
  <si>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</si>
  <si>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</si>
  <si>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</si>
  <si>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</si>
  <si>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</si>
  <si>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</si>
  <si>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</si>
  <si>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</si>
  <si>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</si>
  <si>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</si>
  <si>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</si>
  <si>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</si>
  <si>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</si>
  <si>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</si>
  <si>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</si>
  <si>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</si>
  <si>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</si>
  <si>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</si>
  <si>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</si>
  <si>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</si>
  <si>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</si>
  <si>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</si>
  <si>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</si>
  <si>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</si>
  <si>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</si>
  <si>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</si>
  <si>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</si>
  <si>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</si>
  <si>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</si>
  <si>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</si>
  <si>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</si>
  <si>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</si>
  <si>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</si>
  <si>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</si>
  <si>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</si>
  <si>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</si>
  <si>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</si>
  <si>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</si>
  <si>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</si>
  <si>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</si>
  <si>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</si>
  <si>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</si>
  <si>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</si>
  <si>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</si>
  <si>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</si>
  <si>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</si>
  <si>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</si>
  <si>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</si>
  <si>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</si>
  <si>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</si>
  <si>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</si>
  <si>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</si>
  <si>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</si>
  <si>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</si>
  <si>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</si>
  <si>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</si>
  <si>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</si>
  <si>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</si>
  <si>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</si>
  <si>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</si>
  <si>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</si>
  <si>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</si>
  <si>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</si>
  <si>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</si>
  <si>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</si>
  <si>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</si>
  <si>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</si>
  <si>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</si>
  <si>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</si>
  <si>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</si>
  <si>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</si>
  <si>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</si>
  <si>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</si>
  <si>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</si>
  <si>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</si>
  <si>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</si>
  <si>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</si>
  <si>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</si>
  <si>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</si>
  <si>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</si>
  <si>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</si>
  <si>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</si>
  <si>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</si>
  <si>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</si>
  <si>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</si>
  <si>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</si>
  <si>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</si>
  <si>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</si>
  <si>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</si>
  <si>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</si>
  <si>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</si>
  <si>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</si>
  <si>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</si>
  <si>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</si>
  <si>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</si>
  <si>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</si>
  <si>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</si>
  <si>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</si>
  <si>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</si>
  <si>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</si>
  <si>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</si>
  <si>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</si>
  <si>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</si>
  <si>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</si>
  <si>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</si>
  <si>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</si>
  <si>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</si>
  <si>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</si>
  <si>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</si>
  <si>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</si>
  <si>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</si>
  <si>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</si>
  <si>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</si>
  <si>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</si>
  <si>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</si>
  <si>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</si>
  <si>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</si>
  <si>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</si>
  <si>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</si>
  <si>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</si>
  <si>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</si>
  <si>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</si>
  <si>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</si>
  <si>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</si>
  <si>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</si>
  <si>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</si>
  <si>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</si>
  <si>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</si>
  <si>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</si>
  <si>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</si>
  <si>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</si>
  <si>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</si>
  <si>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</si>
  <si>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</si>
  <si>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</si>
  <si>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</si>
  <si>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</si>
  <si>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</si>
  <si>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</si>
  <si>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</si>
  <si>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</si>
  <si>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</si>
  <si>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</si>
  <si>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</si>
  <si>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</si>
  <si>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</si>
  <si>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</si>
  <si>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</si>
  <si>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</si>
  <si>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</si>
  <si>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</si>
  <si>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</si>
  <si>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</si>
  <si>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</si>
  <si>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</si>
  <si>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</si>
  <si>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</si>
  <si>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</si>
  <si>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</si>
  <si>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</si>
  <si>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</si>
  <si>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</si>
  <si>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</si>
  <si>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</si>
  <si>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</si>
  <si>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</si>
  <si>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</si>
  <si>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</si>
  <si>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</si>
  <si>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</si>
  <si>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</si>
  <si>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</si>
  <si>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</si>
  <si>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</si>
  <si>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</si>
  <si>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</si>
  <si>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</si>
  <si>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</si>
  <si>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</si>
  <si>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</si>
  <si>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</si>
  <si>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</si>
  <si>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</si>
  <si>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</si>
  <si>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</si>
  <si>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</si>
  <si>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</si>
  <si>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</si>
  <si>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</si>
  <si>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</si>
  <si>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</si>
  <si>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</si>
  <si>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</si>
  <si>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</si>
  <si>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</si>
  <si>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</si>
  <si>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</si>
  <si>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</si>
  <si>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</si>
  <si>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</si>
  <si>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</si>
  <si>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</si>
  <si>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</si>
  <si>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</si>
  <si>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</si>
  <si>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</si>
  <si>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</si>
  <si>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</si>
  <si>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</si>
  <si>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</si>
  <si>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</si>
  <si>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</si>
  <si>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</si>
  <si>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</si>
  <si>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</si>
  <si>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</si>
  <si>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</si>
  <si>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</si>
  <si>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</si>
  <si>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</si>
  <si>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</si>
  <si>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</si>
  <si>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</si>
  <si>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</si>
  <si>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</si>
  <si>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</si>
  <si>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</si>
  <si>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</si>
  <si>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</si>
  <si>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</si>
  <si>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</si>
  <si>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</si>
  <si>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</si>
  <si>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</si>
  <si>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</si>
  <si>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</si>
  <si>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</si>
  <si>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</si>
  <si>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</si>
  <si>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</si>
  <si>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</si>
  <si>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</si>
  <si>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</si>
  <si>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</si>
  <si>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</si>
  <si>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</si>
  <si>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</si>
  <si>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</si>
  <si>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</si>
  <si>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</si>
  <si>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</si>
  <si>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</si>
  <si>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</si>
  <si>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</si>
  <si>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</si>
  <si>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</si>
  <si>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</si>
  <si>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</si>
  <si>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</si>
  <si>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</si>
  <si>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</si>
  <si>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</si>
  <si>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</si>
  <si>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</si>
  <si>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</si>
  <si>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</si>
  <si>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</si>
  <si>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</si>
  <si>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</si>
  <si>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</si>
  <si>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</si>
  <si>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</si>
  <si>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</si>
  <si>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</si>
  <si>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</si>
  <si>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</si>
  <si>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</si>
  <si>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</si>
  <si>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</si>
  <si>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</si>
  <si>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</si>
  <si>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</si>
  <si>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</si>
  <si>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</si>
  <si>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</si>
  <si>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</si>
  <si>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</si>
  <si>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</si>
  <si>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</si>
  <si>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</si>
  <si>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</si>
  <si>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</si>
  <si>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</si>
  <si>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</si>
  <si>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</si>
  <si>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</si>
  <si>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</si>
  <si>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</si>
  <si>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</si>
  <si>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</si>
  <si>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</si>
  <si>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</si>
  <si>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</si>
  <si>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</si>
  <si>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</si>
  <si>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</si>
  <si>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</si>
  <si>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</si>
  <si>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</si>
  <si>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</si>
  <si>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</si>
  <si>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</si>
  <si>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</si>
  <si>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</si>
  <si>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</si>
  <si>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</si>
  <si>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</si>
  <si>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</si>
  <si>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</si>
  <si>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</si>
  <si>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</si>
  <si>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</si>
  <si>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</si>
  <si>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</si>
  <si>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</si>
  <si>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</si>
  <si>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</si>
  <si>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</si>
  <si>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</si>
  <si>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</si>
  <si>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</si>
  <si>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</si>
  <si>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</si>
  <si>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</si>
  <si>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</si>
  <si>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</si>
  <si>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</si>
  <si>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</si>
  <si>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</si>
  <si>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</si>
  <si>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</si>
  <si>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</si>
  <si>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</si>
  <si>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</si>
  <si>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</si>
  <si>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</si>
  <si>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</si>
  <si>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</si>
  <si>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</si>
  <si>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</si>
  <si>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</si>
  <si>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</si>
  <si>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</si>
  <si>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</si>
  <si>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</si>
  <si>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</si>
  <si>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</si>
  <si>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</si>
  <si>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</si>
  <si>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</si>
  <si>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</si>
  <si>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</si>
  <si>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</si>
  <si>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</si>
  <si>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</si>
  <si>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</si>
  <si>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</si>
  <si>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</si>
  <si>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</si>
  <si>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</si>
  <si>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</si>
  <si>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</si>
  <si>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</si>
  <si>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</si>
  <si>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</si>
  <si>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</si>
  <si>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</si>
  <si>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</si>
  <si>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</si>
  <si>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</si>
  <si>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</si>
  <si>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</si>
  <si>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</si>
  <si>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</si>
  <si>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</si>
  <si>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</si>
  <si>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</si>
  <si>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</si>
  <si>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</si>
  <si>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</si>
  <si>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</si>
  <si>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</si>
  <si>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</si>
  <si>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</si>
  <si>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</si>
  <si>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</si>
  <si>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</si>
  <si>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</si>
  <si>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</si>
  <si>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</si>
  <si>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</si>
  <si>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</si>
  <si>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</si>
  <si>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</si>
  <si>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</si>
  <si>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</si>
  <si>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</si>
  <si>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</si>
  <si>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</si>
  <si>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</si>
  <si>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</si>
  <si>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</si>
  <si>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</si>
  <si>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</si>
  <si>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</si>
  <si>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</si>
  <si>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</si>
  <si>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</si>
  <si>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</si>
  <si>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</si>
  <si>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</si>
  <si>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</si>
  <si>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</si>
  <si>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</si>
  <si>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</si>
  <si>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</si>
  <si>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</si>
  <si>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</si>
  <si>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</si>
  <si>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</si>
  <si>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</si>
  <si>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</si>
  <si>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</si>
  <si>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</si>
  <si>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</si>
  <si>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</si>
  <si>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</si>
  <si>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</si>
  <si>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</si>
  <si>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</si>
  <si>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</si>
  <si>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</si>
  <si>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</si>
  <si>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</si>
  <si>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</si>
  <si>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</si>
  <si>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</si>
  <si>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</si>
  <si>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</si>
  <si>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</si>
  <si>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</si>
  <si>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</si>
  <si>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</si>
  <si>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</si>
  <si>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</si>
  <si>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</si>
  <si>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</si>
  <si>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</si>
  <si>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</si>
  <si>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</si>
  <si>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</si>
  <si>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</si>
  <si>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</si>
  <si>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</si>
  <si>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</si>
  <si>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</si>
  <si>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</si>
  <si>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</si>
  <si>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</si>
  <si>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</si>
  <si>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</si>
  <si>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</si>
  <si>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</si>
  <si>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</si>
  <si>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</si>
  <si>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</si>
  <si>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</si>
  <si>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</si>
  <si>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</si>
  <si>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</si>
  <si>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</si>
  <si>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</si>
  <si>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</si>
  <si>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</si>
  <si>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</si>
  <si>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</si>
  <si>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</si>
  <si>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</si>
  <si>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</si>
  <si>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</si>
  <si>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</si>
  <si>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</si>
  <si>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</si>
  <si>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</si>
  <si>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</si>
  <si>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</si>
  <si>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</si>
  <si>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</si>
  <si>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</si>
  <si>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</si>
  <si>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</si>
  <si>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</si>
  <si>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</si>
  <si>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</si>
  <si>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</si>
  <si>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</si>
  <si>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</si>
  <si>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</si>
  <si>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</si>
  <si>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</si>
  <si>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</si>
  <si>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</si>
  <si>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</si>
  <si>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</si>
  <si>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</si>
  <si>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</si>
  <si>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</si>
  <si>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</si>
  <si>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</si>
  <si>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</si>
  <si>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</si>
  <si>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</si>
  <si>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</si>
  <si>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</si>
  <si>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</si>
  <si>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</si>
  <si>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</si>
  <si>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</si>
  <si>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</si>
  <si>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</si>
  <si>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</si>
  <si>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</si>
  <si>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</si>
  <si>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</si>
  <si>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</si>
  <si>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</si>
  <si>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</si>
  <si>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</si>
  <si>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</si>
  <si>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</si>
  <si>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</si>
  <si>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</si>
  <si>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</si>
  <si>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</si>
  <si>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</si>
  <si>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</si>
  <si>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</si>
  <si>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</si>
  <si>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</si>
  <si>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</si>
  <si>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</si>
  <si>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</si>
  <si>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</si>
  <si>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</si>
  <si>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</si>
  <si>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</si>
  <si>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</si>
  <si>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</si>
  <si>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</si>
  <si>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</si>
  <si>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</si>
  <si>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</si>
  <si>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</si>
  <si>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</si>
  <si>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</si>
  <si>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</si>
  <si>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</si>
  <si>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</si>
  <si>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</si>
  <si>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</si>
  <si>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</si>
  <si>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</si>
  <si>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</si>
  <si>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</si>
  <si>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</si>
  <si>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</si>
  <si>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</si>
  <si>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</si>
  <si>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</si>
  <si>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</si>
  <si>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</si>
  <si>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</si>
  <si>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</si>
  <si>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</si>
  <si>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</si>
  <si>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</si>
  <si>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</si>
  <si>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</si>
  <si>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</si>
  <si>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</si>
  <si>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</si>
  <si>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</si>
  <si>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</si>
  <si>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</si>
  <si>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</si>
  <si>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</si>
  <si>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</si>
  <si>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</si>
  <si>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</si>
  <si>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</si>
  <si>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</si>
  <si>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</si>
  <si>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</si>
  <si>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</si>
  <si>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</si>
  <si>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</si>
  <si>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</si>
  <si>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</si>
  <si>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</si>
  <si>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</si>
  <si>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</si>
  <si>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</si>
  <si>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</si>
  <si>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</si>
  <si>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</si>
  <si>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</si>
  <si>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</si>
  <si>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</si>
  <si>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</si>
  <si>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</si>
  <si>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</si>
  <si>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</si>
  <si>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</si>
  <si>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</si>
  <si>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</si>
  <si>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</si>
  <si>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</si>
  <si>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</si>
  <si>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</si>
  <si>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</si>
  <si>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</si>
  <si>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</si>
  <si>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</si>
  <si>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</si>
  <si>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</si>
  <si>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</si>
  <si>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</si>
  <si>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</si>
  <si>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</si>
  <si>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</si>
  <si>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</si>
  <si>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</si>
  <si>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</si>
  <si>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</si>
  <si>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</si>
  <si>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</si>
  <si>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</si>
  <si>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</si>
  <si>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</si>
  <si>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</si>
  <si>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</si>
  <si>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</si>
  <si>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</si>
  <si>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</si>
  <si>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</si>
  <si>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</si>
  <si>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</si>
  <si>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</si>
  <si>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</si>
  <si>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</si>
  <si>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</si>
  <si>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</si>
  <si>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</si>
  <si>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</si>
  <si>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</si>
  <si>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</si>
  <si>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</si>
  <si>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</si>
  <si>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</si>
  <si>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</si>
  <si>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</si>
  <si>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</si>
  <si>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</si>
  <si>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</si>
  <si>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</si>
  <si>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</si>
  <si>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</si>
  <si>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</si>
  <si>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</si>
  <si>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</si>
  <si>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</si>
  <si>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</si>
  <si>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</si>
  <si>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</si>
  <si>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</si>
  <si>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</si>
  <si>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</si>
  <si>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</si>
  <si>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</si>
  <si>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</si>
  <si>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</si>
  <si>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</si>
  <si>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</si>
  <si>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</si>
  <si>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</si>
  <si>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</si>
  <si>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</si>
  <si>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</si>
  <si>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</si>
  <si>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</si>
  <si>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</si>
  <si>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</si>
  <si>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</si>
  <si>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</si>
  <si>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</si>
  <si>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</si>
  <si>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</si>
  <si>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</si>
  <si>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</si>
  <si>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</si>
  <si>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</si>
  <si>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</si>
  <si>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</si>
  <si>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</si>
  <si>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</si>
  <si>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</si>
  <si>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</si>
  <si>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</si>
  <si>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</si>
  <si>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</si>
  <si>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</si>
  <si>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</si>
  <si>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</si>
  <si>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</si>
  <si>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</si>
  <si>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</si>
  <si>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</si>
  <si>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</si>
  <si>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</si>
  <si>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</si>
  <si>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</si>
  <si>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</si>
  <si>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</si>
  <si>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</si>
  <si>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</si>
  <si>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</si>
  <si>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</si>
  <si>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</si>
  <si>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</si>
  <si>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</si>
  <si>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</si>
  <si>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</si>
  <si>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</si>
  <si>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</si>
  <si>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</si>
  <si>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</si>
  <si>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</si>
  <si>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</si>
  <si>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</si>
  <si>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</si>
  <si>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</si>
  <si>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</si>
  <si>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</si>
  <si>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</si>
  <si>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</si>
  <si>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</si>
  <si>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</si>
  <si>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</si>
  <si>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</si>
  <si>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</si>
  <si>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</si>
  <si>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</si>
  <si>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</si>
  <si>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</si>
  <si>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</si>
  <si>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</si>
  <si>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</si>
  <si>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</si>
  <si>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</si>
  <si>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</si>
  <si>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</si>
  <si>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</si>
  <si>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</si>
  <si>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</si>
  <si>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</si>
  <si>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</si>
  <si>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</si>
  <si>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</si>
  <si>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</si>
  <si>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</si>
  <si>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</si>
  <si>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</si>
  <si>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</si>
  <si>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</si>
  <si>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</si>
  <si>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</si>
  <si>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</si>
  <si>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</si>
  <si>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</si>
  <si>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</si>
  <si>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</si>
  <si>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</si>
  <si>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</si>
  <si>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</si>
  <si>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</si>
  <si>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</si>
  <si>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</si>
  <si>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</si>
  <si>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</si>
  <si>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</si>
  <si>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</si>
  <si>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</si>
  <si>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</si>
  <si>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</si>
  <si>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</si>
  <si>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</si>
  <si>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</si>
  <si>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</si>
  <si>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</si>
  <si>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</si>
  <si>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</si>
  <si>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</si>
  <si>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</si>
  <si>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</si>
  <si>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</si>
  <si>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</si>
  <si>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</si>
  <si>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</si>
  <si>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</si>
  <si>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</si>
  <si>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</si>
  <si>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</si>
  <si>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</si>
  <si>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</si>
  <si>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</si>
  <si>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</si>
  <si>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</si>
  <si>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</si>
  <si>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</si>
  <si>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</si>
  <si>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</si>
  <si>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</si>
  <si>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</si>
  <si>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</si>
  <si>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</si>
  <si>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</si>
  <si>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</si>
  <si>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</si>
  <si>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</si>
  <si>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</si>
  <si>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</si>
  <si>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</si>
  <si>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</si>
  <si>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</si>
  <si>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</si>
  <si>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</si>
  <si>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</si>
  <si>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</si>
  <si>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</si>
  <si>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</si>
  <si>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</si>
  <si>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</si>
  <si>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</si>
  <si>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</si>
  <si>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</si>
  <si>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</si>
  <si>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</si>
  <si>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</si>
  <si>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</si>
  <si>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</si>
  <si>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</si>
  <si>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</si>
  <si>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</si>
  <si>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</si>
  <si>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</si>
  <si>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</si>
  <si>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</si>
  <si>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</si>
  <si>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</si>
  <si>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</si>
  <si>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</si>
  <si>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</si>
  <si>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</si>
  <si>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</si>
  <si>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</si>
  <si>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</si>
  <si>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</si>
  <si>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</si>
  <si>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</si>
  <si>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</si>
  <si>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</si>
  <si>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</si>
  <si>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</si>
  <si>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</si>
  <si>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</si>
  <si>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</si>
  <si>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</si>
  <si>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</si>
  <si>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</si>
  <si>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</si>
  <si>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</si>
  <si>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</si>
  <si>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</si>
  <si>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</si>
  <si>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</si>
  <si>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</si>
  <si>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</si>
  <si>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</si>
  <si>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</si>
  <si>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</si>
  <si>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</si>
  <si>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</si>
  <si>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</si>
  <si>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</si>
  <si>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</si>
  <si>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</si>
  <si>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</si>
  <si>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</si>
  <si>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</si>
  <si>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</si>
  <si>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</si>
  <si>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</si>
  <si>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</si>
  <si>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</si>
  <si>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</si>
  <si>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</si>
  <si>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</si>
  <si>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</si>
  <si>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</si>
  <si>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</si>
  <si>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</si>
  <si>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</si>
  <si>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</si>
  <si>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</si>
  <si>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</si>
  <si>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</si>
  <si>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</si>
  <si>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</si>
  <si>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</si>
  <si>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</si>
  <si>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</si>
  <si>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</si>
  <si>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</si>
  <si>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</si>
  <si>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</si>
  <si>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</si>
  <si>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</si>
  <si>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</si>
  <si>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</si>
  <si>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</si>
  <si>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</si>
  <si>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</si>
  <si>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</si>
  <si>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</si>
  <si>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</si>
  <si>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</si>
  <si>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</si>
  <si>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</si>
  <si>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</si>
  <si>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</si>
  <si>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</si>
  <si>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</si>
  <si>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</si>
  <si>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</si>
  <si>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</si>
  <si>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</si>
  <si>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</si>
  <si>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</si>
  <si>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</si>
  <si>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</si>
  <si>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</si>
  <si>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</si>
  <si>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</si>
  <si>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</si>
  <si>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</si>
  <si>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</si>
  <si>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</si>
  <si>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</si>
  <si>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</si>
  <si>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</si>
  <si>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</si>
  <si>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</si>
  <si>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</si>
  <si>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</si>
  <si>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</si>
  <si>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</si>
  <si>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</si>
  <si>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</si>
  <si>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</si>
  <si>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</si>
  <si>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</si>
  <si>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</si>
  <si>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</si>
  <si>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</si>
  <si>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</si>
  <si>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</si>
  <si>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</si>
  <si>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</si>
  <si>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</si>
  <si>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</si>
  <si>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</si>
  <si>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</si>
  <si>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</si>
  <si>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</si>
  <si>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</si>
  <si>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</si>
  <si>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</si>
  <si>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</si>
  <si>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</si>
  <si>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</si>
  <si>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</si>
  <si>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</si>
  <si>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</si>
  <si>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</si>
  <si>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</si>
  <si>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</si>
  <si>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</si>
  <si>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</si>
  <si>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</si>
  <si>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</si>
  <si>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</si>
  <si>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</si>
  <si>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</si>
  <si>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</si>
  <si>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</si>
  <si>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</si>
  <si>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</si>
  <si>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</si>
  <si>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</si>
  <si>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</si>
  <si>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</si>
  <si>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</si>
  <si>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</si>
  <si>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</si>
  <si>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</si>
  <si>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</si>
  <si>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</si>
  <si>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</si>
  <si>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</si>
  <si>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</si>
  <si>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</si>
  <si>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</si>
  <si>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</si>
  <si>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</si>
  <si>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</si>
  <si>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</si>
  <si>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</si>
  <si>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</si>
  <si>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</si>
  <si>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</si>
  <si>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</si>
  <si>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</si>
  <si>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</si>
  <si>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</si>
  <si>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</si>
  <si>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</si>
  <si>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</si>
  <si>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</si>
  <si>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</si>
  <si>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</si>
  <si>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</si>
  <si>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</si>
  <si>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</si>
  <si>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</si>
  <si>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</si>
  <si>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</si>
  <si>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</si>
  <si>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</si>
  <si>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</si>
  <si>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</si>
  <si>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</si>
  <si>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</si>
  <si>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</si>
  <si>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</si>
  <si>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</si>
  <si>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</si>
  <si>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</si>
  <si>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</si>
  <si>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</si>
  <si>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</si>
  <si>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</si>
  <si>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</si>
  <si>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</si>
  <si>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</si>
  <si>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</si>
  <si>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</si>
  <si>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</si>
  <si>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</si>
  <si>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</si>
  <si>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</si>
  <si>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</si>
  <si>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</si>
  <si>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</si>
  <si>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</si>
  <si>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</si>
  <si>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</si>
  <si>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</si>
  <si>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</si>
  <si>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</si>
  <si>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</si>
  <si>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</si>
  <si>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</si>
  <si>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</si>
  <si>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</si>
  <si>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</si>
  <si>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</si>
  <si>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</si>
  <si>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</si>
  <si>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</si>
  <si>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</si>
  <si>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</si>
  <si>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</si>
  <si>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</si>
  <si>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</si>
  <si>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</si>
  <si>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</si>
  <si>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</si>
  <si>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</si>
  <si>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</si>
  <si>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</si>
  <si>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</si>
  <si>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</si>
  <si>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</si>
  <si>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</si>
  <si>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</si>
  <si>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</si>
  <si>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</si>
  <si>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</si>
  <si>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</si>
  <si>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</si>
  <si>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</si>
  <si>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</si>
  <si>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</si>
  <si>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</si>
  <si>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</si>
  <si>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</si>
  <si>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</si>
  <si>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</si>
  <si>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</si>
  <si>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</si>
  <si>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</si>
  <si>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</si>
  <si>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</si>
  <si>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</si>
  <si>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</si>
  <si>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</si>
  <si>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</si>
  <si>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</si>
  <si>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</si>
  <si>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</si>
  <si>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</si>
  <si>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</si>
  <si>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</si>
  <si>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</si>
  <si>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</si>
  <si>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</si>
  <si>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</si>
  <si>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</si>
  <si>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</si>
  <si>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</si>
  <si>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</si>
  <si>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</si>
  <si>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</si>
  <si>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</si>
  <si>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</si>
  <si>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</si>
  <si>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</si>
  <si>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</si>
  <si>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</si>
  <si>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</si>
  <si>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</si>
  <si>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</si>
  <si>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</si>
  <si>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</si>
  <si>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</si>
  <si>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</si>
  <si>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</si>
  <si>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</si>
  <si>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</si>
  <si>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</si>
  <si>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</si>
  <si>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</si>
  <si>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</si>
  <si>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</si>
  <si>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</si>
  <si>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</si>
  <si>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</si>
  <si>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</si>
  <si>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</si>
  <si>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</si>
  <si>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</si>
  <si>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</si>
  <si>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</si>
  <si>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</si>
  <si>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</si>
  <si>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</si>
  <si>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</si>
  <si>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</si>
  <si>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</si>
  <si>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</si>
  <si>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</si>
  <si>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</si>
  <si>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</si>
  <si>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</si>
  <si>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</si>
  <si>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</si>
  <si>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</si>
  <si>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</si>
  <si>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</si>
  <si>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</si>
  <si>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</si>
  <si>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</si>
  <si>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</si>
  <si>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</si>
  <si>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</si>
  <si>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</si>
  <si>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</si>
  <si>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</si>
  <si>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</si>
  <si>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</si>
  <si>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</si>
  <si>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</si>
  <si>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</si>
  <si>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</si>
  <si>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</si>
  <si>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</si>
  <si>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</si>
  <si>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</si>
  <si>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</si>
  <si>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</si>
  <si>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</si>
  <si>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</si>
  <si>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</si>
  <si>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</si>
  <si>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</si>
  <si>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</si>
  <si>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</si>
  <si>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</si>
  <si>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</si>
  <si>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</si>
  <si>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</si>
  <si>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</si>
  <si>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</si>
  <si>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</si>
  <si>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</si>
  <si>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</si>
  <si>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</si>
  <si>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</si>
  <si>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</si>
  <si>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</si>
  <si>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</si>
  <si>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</si>
  <si>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</si>
  <si>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</si>
  <si>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</si>
  <si>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</si>
  <si>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</si>
  <si>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</si>
  <si>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</si>
  <si>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</si>
  <si>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</si>
  <si>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</si>
  <si>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</si>
  <si>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</si>
  <si>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</si>
  <si>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</si>
  <si>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</si>
  <si>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</si>
  <si>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</si>
  <si>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</si>
  <si>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</si>
  <si>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</si>
  <si>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</si>
  <si>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</si>
  <si>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</si>
  <si>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</si>
  <si>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</si>
  <si>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</si>
  <si>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</si>
  <si>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</si>
  <si>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</si>
  <si>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</si>
  <si>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</si>
  <si>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</si>
  <si>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</si>
  <si>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</si>
  <si>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</si>
  <si>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</si>
  <si>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</si>
  <si>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</si>
  <si>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</si>
  <si>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</si>
  <si>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</si>
  <si>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</si>
  <si>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</si>
  <si>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</si>
  <si>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</si>
  <si>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</si>
  <si>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</si>
  <si>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</si>
  <si>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</si>
  <si>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</si>
  <si>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</si>
  <si>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</si>
  <si>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</si>
  <si>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</si>
  <si>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</si>
  <si>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</si>
  <si>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</si>
  <si>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</si>
  <si>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</si>
  <si>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</si>
  <si>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</si>
  <si>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</si>
  <si>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</si>
  <si>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</si>
  <si>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</si>
  <si>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</si>
  <si>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</si>
  <si>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</si>
  <si>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</si>
  <si>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</si>
  <si>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</si>
  <si>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</si>
  <si>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</si>
  <si>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</si>
  <si>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</si>
  <si>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</si>
  <si>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</si>
  <si>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</si>
  <si>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</si>
  <si>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</si>
  <si>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</si>
  <si>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</si>
  <si>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</si>
  <si>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</si>
  <si>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</si>
  <si>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</si>
  <si>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</si>
  <si>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</si>
  <si>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</si>
  <si>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</si>
  <si>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</si>
  <si>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</si>
  <si>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</si>
  <si>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</si>
  <si>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</si>
  <si>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</si>
  <si>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</si>
  <si>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</si>
  <si>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</si>
  <si>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</si>
  <si>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</si>
  <si>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</si>
  <si>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</si>
  <si>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</si>
  <si>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</si>
  <si>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</si>
  <si>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</si>
  <si>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</si>
  <si>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</si>
  <si>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</si>
  <si>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</si>
  <si>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</si>
  <si>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</si>
  <si>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</si>
  <si>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</si>
  <si>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</si>
  <si>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</si>
  <si>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</si>
  <si>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</si>
  <si>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</si>
  <si>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</si>
  <si>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</si>
  <si>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</si>
  <si>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</si>
  <si>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</si>
  <si>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</si>
  <si>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</si>
  <si>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</si>
  <si>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</si>
  <si>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</si>
  <si>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</si>
  <si>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</si>
  <si>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</si>
  <si>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</si>
  <si>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</si>
  <si>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</si>
  <si>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</si>
  <si>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</si>
  <si>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</si>
  <si>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</si>
  <si>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</si>
  <si>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</si>
  <si>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</si>
  <si>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</si>
  <si>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</si>
  <si>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</si>
  <si>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</si>
  <si>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</si>
  <si>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</si>
  <si>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</si>
  <si>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</si>
  <si>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</si>
  <si>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</si>
  <si>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</si>
  <si>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</si>
  <si>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</si>
  <si>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</si>
  <si>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</si>
  <si>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</si>
  <si>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</si>
  <si>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</si>
  <si>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</si>
  <si>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</si>
  <si>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</si>
  <si>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</si>
  <si>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</si>
  <si>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</si>
  <si>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</si>
  <si>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</si>
  <si>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</si>
  <si>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</si>
  <si>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</si>
  <si>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</si>
  <si>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</si>
  <si>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</si>
  <si>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</si>
  <si>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</si>
  <si>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</si>
  <si>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</si>
  <si>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</si>
  <si>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</si>
  <si>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</si>
  <si>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</si>
  <si>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</si>
  <si>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</si>
  <si>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</si>
  <si>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</si>
  <si>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</si>
  <si>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</si>
  <si>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</si>
  <si>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</si>
  <si>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</si>
  <si>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</si>
  <si>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</si>
  <si>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</si>
  <si>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</si>
  <si>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</si>
  <si>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</si>
  <si>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</si>
  <si>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</si>
  <si>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</si>
  <si>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</si>
  <si>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</si>
  <si>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</si>
  <si>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</si>
  <si>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</si>
  <si>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</si>
  <si>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</si>
  <si>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</si>
  <si>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</si>
  <si>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</si>
  <si>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</si>
  <si>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</si>
  <si>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</si>
  <si>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</si>
  <si>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</si>
  <si>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</si>
  <si>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</si>
  <si>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</si>
  <si>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</si>
  <si>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</si>
  <si>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</si>
  <si>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</si>
  <si>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</si>
  <si>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</si>
  <si>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</si>
  <si>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</si>
  <si>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</si>
  <si>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</si>
  <si>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</si>
  <si>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</si>
  <si>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</si>
  <si>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</si>
  <si>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</si>
  <si>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</si>
  <si>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</si>
  <si>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</si>
  <si>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</si>
  <si>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</si>
  <si>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</si>
  <si>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</si>
  <si>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</si>
  <si>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</si>
  <si>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</si>
  <si>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</si>
  <si>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</si>
  <si>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</si>
  <si>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</si>
  <si>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</si>
  <si>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</si>
  <si>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</si>
  <si>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</si>
  <si>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</si>
  <si>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</si>
  <si>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</si>
  <si>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</si>
  <si>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</si>
  <si>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</si>
  <si>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</si>
  <si>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</si>
  <si>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</si>
  <si>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</si>
  <si>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</si>
  <si>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</si>
  <si>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</si>
  <si>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</si>
  <si>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</si>
  <si>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</si>
  <si>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</si>
  <si>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</si>
  <si>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</si>
  <si>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</si>
  <si>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</si>
  <si>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</si>
  <si>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</si>
  <si>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</si>
  <si>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</si>
  <si>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</si>
  <si>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</si>
  <si>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</si>
  <si>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</si>
  <si>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</si>
  <si>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</si>
  <si>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</si>
  <si>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</si>
  <si>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</si>
  <si>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</si>
  <si>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</si>
  <si>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</si>
  <si>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</si>
  <si>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</si>
  <si>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</si>
  <si>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</si>
  <si>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</si>
  <si>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</si>
  <si>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</si>
  <si>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</si>
  <si>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</si>
  <si>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</si>
  <si>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</si>
  <si>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</si>
  <si>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</si>
  <si>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</si>
  <si>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</si>
  <si>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</si>
  <si>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</si>
  <si>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</si>
  <si>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</si>
  <si>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</si>
  <si>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</si>
  <si>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</si>
  <si>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</si>
  <si>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</si>
  <si>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</si>
  <si>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</si>
  <si>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</si>
  <si>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</si>
  <si>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</si>
  <si>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</si>
  <si>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</si>
  <si>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</si>
  <si>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</si>
  <si>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</si>
  <si>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</si>
  <si>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</si>
  <si>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</si>
  <si>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</si>
  <si>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</si>
  <si>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</si>
  <si>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</si>
  <si>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</si>
  <si>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</si>
  <si>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</si>
  <si>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</si>
  <si>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</si>
  <si>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</si>
  <si>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</si>
  <si>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</si>
  <si>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</si>
  <si>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</si>
  <si>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</si>
  <si>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</si>
  <si>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</si>
  <si>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</si>
  <si>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</si>
  <si>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</si>
  <si>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</si>
  <si>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</si>
  <si>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</si>
  <si>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</si>
  <si>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</si>
  <si>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</si>
  <si>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</si>
  <si>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</si>
  <si>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</si>
  <si>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</si>
  <si>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</si>
  <si>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</si>
  <si>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</si>
  <si>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</si>
  <si>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</si>
  <si>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</si>
  <si>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</si>
  <si>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</si>
  <si>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</si>
  <si>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</si>
  <si>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</si>
  <si>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</si>
  <si>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</si>
  <si>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</si>
  <si>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</si>
  <si>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</si>
  <si>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</si>
  <si>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</si>
  <si>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</si>
  <si>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</si>
  <si>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</si>
  <si>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</si>
  <si>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</si>
  <si>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</si>
  <si>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</si>
  <si>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</si>
  <si>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</si>
  <si>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</si>
  <si>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</si>
  <si>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</si>
  <si>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</si>
  <si>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</si>
  <si>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</si>
  <si>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</si>
  <si>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</si>
  <si>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</si>
  <si>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</si>
  <si>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</si>
  <si>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</si>
  <si>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</si>
  <si>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</si>
  <si>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</si>
  <si>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</si>
  <si>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</si>
  <si>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</si>
  <si>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</si>
  <si>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</si>
  <si>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</si>
  <si>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</si>
  <si>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</si>
  <si>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</si>
  <si>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</si>
  <si>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</si>
  <si>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</si>
  <si>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</si>
  <si>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</si>
  <si>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</si>
  <si>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</si>
  <si>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</si>
  <si>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</si>
  <si>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</si>
  <si>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</si>
  <si>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</si>
  <si>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</si>
  <si>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</si>
  <si>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</si>
  <si>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</si>
  <si>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</si>
  <si>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</si>
  <si>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</si>
  <si>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</si>
  <si>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</si>
  <si>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</si>
  <si>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</si>
  <si>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</si>
  <si>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</si>
  <si>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</si>
  <si>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</si>
  <si>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</si>
  <si>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</si>
  <si>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</si>
  <si>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</si>
  <si>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</si>
  <si>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</si>
  <si>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</si>
  <si>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</si>
  <si>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</si>
  <si>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</si>
  <si>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</si>
  <si>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</si>
  <si>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</si>
  <si>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</si>
  <si>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</si>
  <si>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</si>
  <si>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</si>
  <si>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</si>
  <si>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</si>
  <si>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</si>
  <si>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</si>
  <si>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</si>
  <si>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</si>
  <si>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</si>
  <si>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</si>
  <si>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</si>
  <si>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</si>
  <si>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</si>
  <si>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</si>
  <si>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</si>
  <si>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</si>
  <si>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</si>
  <si>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</si>
  <si>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</si>
  <si>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</si>
  <si>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</si>
  <si>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</si>
  <si>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</si>
  <si>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</si>
  <si>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</si>
  <si>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</si>
  <si>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</si>
  <si>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</si>
  <si>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</si>
  <si>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</si>
  <si>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</si>
  <si>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</si>
  <si>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</si>
  <si>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</si>
  <si>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</si>
  <si>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</si>
  <si>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</si>
  <si>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</si>
  <si>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</si>
  <si>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</si>
  <si>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</si>
  <si>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</si>
  <si>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</si>
  <si>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</si>
  <si>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</si>
  <si>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</si>
  <si>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</si>
  <si>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</si>
  <si>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</si>
  <si>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</si>
  <si>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</si>
  <si>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</si>
  <si>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</si>
  <si>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</si>
  <si>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</si>
  <si>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</si>
  <si>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</si>
  <si>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</si>
  <si>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</si>
  <si>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</si>
  <si>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</si>
  <si>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</si>
  <si>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</si>
  <si>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</si>
  <si>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</si>
  <si>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</si>
  <si>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</si>
  <si>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</si>
  <si>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</si>
  <si>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</si>
  <si>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</si>
  <si>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</si>
  <si>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</si>
  <si>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</si>
  <si>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</si>
  <si>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</si>
  <si>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</si>
  <si>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</si>
  <si>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</si>
  <si>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</si>
  <si>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</si>
  <si>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</si>
  <si>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</si>
  <si>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</si>
  <si>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</si>
  <si>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</si>
  <si>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</si>
  <si>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</si>
  <si>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</si>
  <si>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</si>
  <si>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</si>
  <si>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</si>
  <si>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</si>
  <si>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</si>
  <si>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</si>
  <si>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</si>
  <si>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</si>
  <si>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</si>
  <si>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</si>
  <si>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</si>
  <si>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</si>
  <si>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</si>
  <si>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</si>
  <si>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</si>
  <si>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</si>
  <si>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</si>
  <si>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</si>
  <si>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</si>
  <si>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</si>
  <si>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</si>
  <si>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</si>
  <si>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</si>
  <si>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</si>
  <si>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</si>
  <si>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</si>
  <si>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</si>
  <si>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</si>
  <si>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</si>
  <si>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</si>
  <si>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</si>
  <si>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</si>
  <si>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</si>
  <si>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</si>
  <si>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</si>
  <si>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</si>
  <si>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</si>
  <si>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</si>
  <si>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</si>
  <si>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</si>
  <si>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</si>
  <si>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</si>
  <si>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</si>
  <si>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</si>
  <si>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</si>
  <si>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</si>
  <si>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</si>
  <si>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</si>
  <si>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</si>
  <si>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</si>
  <si>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</si>
  <si>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</si>
  <si>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</si>
  <si>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</si>
  <si>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</si>
  <si>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</si>
  <si>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</si>
  <si>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</si>
  <si>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</si>
  <si>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</si>
  <si>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</si>
  <si>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</si>
  <si>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</si>
  <si>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</si>
  <si>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</si>
  <si>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</si>
  <si>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</si>
  <si>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</si>
  <si>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</si>
  <si>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</si>
  <si>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</si>
  <si>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</si>
  <si>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</si>
  <si>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</si>
  <si>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</si>
  <si>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</si>
  <si>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</si>
  <si>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</si>
  <si>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</si>
  <si>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</si>
  <si>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</si>
  <si>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</si>
  <si>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</si>
  <si>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</si>
  <si>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</si>
  <si>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</si>
  <si>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</si>
  <si>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</si>
  <si>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</si>
  <si>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</si>
  <si>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</si>
  <si>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</si>
  <si>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</si>
  <si>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</si>
  <si>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</si>
  <si>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</si>
  <si>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</si>
  <si>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</si>
  <si>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</si>
  <si>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</si>
  <si>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</si>
  <si>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</si>
  <si>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</si>
  <si>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</si>
  <si>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</si>
  <si>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</si>
  <si>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</si>
  <si>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</si>
  <si>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</si>
  <si>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</si>
  <si>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</si>
  <si>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</si>
  <si>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</si>
  <si>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</si>
  <si>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</si>
  <si>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</si>
  <si>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</si>
  <si>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</si>
  <si>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</si>
  <si>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</si>
  <si>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</si>
  <si>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</si>
  <si>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</si>
  <si>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</si>
  <si>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</si>
  <si>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</si>
  <si>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</si>
  <si>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</si>
  <si>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</si>
  <si>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</si>
  <si>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</si>
  <si>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</si>
  <si>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</si>
  <si>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</si>
  <si>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</si>
  <si>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</si>
  <si>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</si>
  <si>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</si>
  <si>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</si>
  <si>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</si>
  <si>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</si>
  <si>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</si>
  <si>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</si>
  <si>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</si>
  <si>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</si>
  <si>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</si>
  <si>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</si>
  <si>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</si>
  <si>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</si>
  <si>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</si>
  <si>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</si>
  <si>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</si>
  <si>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</si>
  <si>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</si>
  <si>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</si>
  <si>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</si>
  <si>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</si>
  <si>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</si>
  <si>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</si>
  <si>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</si>
  <si>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</si>
  <si>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</si>
  <si>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</si>
  <si>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</si>
  <si>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</si>
  <si>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</si>
  <si>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</si>
  <si>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</si>
  <si>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</si>
  <si>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</si>
  <si>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</si>
  <si>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</si>
  <si>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</si>
  <si>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</si>
  <si>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</si>
  <si>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</si>
  <si>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</si>
  <si>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</si>
  <si>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</si>
  <si>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</si>
  <si>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</si>
  <si>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</si>
  <si>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</si>
  <si>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</si>
  <si>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</si>
  <si>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</si>
  <si>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</si>
  <si>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</si>
  <si>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</si>
  <si>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</si>
  <si>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</si>
  <si>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</si>
  <si>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</si>
  <si>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</si>
  <si>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</si>
  <si>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</si>
  <si>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</si>
  <si>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</si>
  <si>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</si>
  <si>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</si>
  <si>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</si>
  <si>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</si>
  <si>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</si>
  <si>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</si>
  <si>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</si>
  <si>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</si>
  <si>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</si>
  <si>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</si>
  <si>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</si>
  <si>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</si>
  <si>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</si>
  <si>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</si>
  <si>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</si>
  <si>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</si>
  <si>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</si>
  <si>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</si>
  <si>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</si>
  <si>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</si>
  <si>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</si>
  <si>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</si>
  <si>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</si>
  <si>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</si>
  <si>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</si>
  <si>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</si>
  <si>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</si>
  <si>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</si>
  <si>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</si>
  <si>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</si>
  <si>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</si>
  <si>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</si>
  <si>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</si>
  <si>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</si>
  <si>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</si>
  <si>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</si>
  <si>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</si>
  <si>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</si>
  <si>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</si>
  <si>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</si>
  <si>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</si>
  <si>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</si>
  <si>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</si>
  <si>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</si>
  <si>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</si>
  <si>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</si>
  <si>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</si>
  <si>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</si>
  <si>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</si>
  <si>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</si>
  <si>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</si>
  <si>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</si>
  <si>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</si>
  <si>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</si>
  <si>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</si>
  <si>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</si>
  <si>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</si>
  <si>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</si>
  <si>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</si>
  <si>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</si>
  <si>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</si>
  <si>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</si>
  <si>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</si>
  <si>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</si>
  <si>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</si>
  <si>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</si>
  <si>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</si>
  <si>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</si>
  <si>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</si>
  <si>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</si>
  <si>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</si>
  <si>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</si>
  <si>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</si>
  <si>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</si>
  <si>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</si>
  <si>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</si>
  <si>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</si>
  <si>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</si>
  <si>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</si>
  <si>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</si>
  <si>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</si>
  <si>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</si>
  <si>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</si>
  <si>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</si>
  <si>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</si>
  <si>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</si>
  <si>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</si>
  <si>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</si>
  <si>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</si>
  <si>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</si>
  <si>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</si>
  <si>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</si>
  <si>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</si>
  <si>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</si>
  <si>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</si>
  <si>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</si>
  <si>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</si>
  <si>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</si>
  <si>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</si>
  <si>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</si>
  <si>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</si>
  <si>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</si>
  <si>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</si>
  <si>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</si>
  <si>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</si>
  <si>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</si>
  <si>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</si>
  <si>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</si>
  <si>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</si>
  <si>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</si>
  <si>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</si>
  <si>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</si>
  <si>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</si>
  <si>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</si>
  <si>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</si>
  <si>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</si>
  <si>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</si>
  <si>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</si>
  <si>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</si>
  <si>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</si>
  <si>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</si>
  <si>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</si>
  <si>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</si>
  <si>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</si>
  <si>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</si>
  <si>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</si>
  <si>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</si>
  <si>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</si>
  <si>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</si>
  <si>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</si>
  <si>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</si>
  <si>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</si>
  <si>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</si>
  <si>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</si>
  <si>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</si>
  <si>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</si>
  <si>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</si>
  <si>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</si>
  <si>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</si>
  <si>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</si>
  <si>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</si>
  <si>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</si>
  <si>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</si>
  <si>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</si>
  <si>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</si>
  <si>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</si>
  <si>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</si>
  <si>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</si>
  <si>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</si>
  <si>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</si>
  <si>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</si>
  <si>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</si>
  <si>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</si>
  <si>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</si>
  <si>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</si>
  <si>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</si>
  <si>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</si>
  <si>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</si>
  <si>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</si>
  <si>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</si>
  <si>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</si>
  <si>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</si>
  <si>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</si>
  <si>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</si>
  <si>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</si>
  <si>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</si>
  <si>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</si>
  <si>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</si>
  <si>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</si>
  <si>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</si>
  <si>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</si>
  <si>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</si>
  <si>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</si>
  <si>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</si>
  <si>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</si>
  <si>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</si>
  <si>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</si>
  <si>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</si>
  <si>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</si>
  <si>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</si>
  <si>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</si>
  <si>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</si>
  <si>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</si>
  <si>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</si>
  <si>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</si>
  <si>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</si>
  <si>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</si>
  <si>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</si>
  <si>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</si>
  <si>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</si>
  <si>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</si>
  <si>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</si>
  <si>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</si>
  <si>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</si>
  <si>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</si>
  <si>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</si>
  <si>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</si>
  <si>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</si>
  <si>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</si>
  <si>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</si>
  <si>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</si>
  <si>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</si>
  <si>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</si>
  <si>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</si>
  <si>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</si>
  <si>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</si>
  <si>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</si>
  <si>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</si>
  <si>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</si>
  <si>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</si>
  <si>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</si>
  <si>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</si>
  <si>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</si>
  <si>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</si>
  <si>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</si>
  <si>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</si>
  <si>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</si>
  <si>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</si>
  <si>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</si>
  <si>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</si>
  <si>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</si>
  <si>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</si>
  <si>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</si>
  <si>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</si>
  <si>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</si>
  <si>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</si>
  <si>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</si>
  <si>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</si>
  <si>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</si>
  <si>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</si>
  <si>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</si>
  <si>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</si>
  <si>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</si>
  <si>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</si>
  <si>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</si>
  <si>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</si>
  <si>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</si>
  <si>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</si>
  <si>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</si>
  <si>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</si>
  <si>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</si>
  <si>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</si>
  <si>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</si>
  <si>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</si>
  <si>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</si>
  <si>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</si>
  <si>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</si>
  <si>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</si>
  <si>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</si>
  <si>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</si>
  <si>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</si>
  <si>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</si>
  <si>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</si>
  <si>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</si>
  <si>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</si>
  <si>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</si>
  <si>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</si>
  <si>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</si>
  <si>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</si>
  <si>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</si>
  <si>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</si>
  <si>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</si>
  <si>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</si>
  <si>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</si>
  <si>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</si>
  <si>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</si>
  <si>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</si>
  <si>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</si>
  <si>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</si>
  <si>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</si>
  <si>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</si>
  <si>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</si>
  <si>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</si>
  <si>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</si>
  <si>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</si>
  <si>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</si>
  <si>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</si>
  <si>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</si>
  <si>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</si>
  <si>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</si>
  <si>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</si>
  <si>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</si>
  <si>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</si>
  <si>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</si>
  <si>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</si>
  <si>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</si>
  <si>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</si>
  <si>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</si>
  <si>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</si>
  <si>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</si>
  <si>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</si>
  <si>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</si>
  <si>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</si>
  <si>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</si>
  <si>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</si>
  <si>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</si>
  <si>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</si>
  <si>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</si>
  <si>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</si>
  <si>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</si>
  <si>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</si>
  <si>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</si>
  <si>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</si>
  <si>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</si>
  <si>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</si>
  <si>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</si>
  <si>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</si>
  <si>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</si>
  <si>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</si>
  <si>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</si>
  <si>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</si>
  <si>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</si>
  <si>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</si>
  <si>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</si>
  <si>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</si>
  <si>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</si>
  <si>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</si>
  <si>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</si>
  <si>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</si>
  <si>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</si>
  <si>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</si>
  <si>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</si>
  <si>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</si>
  <si>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</si>
  <si>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</si>
  <si>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</si>
  <si>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</si>
  <si>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</si>
  <si>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</si>
  <si>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</si>
  <si>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</si>
  <si>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</si>
  <si>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</si>
  <si>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</si>
  <si>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</si>
  <si>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</si>
  <si>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</si>
  <si>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</si>
  <si>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</si>
  <si>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</si>
  <si>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</si>
  <si>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</si>
  <si>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</si>
  <si>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</si>
  <si>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</si>
  <si>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</si>
  <si>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</si>
  <si>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</si>
  <si>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</si>
  <si>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</si>
  <si>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</si>
  <si>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</si>
  <si>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</si>
  <si>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</si>
  <si>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</si>
  <si>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</si>
  <si>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</si>
  <si>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</si>
  <si>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</si>
  <si>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</si>
  <si>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</si>
  <si>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</si>
  <si>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</si>
  <si>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</si>
  <si>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</si>
  <si>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</si>
  <si>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</si>
  <si>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</si>
  <si>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</si>
  <si>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</si>
  <si>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</si>
  <si>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</si>
  <si>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</si>
  <si>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</si>
  <si>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</si>
  <si>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</si>
  <si>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</si>
  <si>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</si>
  <si>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</si>
  <si>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</si>
  <si>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</si>
  <si>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</si>
  <si>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</si>
  <si>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</si>
  <si>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</si>
  <si>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</si>
  <si>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</si>
  <si>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</si>
  <si>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</si>
  <si>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</si>
  <si>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</si>
  <si>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</si>
  <si>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</si>
  <si>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</si>
  <si>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</si>
  <si>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</si>
  <si>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</si>
  <si>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</si>
  <si>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</si>
  <si>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</si>
  <si>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</si>
  <si>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</si>
  <si>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</si>
  <si>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</si>
  <si>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</si>
  <si>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</si>
  <si>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</si>
  <si>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</si>
  <si>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</si>
  <si>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</si>
  <si>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</si>
  <si>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</si>
  <si>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</si>
  <si>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</si>
  <si>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</si>
  <si>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</si>
  <si>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</si>
  <si>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</si>
  <si>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</si>
  <si>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</si>
  <si>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</si>
  <si>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</si>
  <si>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</si>
  <si>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</si>
  <si>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</si>
  <si>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</si>
  <si>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</si>
  <si>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</si>
  <si>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</si>
  <si>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</si>
  <si>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</si>
  <si>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</si>
  <si>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</si>
  <si>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</si>
  <si>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</si>
  <si>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</si>
  <si>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</si>
  <si>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</si>
  <si>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</si>
  <si>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</si>
  <si>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</si>
  <si>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</si>
  <si>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</si>
  <si>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</si>
  <si>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</si>
  <si>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</si>
  <si>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</si>
  <si>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</si>
  <si>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</si>
  <si>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</si>
  <si>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</si>
  <si>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</si>
  <si>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</si>
  <si>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</si>
  <si>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</si>
  <si>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</si>
  <si>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</si>
  <si>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</si>
  <si>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</si>
  <si>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</si>
  <si>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</si>
  <si>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</si>
  <si>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</si>
  <si>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</si>
  <si>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</si>
  <si>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</si>
  <si>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</si>
  <si>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</si>
  <si>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</si>
  <si>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</si>
  <si>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</si>
  <si>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</si>
  <si>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</si>
  <si>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</si>
  <si>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</si>
  <si>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</si>
  <si>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</si>
  <si>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</si>
  <si>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</si>
  <si>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</si>
  <si>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</si>
  <si>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</si>
  <si>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</si>
  <si>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</si>
  <si>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</si>
  <si>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</si>
  <si>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</si>
  <si>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</si>
  <si>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</si>
  <si>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</si>
  <si>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</si>
  <si>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</si>
  <si>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</si>
  <si>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</si>
  <si>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</si>
  <si>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</si>
  <si>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</si>
  <si>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</si>
  <si>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</si>
  <si>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</si>
  <si>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</si>
  <si>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</si>
  <si>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</si>
  <si>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</si>
  <si>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</si>
  <si>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</si>
  <si>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</si>
  <si>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</si>
  <si>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</si>
  <si>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</si>
  <si>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</si>
  <si>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</si>
  <si>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</si>
  <si>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</si>
  <si>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</si>
  <si>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</si>
  <si>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</si>
  <si>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</si>
  <si>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</si>
  <si>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</si>
  <si>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</si>
  <si>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</si>
  <si>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</si>
  <si>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</si>
  <si>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</si>
  <si>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</si>
  <si>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</si>
  <si>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</si>
  <si>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</si>
  <si>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</si>
  <si>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</si>
  <si>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</si>
  <si>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</si>
  <si>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</si>
  <si>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</si>
  <si>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</si>
  <si>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</si>
  <si>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</si>
  <si>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</si>
  <si>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</si>
  <si>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</si>
  <si>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</si>
  <si>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</si>
  <si>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</si>
  <si>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</si>
  <si>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</si>
  <si>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</si>
  <si>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</si>
  <si>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</si>
  <si>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</si>
  <si>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</si>
  <si>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</si>
  <si>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</si>
  <si>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</si>
  <si>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</si>
  <si>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</si>
  <si>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</si>
  <si>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</si>
  <si>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</si>
  <si>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</si>
  <si>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</si>
  <si>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</si>
  <si>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</si>
  <si>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</si>
  <si>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</si>
  <si>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</si>
  <si>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</si>
  <si>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</si>
  <si>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</si>
  <si>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</si>
  <si>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</si>
  <si>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</si>
  <si>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</si>
  <si>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</si>
  <si>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</si>
  <si>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</si>
  <si>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</si>
  <si>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</si>
  <si>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</si>
  <si>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</si>
  <si>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</si>
  <si>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</si>
  <si>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</si>
  <si>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</si>
  <si>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</si>
  <si>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</si>
  <si>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</si>
  <si>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</si>
  <si>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</si>
  <si>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</si>
  <si>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</si>
  <si>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</si>
  <si>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</si>
  <si>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</si>
  <si>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</si>
  <si>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</si>
  <si>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</si>
  <si>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</si>
  <si>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</si>
  <si>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</si>
  <si>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</si>
  <si>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</si>
  <si>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</si>
  <si>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</si>
  <si>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</si>
  <si>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</si>
  <si>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</si>
  <si>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</si>
  <si>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</si>
  <si>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</si>
  <si>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</si>
  <si>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</si>
  <si>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</si>
  <si>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</si>
  <si>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</si>
  <si>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</si>
  <si>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</si>
  <si>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</si>
  <si>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</si>
  <si>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</si>
  <si>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</si>
  <si>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</si>
  <si>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</si>
  <si>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</si>
  <si>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</si>
  <si>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</si>
  <si>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</si>
  <si>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</si>
  <si>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</si>
  <si>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</si>
  <si>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</si>
  <si>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</si>
  <si>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</si>
  <si>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</si>
  <si>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</si>
  <si>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</si>
  <si>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</si>
  <si>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</si>
  <si>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</si>
  <si>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</si>
  <si>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</si>
  <si>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</si>
  <si>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</si>
  <si>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</si>
  <si>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</si>
  <si>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</si>
  <si>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</si>
  <si>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</si>
  <si>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</si>
  <si>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</si>
  <si>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</si>
  <si>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</si>
  <si>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</si>
  <si>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</si>
  <si>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</si>
  <si>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</si>
  <si>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</si>
  <si>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</si>
  <si>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</si>
  <si>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</si>
  <si>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</si>
  <si>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</si>
  <si>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</si>
  <si>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</si>
  <si>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</si>
  <si>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</si>
  <si>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</si>
  <si>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</si>
  <si>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</si>
  <si>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</si>
  <si>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</si>
  <si>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</si>
  <si>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</si>
  <si>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</si>
  <si>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</si>
  <si>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</si>
  <si>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</si>
  <si>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</si>
  <si>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</si>
  <si>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</si>
  <si>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</si>
  <si>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</si>
  <si>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</si>
  <si>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</si>
  <si>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</si>
  <si>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</si>
  <si>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</si>
  <si>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</si>
  <si>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</si>
  <si>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</si>
  <si>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</si>
  <si>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</si>
  <si>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</si>
  <si>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</si>
  <si>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</si>
  <si>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</si>
  <si>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</si>
  <si>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</si>
  <si>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</si>
  <si>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</si>
  <si>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</si>
  <si>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</si>
  <si>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</si>
  <si>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</si>
  <si>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</si>
  <si>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</si>
  <si>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</si>
  <si>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</si>
  <si>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</si>
  <si>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</si>
  <si>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</si>
  <si>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</si>
  <si>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</si>
  <si>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</si>
  <si>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</si>
  <si>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</si>
  <si>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</si>
  <si>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</si>
  <si>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</si>
  <si>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</si>
  <si>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</si>
  <si>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</si>
  <si>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</si>
  <si>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</si>
  <si>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</si>
  <si>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</si>
  <si>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</si>
  <si>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</si>
  <si>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</si>
  <si>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</si>
  <si>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</si>
  <si>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</si>
  <si>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</si>
  <si>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</si>
  <si>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</si>
  <si>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</si>
  <si>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</si>
  <si>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</si>
  <si>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</si>
  <si>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</si>
  <si>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</si>
  <si>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</si>
  <si>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</si>
  <si>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</si>
  <si>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</si>
  <si>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</si>
  <si>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</si>
  <si>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</si>
  <si>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</si>
  <si>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</si>
  <si>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</si>
  <si>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</si>
  <si>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</si>
  <si>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</si>
  <si>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</si>
  <si>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</si>
  <si>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</si>
  <si>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</si>
  <si>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</si>
  <si>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</si>
  <si>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</si>
  <si>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</si>
  <si>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</si>
  <si>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</si>
  <si>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</si>
  <si>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</si>
  <si>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</si>
  <si>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</si>
  <si>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</si>
  <si>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</si>
  <si>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</si>
  <si>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</si>
  <si>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</si>
  <si>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</si>
  <si>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</si>
  <si>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</si>
  <si>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</si>
  <si>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</si>
  <si>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</si>
  <si>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</si>
  <si>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</si>
  <si>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</si>
  <si>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</si>
  <si>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</si>
  <si>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</si>
  <si>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</si>
  <si>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</si>
  <si>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</si>
  <si>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</si>
  <si>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</si>
  <si>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</si>
  <si>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</si>
  <si>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</si>
  <si>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</si>
  <si>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</si>
  <si>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</si>
  <si>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</si>
  <si>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</si>
  <si>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</si>
  <si>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</si>
  <si>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</si>
  <si>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</si>
  <si>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</si>
  <si>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</si>
  <si>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</si>
  <si>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</si>
  <si>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</si>
  <si>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</si>
  <si>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</si>
  <si>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</si>
  <si>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</si>
  <si>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</si>
  <si>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</si>
  <si>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</si>
  <si>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</si>
  <si>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</si>
  <si>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</si>
  <si>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</si>
  <si>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</si>
  <si>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</si>
  <si>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</si>
  <si>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</si>
  <si>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</si>
  <si>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</si>
  <si>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</si>
  <si>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</si>
  <si>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</si>
  <si>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</si>
  <si>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</si>
  <si>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</si>
  <si>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</si>
  <si>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</si>
  <si>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</si>
  <si>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</si>
  <si>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</si>
  <si>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</si>
  <si>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</si>
  <si>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</si>
  <si>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</si>
  <si>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</si>
  <si>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</si>
  <si>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</si>
  <si>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</si>
  <si>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</si>
  <si>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</si>
  <si>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</si>
  <si>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</si>
  <si>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</si>
  <si>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</si>
  <si>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</si>
  <si>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</si>
  <si>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</si>
  <si>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</si>
  <si>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</si>
  <si>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</si>
  <si>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</si>
  <si>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</si>
  <si>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</si>
  <si>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</si>
  <si>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</si>
  <si>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</si>
  <si>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</si>
  <si>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</si>
  <si>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</si>
  <si>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</si>
  <si>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</si>
  <si>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</si>
  <si>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</si>
  <si>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</si>
  <si>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</si>
  <si>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</si>
  <si>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</si>
  <si>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</si>
  <si>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</si>
  <si>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</si>
  <si>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</si>
  <si>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</si>
  <si>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</si>
  <si>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</si>
  <si>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</si>
  <si>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</si>
  <si>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</si>
  <si>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</si>
  <si>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</si>
  <si>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</si>
  <si>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</si>
  <si>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</si>
  <si>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</si>
  <si>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</si>
  <si>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</si>
  <si>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</si>
  <si>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</si>
  <si>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</si>
  <si>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</si>
  <si>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</si>
  <si>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</si>
  <si>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</si>
  <si>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</si>
  <si>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</si>
  <si>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</si>
  <si>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</si>
  <si>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</si>
  <si>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</si>
  <si>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</si>
  <si>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</si>
  <si>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</si>
  <si>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</si>
  <si>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</si>
  <si>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</si>
  <si>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</si>
  <si>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</si>
  <si>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</si>
  <si>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</si>
  <si>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</si>
  <si>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</si>
  <si>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</si>
  <si>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</si>
  <si>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</si>
  <si>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</si>
  <si>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</si>
  <si>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</si>
  <si>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</si>
  <si>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</si>
  <si>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</si>
  <si>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</si>
  <si>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</si>
  <si>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</si>
  <si>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</si>
  <si>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</si>
  <si>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</si>
  <si>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</si>
  <si>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</si>
  <si>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</si>
  <si>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</si>
  <si>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</si>
  <si>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</si>
  <si>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</si>
  <si>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</si>
  <si>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</si>
  <si>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</si>
  <si>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</si>
  <si>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</si>
  <si>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</si>
  <si>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</si>
  <si>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</si>
  <si>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</si>
  <si>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</si>
  <si>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</si>
  <si>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</si>
  <si>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</si>
  <si>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</si>
  <si>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</si>
  <si>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</si>
  <si>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</si>
  <si>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</si>
  <si>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</si>
  <si>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</si>
  <si>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</si>
  <si>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</si>
  <si>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</si>
  <si>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</si>
  <si>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</si>
  <si>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</si>
  <si>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</si>
  <si>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</si>
  <si>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</si>
  <si>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</si>
  <si>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</si>
  <si>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</si>
  <si>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</si>
  <si>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</si>
  <si>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</si>
  <si>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</si>
  <si>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</si>
  <si>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</si>
  <si>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</si>
  <si>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</si>
  <si>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</si>
  <si>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</si>
  <si>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</si>
  <si>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</si>
  <si>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</si>
  <si>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</si>
  <si>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</si>
  <si>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</si>
  <si>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</si>
  <si>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</si>
  <si>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</si>
  <si>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</si>
  <si>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</si>
  <si>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</si>
  <si>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</si>
  <si>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</si>
  <si>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</si>
  <si>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</si>
  <si>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</si>
  <si>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</si>
  <si>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</si>
  <si>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</si>
  <si>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</si>
  <si>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</si>
  <si>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</si>
  <si>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</si>
  <si>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</si>
  <si>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</si>
  <si>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</si>
  <si>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</si>
  <si>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</si>
  <si>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</si>
  <si>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</si>
  <si>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</si>
  <si>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</si>
  <si>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</si>
  <si>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</si>
  <si>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</si>
  <si>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</si>
  <si>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</si>
  <si>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</si>
  <si>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</si>
  <si>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</si>
  <si>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</si>
  <si>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</si>
  <si>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</si>
  <si>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</si>
  <si>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</si>
  <si>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</si>
  <si>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</si>
  <si>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</si>
  <si>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</si>
  <si>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</si>
  <si>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</si>
  <si>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</si>
  <si>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</si>
  <si>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</si>
  <si>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</si>
  <si>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</si>
  <si>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</si>
  <si>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</si>
  <si>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</si>
  <si>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</si>
  <si>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</si>
  <si>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</si>
  <si>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</si>
  <si>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</si>
  <si>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</si>
  <si>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</si>
  <si>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</si>
  <si>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</si>
  <si>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</si>
  <si>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</si>
  <si>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</si>
  <si>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</si>
  <si>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</si>
  <si>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</si>
  <si>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</si>
  <si>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</si>
  <si>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</si>
  <si>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</si>
  <si>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</si>
  <si>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</si>
  <si>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</si>
  <si>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</si>
  <si>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</si>
  <si>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</si>
  <si>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</si>
  <si>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</si>
  <si>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</si>
  <si>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</si>
  <si>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</si>
  <si>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</si>
  <si>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</si>
  <si>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</si>
  <si>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</si>
  <si>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</si>
  <si>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</si>
  <si>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</si>
  <si>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</si>
  <si>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</si>
  <si>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</si>
  <si>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</si>
  <si>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</si>
  <si>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</si>
  <si>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</si>
  <si>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</si>
  <si>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</si>
  <si>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</si>
  <si>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</si>
  <si>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</si>
  <si>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</si>
  <si>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</si>
  <si>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</si>
  <si>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</si>
  <si>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</si>
  <si>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</si>
  <si>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</si>
  <si>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</si>
  <si>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</si>
  <si>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</si>
  <si>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</si>
  <si>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</si>
  <si>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</si>
  <si>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</si>
  <si>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</si>
  <si>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</si>
  <si>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</si>
  <si>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</si>
  <si>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</si>
  <si>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</si>
  <si>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</si>
  <si>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</si>
  <si>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</si>
  <si>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</si>
  <si>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</si>
  <si>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</si>
  <si>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</si>
  <si>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</si>
  <si>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</si>
  <si>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</si>
  <si>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</si>
  <si>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</si>
  <si>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</si>
  <si>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</si>
  <si>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</si>
  <si>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</si>
  <si>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</si>
  <si>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</si>
  <si>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</si>
  <si>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</si>
  <si>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</si>
  <si>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</si>
  <si>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</si>
  <si>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</si>
  <si>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</si>
  <si>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</si>
  <si>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</si>
  <si>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</si>
  <si>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</si>
  <si>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</si>
  <si>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</si>
  <si>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</si>
  <si>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</si>
  <si>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</si>
  <si>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</si>
  <si>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</si>
  <si>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</si>
  <si>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</si>
  <si>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</si>
  <si>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</si>
  <si>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</si>
  <si>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</si>
  <si>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</si>
  <si>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</si>
  <si>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</si>
  <si>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</si>
  <si>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</si>
  <si>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</si>
  <si>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</si>
  <si>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</si>
  <si>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</si>
  <si>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</si>
  <si>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</si>
  <si>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</si>
  <si>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</si>
  <si>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</si>
  <si>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</si>
  <si>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</si>
  <si>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</si>
  <si>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</si>
  <si>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</si>
  <si>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</si>
  <si>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</si>
  <si>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</si>
  <si>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</si>
  <si>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</si>
  <si>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</si>
  <si>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</si>
  <si>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</si>
  <si>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</si>
  <si>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</si>
  <si>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</si>
  <si>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</si>
  <si>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</si>
  <si>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</si>
  <si>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</si>
  <si>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</si>
  <si>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</si>
  <si>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</si>
  <si>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</si>
  <si>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</si>
  <si>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</si>
  <si>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</si>
  <si>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</si>
  <si>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</si>
  <si>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</si>
  <si>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</si>
  <si>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</si>
  <si>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</si>
  <si>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</si>
  <si>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</si>
  <si>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</si>
  <si>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</si>
  <si>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</si>
  <si>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</si>
  <si>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</si>
  <si>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</si>
  <si>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</si>
  <si>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</si>
  <si>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</si>
  <si>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</si>
  <si>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</si>
  <si>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</si>
  <si>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</si>
  <si>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</si>
  <si>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</si>
  <si>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</si>
  <si>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</si>
  <si>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</si>
  <si>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</si>
  <si>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</si>
  <si>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</si>
  <si>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</si>
  <si>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</si>
  <si>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</si>
  <si>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</si>
  <si>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</si>
  <si>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</si>
  <si>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</si>
  <si>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</si>
  <si>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</si>
  <si>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</si>
  <si>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</si>
  <si>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</si>
  <si>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</si>
  <si>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</si>
  <si>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</si>
  <si>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</si>
  <si>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</si>
  <si>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</si>
  <si>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</si>
  <si>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</si>
  <si>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</si>
  <si>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</si>
  <si>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</si>
  <si>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</si>
  <si>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</si>
  <si>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</si>
  <si>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</si>
  <si>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</si>
  <si>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</si>
  <si>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</si>
  <si>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</si>
  <si>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</si>
  <si>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</si>
  <si>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</si>
  <si>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</si>
  <si>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</si>
  <si>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</si>
  <si>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</si>
  <si>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</si>
  <si>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</si>
  <si>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</si>
  <si>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</si>
  <si>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</si>
  <si>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</si>
  <si>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</si>
  <si>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</si>
  <si>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</si>
  <si>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</si>
  <si>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</si>
  <si>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</si>
  <si>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</si>
  <si>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</si>
  <si>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</si>
  <si>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</si>
  <si>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</si>
  <si>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</si>
  <si>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</si>
  <si>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</si>
  <si>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</si>
  <si>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</si>
  <si>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</si>
  <si>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</si>
  <si>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</si>
  <si>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</si>
  <si>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</si>
  <si>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</si>
  <si>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</si>
  <si>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</si>
  <si>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</si>
  <si>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</si>
  <si>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</si>
  <si>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</si>
  <si>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</si>
  <si>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</si>
  <si>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</si>
  <si>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</si>
  <si>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</si>
  <si>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</si>
  <si>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</si>
  <si>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</si>
  <si>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</si>
  <si>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</si>
  <si>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</si>
  <si>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</si>
  <si>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</si>
  <si>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</si>
  <si>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</si>
  <si>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</si>
  <si>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</si>
  <si>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</si>
  <si>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</si>
  <si>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</si>
  <si>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</si>
  <si>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</si>
  <si>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</si>
  <si>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</si>
  <si>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</si>
  <si>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</si>
  <si>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</si>
  <si>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</si>
  <si>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</si>
  <si>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</si>
  <si>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</si>
  <si>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</si>
  <si>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</si>
  <si>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</si>
  <si>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</si>
  <si>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</si>
  <si>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</si>
  <si>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</si>
  <si>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</si>
  <si>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</si>
  <si>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</si>
  <si>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</si>
  <si>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</si>
  <si>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</si>
  <si>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</si>
  <si>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</si>
  <si>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</si>
  <si>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</si>
  <si>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</si>
  <si>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</si>
  <si>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</si>
  <si>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</si>
  <si>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</si>
  <si>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</si>
  <si>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</si>
  <si>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</si>
  <si>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</si>
  <si>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</si>
  <si>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</si>
  <si>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</si>
  <si>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</si>
  <si>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</si>
  <si>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</si>
  <si>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</si>
  <si>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</si>
  <si>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</si>
  <si>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</si>
  <si>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</si>
  <si>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</si>
  <si>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</si>
  <si>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</si>
  <si>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</si>
  <si>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</si>
  <si>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</si>
  <si>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</si>
  <si>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</si>
  <si>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</si>
  <si>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</si>
  <si>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</si>
  <si>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</si>
  <si>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</si>
  <si>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</si>
  <si>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</si>
  <si>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</si>
  <si>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</si>
  <si>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</si>
  <si>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</si>
  <si>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</si>
  <si>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</si>
  <si>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</si>
  <si>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</si>
  <si>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</si>
  <si>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</si>
  <si>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</si>
  <si>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</si>
  <si>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</si>
  <si>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</si>
  <si>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</si>
  <si>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</si>
  <si>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</si>
  <si>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</si>
  <si>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</si>
  <si>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</si>
  <si>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</si>
  <si>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</si>
  <si>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</si>
  <si>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</si>
  <si>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</si>
  <si>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</si>
  <si>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</si>
  <si>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</si>
  <si>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</si>
  <si>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</si>
  <si>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</si>
  <si>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</si>
  <si>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</si>
  <si>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</si>
  <si>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</si>
  <si>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</si>
  <si>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</si>
  <si>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</si>
  <si>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</si>
  <si>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</si>
  <si>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</si>
  <si>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</si>
  <si>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</si>
  <si>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</si>
  <si>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</si>
  <si>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</si>
  <si>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</si>
  <si>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</si>
  <si>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</si>
  <si>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</si>
  <si>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</si>
  <si>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</si>
  <si>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</si>
  <si>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</si>
  <si>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</si>
  <si>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</si>
  <si>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</si>
  <si>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</si>
  <si>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</si>
  <si>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</si>
  <si>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</si>
  <si>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</si>
  <si>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</si>
  <si>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</si>
  <si>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</si>
  <si>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</si>
  <si>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</si>
  <si>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</si>
  <si>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</si>
  <si>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</si>
  <si>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</si>
  <si>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</si>
  <si>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</si>
  <si>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</si>
  <si>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</si>
  <si>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</si>
  <si>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</si>
  <si>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</si>
  <si>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</si>
  <si>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</si>
  <si>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</si>
  <si>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</si>
  <si>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</si>
  <si>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</si>
  <si>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</si>
  <si>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</si>
  <si>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</si>
  <si>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</si>
  <si>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</si>
  <si>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</si>
  <si>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</si>
  <si>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</si>
  <si>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</si>
  <si>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</si>
  <si>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</si>
  <si>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</si>
  <si>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</si>
  <si>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</si>
  <si>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</si>
  <si>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</si>
  <si>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</si>
  <si>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</si>
  <si>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</si>
  <si>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</si>
  <si>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</si>
  <si>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</si>
  <si>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</si>
  <si>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</si>
  <si>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</si>
  <si>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</si>
  <si>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</si>
  <si>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</si>
  <si>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</si>
  <si>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</si>
  <si>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</si>
  <si>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</si>
  <si>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</si>
  <si>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</si>
  <si>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</si>
  <si>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</si>
  <si>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</si>
  <si>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</si>
  <si>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</si>
  <si>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</si>
  <si>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</si>
  <si>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</si>
  <si>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</si>
  <si>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</si>
  <si>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</si>
  <si>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</si>
  <si>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</si>
  <si>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</si>
  <si>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</si>
  <si>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</si>
  <si>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</si>
  <si>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</si>
  <si>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</si>
  <si>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</si>
  <si>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</si>
  <si>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</si>
  <si>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</si>
  <si>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</si>
  <si>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</si>
  <si>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</si>
  <si>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</si>
  <si>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</si>
  <si>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</si>
  <si>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</si>
  <si>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</si>
  <si>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</si>
  <si>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</si>
  <si>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</si>
  <si>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</si>
  <si>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</si>
  <si>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</si>
  <si>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</si>
  <si>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</si>
  <si>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</si>
  <si>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</si>
  <si>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</si>
  <si>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</si>
  <si>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</si>
  <si>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</si>
  <si>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</si>
  <si>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</si>
  <si>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</si>
  <si>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</si>
  <si>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</si>
  <si>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</si>
  <si>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</si>
  <si>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</si>
  <si>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</si>
  <si>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</si>
  <si>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</si>
  <si>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</si>
  <si>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</si>
  <si>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</si>
  <si>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</si>
  <si>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</si>
  <si>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</si>
  <si>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</si>
  <si>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</si>
  <si>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</si>
  <si>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</si>
  <si>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</si>
  <si>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</si>
  <si>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</si>
  <si>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</si>
  <si>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</si>
  <si>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</si>
  <si>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</si>
  <si>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</si>
  <si>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</si>
  <si>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</si>
  <si>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</si>
  <si>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</si>
  <si>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</si>
  <si>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</si>
  <si>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</si>
  <si>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</si>
  <si>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</si>
  <si>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</si>
  <si>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</si>
  <si>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</si>
  <si>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</si>
  <si>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</si>
  <si>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</si>
  <si>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</si>
  <si>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</si>
  <si>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</si>
  <si>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</si>
  <si>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</si>
  <si>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</si>
  <si>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</si>
  <si>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</si>
  <si>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</si>
  <si>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</si>
  <si>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</si>
  <si>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</si>
  <si>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</si>
  <si>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</si>
  <si>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</si>
  <si>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</si>
  <si>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</si>
  <si>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</si>
  <si>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</si>
  <si>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</si>
  <si>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</si>
  <si>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</si>
  <si>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</si>
  <si>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</si>
  <si>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</si>
  <si>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</si>
  <si>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</si>
  <si>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</si>
  <si>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</si>
  <si>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</si>
  <si>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</si>
  <si>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</si>
  <si>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</si>
  <si>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</si>
  <si>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</si>
  <si>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</si>
  <si>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</si>
  <si>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</si>
  <si>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</si>
  <si>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</si>
  <si>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</si>
  <si>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</si>
  <si>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</si>
  <si>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</si>
  <si>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</si>
  <si>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</si>
  <si>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</si>
  <si>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</si>
  <si>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</si>
  <si>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</si>
  <si>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</si>
  <si>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</si>
  <si>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</si>
  <si>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</si>
  <si>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</si>
  <si>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</si>
  <si>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</si>
  <si>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</si>
  <si>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</si>
  <si>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</si>
  <si>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</si>
  <si>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</si>
  <si>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</si>
  <si>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</si>
  <si>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</si>
  <si>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</si>
  <si>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</si>
  <si>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</si>
  <si>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</si>
  <si>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</si>
  <si>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</si>
  <si>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</si>
  <si>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</si>
  <si>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</si>
  <si>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</si>
  <si>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</si>
  <si>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</si>
  <si>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</si>
  <si>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</si>
  <si>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</si>
  <si>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</si>
  <si>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</si>
  <si>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</si>
  <si>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</si>
  <si>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</si>
  <si>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</si>
  <si>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</si>
  <si>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</si>
  <si>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</si>
  <si>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</si>
  <si>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</si>
  <si>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</si>
  <si>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</si>
  <si>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</si>
  <si>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</si>
  <si>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</si>
  <si>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</si>
  <si>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</si>
  <si>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</si>
  <si>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</si>
  <si>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</si>
  <si>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</si>
  <si>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</si>
  <si>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</si>
  <si>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</si>
  <si>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</si>
  <si>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</si>
  <si>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</si>
  <si>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</si>
  <si>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</si>
  <si>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</si>
  <si>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</si>
  <si>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</si>
  <si>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</si>
  <si>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</si>
  <si>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</si>
  <si>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</si>
  <si>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</si>
  <si>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</si>
  <si>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</si>
  <si>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</si>
  <si>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</si>
  <si>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</si>
  <si>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</si>
  <si>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</si>
  <si>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</si>
  <si>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</si>
  <si>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</si>
  <si>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</si>
  <si>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</si>
  <si>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</si>
  <si>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</si>
  <si>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</si>
  <si>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</si>
  <si>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</si>
  <si>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</si>
  <si>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</si>
  <si>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</si>
  <si>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</si>
  <si>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</si>
  <si>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</si>
  <si>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</si>
  <si>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</si>
  <si>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</si>
  <si>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</si>
  <si>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</si>
  <si>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</si>
  <si>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</si>
  <si>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</si>
  <si>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</si>
  <si>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</si>
  <si>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</si>
  <si>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</si>
  <si>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</si>
  <si>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</si>
  <si>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</si>
  <si>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</si>
  <si>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</si>
  <si>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</si>
  <si>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</si>
  <si>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</si>
  <si>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</si>
  <si>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</si>
  <si>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</si>
  <si>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</si>
  <si>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</si>
  <si>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</si>
  <si>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</si>
  <si>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</si>
  <si>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</si>
  <si>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</si>
  <si>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</si>
  <si>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</si>
  <si>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</si>
  <si>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</si>
  <si>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</si>
  <si>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</si>
  <si>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</si>
  <si>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</si>
  <si>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</si>
  <si>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</si>
  <si>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</si>
  <si>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</si>
  <si>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</si>
  <si>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</si>
  <si>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</si>
  <si>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</si>
  <si>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</si>
  <si>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</si>
  <si>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</si>
  <si>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</si>
  <si>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</si>
  <si>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</si>
  <si>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</si>
  <si>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</si>
  <si>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</si>
  <si>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</si>
  <si>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</si>
  <si>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</si>
  <si>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</si>
  <si>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</si>
  <si>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</si>
  <si>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</si>
  <si>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</si>
  <si>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</si>
  <si>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</si>
  <si>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</si>
  <si>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</si>
  <si>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</si>
  <si>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</si>
  <si>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</si>
  <si>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</si>
  <si>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</si>
  <si>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</si>
  <si>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</si>
  <si>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</si>
  <si>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</si>
  <si>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</si>
  <si>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</si>
  <si>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</si>
  <si>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</si>
  <si>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</si>
  <si>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</si>
  <si>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</si>
  <si>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</si>
  <si>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</si>
  <si>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</si>
  <si>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</si>
  <si>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</si>
  <si>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</si>
  <si>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</si>
  <si>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</si>
  <si>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</si>
  <si>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</si>
  <si>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</si>
  <si>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</si>
  <si>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</si>
  <si>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</si>
  <si>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</si>
  <si>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</si>
  <si>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</si>
  <si>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</si>
  <si>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</si>
  <si>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</si>
  <si>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</si>
  <si>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</si>
  <si>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</si>
  <si>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</si>
  <si>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</si>
  <si>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</si>
  <si>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</si>
  <si>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</si>
  <si>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</si>
  <si>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</si>
  <si>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</si>
  <si>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</si>
  <si>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</si>
  <si>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</si>
  <si>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</si>
  <si>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</si>
  <si>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</si>
  <si>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</si>
  <si>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</si>
  <si>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</si>
  <si>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</si>
  <si>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</si>
  <si>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</si>
  <si>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</si>
  <si>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</si>
  <si>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</si>
  <si>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</si>
  <si>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</si>
  <si>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</si>
  <si>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</si>
  <si>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</si>
  <si>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</si>
  <si>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</si>
  <si>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</si>
  <si>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</si>
  <si>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</si>
  <si>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</si>
  <si>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</si>
  <si>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</si>
  <si>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</si>
  <si>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</si>
  <si>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</si>
  <si>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</si>
  <si>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</si>
  <si>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</si>
  <si>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</si>
  <si>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</si>
  <si>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</si>
  <si>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</si>
  <si>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</si>
  <si>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</si>
  <si>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</si>
  <si>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</si>
  <si>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</si>
  <si>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</si>
  <si>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</si>
  <si>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</si>
  <si>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</si>
  <si>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</si>
  <si>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</si>
  <si>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</si>
  <si>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</si>
  <si>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</si>
  <si>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</si>
  <si>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</si>
  <si>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</si>
  <si>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</si>
  <si>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</si>
  <si>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</si>
  <si>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</si>
  <si>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</si>
  <si>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</si>
  <si>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</si>
  <si>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</si>
  <si>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</si>
  <si>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</si>
  <si>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</si>
  <si>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</si>
  <si>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</si>
  <si>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</si>
  <si>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</si>
  <si>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</si>
  <si>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</si>
  <si>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</si>
  <si>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</si>
  <si>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</si>
  <si>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</si>
  <si>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</si>
  <si>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</si>
  <si>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</si>
  <si>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</si>
  <si>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</si>
  <si>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</si>
  <si>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</si>
  <si>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</si>
  <si>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</si>
  <si>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</si>
  <si>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</si>
  <si>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</si>
  <si>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</si>
  <si>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</si>
  <si>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</si>
  <si>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</si>
  <si>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</si>
  <si>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</si>
  <si>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</si>
  <si>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</si>
  <si>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</si>
  <si>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</si>
  <si>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</si>
  <si>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</si>
  <si>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</si>
  <si>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</si>
  <si>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</si>
  <si>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</si>
  <si>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</si>
  <si>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</si>
  <si>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</si>
  <si>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</si>
  <si>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</si>
  <si>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</si>
  <si>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</si>
  <si>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</si>
  <si>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</si>
  <si>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</si>
  <si>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</si>
  <si>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</si>
  <si>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</si>
  <si>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</si>
  <si>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</si>
  <si>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</si>
  <si>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</si>
  <si>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</si>
  <si>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</si>
  <si>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</si>
  <si>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</si>
  <si>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</si>
  <si>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</si>
  <si>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</si>
  <si>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</si>
  <si>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</si>
  <si>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</si>
  <si>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</si>
  <si>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</si>
  <si>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</si>
  <si>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</si>
  <si>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</si>
  <si>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</si>
  <si>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</si>
  <si>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</si>
  <si>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</si>
  <si>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</si>
  <si>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</si>
  <si>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</si>
  <si>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</si>
  <si>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</si>
  <si>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</si>
  <si>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</si>
  <si>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</si>
  <si>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</si>
  <si>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</si>
  <si>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</si>
  <si>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</si>
  <si>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</si>
  <si>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</si>
  <si>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</si>
  <si>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</si>
  <si>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</si>
  <si>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</si>
  <si>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</si>
  <si>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</si>
  <si>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</si>
  <si>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</si>
  <si>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</si>
  <si>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</si>
  <si>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</si>
  <si>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</si>
  <si>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</si>
  <si>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</si>
  <si>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</si>
  <si>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</si>
  <si>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</si>
  <si>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</si>
  <si>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</si>
  <si>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</si>
  <si>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</si>
  <si>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</si>
  <si>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</si>
  <si>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</si>
  <si>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</si>
  <si>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</si>
  <si>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</si>
  <si>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</si>
  <si>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</si>
  <si>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</si>
  <si>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</si>
  <si>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</si>
  <si>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</si>
  <si>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</si>
  <si>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</si>
  <si>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</si>
  <si>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</si>
  <si>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</si>
  <si>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</si>
  <si>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</si>
  <si>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</si>
  <si>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</si>
  <si>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</si>
  <si>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</si>
  <si>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</si>
  <si>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</si>
  <si>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</si>
  <si>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</si>
  <si>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</si>
  <si>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</si>
  <si>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</si>
  <si>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</si>
  <si>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</si>
  <si>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</si>
  <si>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</si>
  <si>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</si>
  <si>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</si>
  <si>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</si>
  <si>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</si>
  <si>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</si>
  <si>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</si>
  <si>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</si>
  <si>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</si>
  <si>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</si>
  <si>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</si>
  <si>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</si>
  <si>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</si>
  <si>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</si>
  <si>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</si>
  <si>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</si>
  <si>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</si>
  <si>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</si>
  <si>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</si>
  <si>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</si>
  <si>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</si>
  <si>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</si>
  <si>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</si>
  <si>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</si>
  <si>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</si>
  <si>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</si>
  <si>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</si>
  <si>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</si>
  <si>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</si>
  <si>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</si>
  <si>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</si>
  <si>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</si>
  <si>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</si>
  <si>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</si>
  <si>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</si>
  <si>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</si>
  <si>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</si>
  <si>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</si>
  <si>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</si>
  <si>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</si>
  <si>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</si>
  <si>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</si>
  <si>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</si>
  <si>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</si>
  <si>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</si>
  <si>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</si>
  <si>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</si>
  <si>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</si>
  <si>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</si>
  <si>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</si>
  <si>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</si>
  <si>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</si>
  <si>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</si>
  <si>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</si>
  <si>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</si>
  <si>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</si>
  <si>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</si>
  <si>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</si>
  <si>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</si>
  <si>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</si>
  <si>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</si>
  <si>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</si>
  <si>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</si>
  <si>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</si>
  <si>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</si>
  <si>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</si>
  <si>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</si>
  <si>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</si>
  <si>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</si>
  <si>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</si>
  <si>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</si>
  <si>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</si>
  <si>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</si>
  <si>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</si>
  <si>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</si>
  <si>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</si>
  <si>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</si>
  <si>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</si>
  <si>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</si>
  <si>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</si>
  <si>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</si>
  <si>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</si>
  <si>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</si>
  <si>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</si>
  <si>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</si>
  <si>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</si>
  <si>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</si>
  <si>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</si>
  <si>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</si>
  <si>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</si>
  <si>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</si>
  <si>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</si>
  <si>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</si>
  <si>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</si>
  <si>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</si>
  <si>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</si>
  <si>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</si>
  <si>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</si>
  <si>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</si>
  <si>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</si>
  <si>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</si>
  <si>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</si>
  <si>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</si>
  <si>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</si>
  <si>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</si>
  <si>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</si>
  <si>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</si>
  <si>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</si>
  <si>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</si>
  <si>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</si>
  <si>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</si>
  <si>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</si>
  <si>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</si>
  <si>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</si>
  <si>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</si>
  <si>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</si>
  <si>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</si>
  <si>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</si>
  <si>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</si>
  <si>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</si>
  <si>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</si>
  <si>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</si>
  <si>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</si>
  <si>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</si>
  <si>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</si>
  <si>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</si>
  <si>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</si>
  <si>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</si>
  <si>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</si>
  <si>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</si>
  <si>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</si>
  <si>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</si>
  <si>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</si>
  <si>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</si>
  <si>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</si>
  <si>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</si>
  <si>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</si>
  <si>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</si>
  <si>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</si>
  <si>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</si>
  <si>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</si>
  <si>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</si>
  <si>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</si>
  <si>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</si>
  <si>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</si>
  <si>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</si>
  <si>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</si>
  <si>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</si>
  <si>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</si>
  <si>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</si>
  <si>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</si>
  <si>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</si>
  <si>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</si>
  <si>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</si>
  <si>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</si>
  <si>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</si>
  <si>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</si>
  <si>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</si>
  <si>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</si>
  <si>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</si>
  <si>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</si>
  <si>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</si>
  <si>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</si>
  <si>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</si>
  <si>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</si>
  <si>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</si>
  <si>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</si>
  <si>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</si>
  <si>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</si>
  <si>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</si>
  <si>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</si>
  <si>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</si>
  <si>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</si>
  <si>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</si>
  <si>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</si>
  <si>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</si>
  <si>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</si>
  <si>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</si>
  <si>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</si>
  <si>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</si>
  <si>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</si>
  <si>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</si>
  <si>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</si>
  <si>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</si>
  <si>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</si>
  <si>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</si>
  <si>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</si>
  <si>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</si>
  <si>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</si>
  <si>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</si>
  <si>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</si>
  <si>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</si>
  <si>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</si>
  <si>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</si>
  <si>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</si>
  <si>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</si>
  <si>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</si>
  <si>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</si>
  <si>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</si>
  <si>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</si>
  <si>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</si>
  <si>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</si>
  <si>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</si>
  <si>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</si>
  <si>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</si>
  <si>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</si>
  <si>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</si>
  <si>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</si>
  <si>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</si>
  <si>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</si>
  <si>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</si>
  <si>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</si>
  <si>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</si>
  <si>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</si>
  <si>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</si>
  <si>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</si>
  <si>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</si>
  <si>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</si>
  <si>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</si>
  <si>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</si>
  <si>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</si>
  <si>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</si>
  <si>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</si>
  <si>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</si>
  <si>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</si>
  <si>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</si>
  <si>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</si>
  <si>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</si>
  <si>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</si>
  <si>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</si>
  <si>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</si>
  <si>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</si>
  <si>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</si>
  <si>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</si>
  <si>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</si>
  <si>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</si>
  <si>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</si>
  <si>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</si>
  <si>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</si>
  <si>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</si>
  <si>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</si>
  <si>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</si>
  <si>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</si>
  <si>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</si>
  <si>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</si>
  <si>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</si>
  <si>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</si>
  <si>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</si>
  <si>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</si>
  <si>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</si>
  <si>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</si>
  <si>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</si>
  <si>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</si>
  <si>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</si>
  <si>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</si>
  <si>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</si>
  <si>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</si>
  <si>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</si>
  <si>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</si>
  <si>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</si>
  <si>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</si>
  <si>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</si>
  <si>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</si>
  <si>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</si>
  <si>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</si>
  <si>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</si>
  <si>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</si>
  <si>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</si>
  <si>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</si>
  <si>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</si>
  <si>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</si>
  <si>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</si>
  <si>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</si>
  <si>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</si>
  <si>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</si>
  <si>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</si>
  <si>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</si>
  <si>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</si>
  <si>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</si>
  <si>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</si>
  <si>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</si>
  <si>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</si>
  <si>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</si>
  <si>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</si>
  <si>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</si>
  <si>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</si>
  <si>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</si>
  <si>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</si>
  <si>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</si>
  <si>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</si>
  <si>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</si>
  <si>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</si>
  <si>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</si>
  <si>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</si>
  <si>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</si>
  <si>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</si>
  <si>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</si>
  <si>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</si>
  <si>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</si>
  <si>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</si>
  <si>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</si>
  <si>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</si>
  <si>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</si>
  <si>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</si>
  <si>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</si>
  <si>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</si>
  <si>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</si>
  <si>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</si>
  <si>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</si>
  <si>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</si>
  <si>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</si>
  <si>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</si>
  <si>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</si>
  <si>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</si>
  <si>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</si>
  <si>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</si>
  <si>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</si>
  <si>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</si>
  <si>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</si>
  <si>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</si>
  <si>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</si>
  <si>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</si>
  <si>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</si>
  <si>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</si>
  <si>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</si>
  <si>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</si>
  <si>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</si>
  <si>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</si>
  <si>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</si>
  <si>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</si>
  <si>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</si>
  <si>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</si>
  <si>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</si>
  <si>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</si>
  <si>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</si>
  <si>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</si>
  <si>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</si>
  <si>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</si>
  <si>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</si>
  <si>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</si>
  <si>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</si>
  <si>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</si>
  <si>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</si>
  <si>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</si>
  <si>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</si>
  <si>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</si>
  <si>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</si>
  <si>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</si>
  <si>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</si>
  <si>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</si>
  <si>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</si>
  <si>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</si>
  <si>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</si>
  <si>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</si>
  <si>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</si>
  <si>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</si>
  <si>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</si>
  <si>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</si>
  <si>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</si>
  <si>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</si>
  <si>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</si>
  <si>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</si>
  <si>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</si>
  <si>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</si>
  <si>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</si>
  <si>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</si>
  <si>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</si>
  <si>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</si>
  <si>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</si>
  <si>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</si>
  <si>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</si>
  <si>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</si>
  <si>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</si>
  <si>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</si>
  <si>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</si>
  <si>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</si>
  <si>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</si>
  <si>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</si>
  <si>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</si>
  <si>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</si>
  <si>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</si>
  <si>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</si>
  <si>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</si>
  <si>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</si>
  <si>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</si>
  <si>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</si>
  <si>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</si>
  <si>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</si>
  <si>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</si>
  <si>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</si>
  <si>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</si>
  <si>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</si>
  <si>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</si>
  <si>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</si>
  <si>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</si>
  <si>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</si>
  <si>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</si>
  <si>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</si>
  <si>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</si>
  <si>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</si>
  <si>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</si>
  <si>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</si>
  <si>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</si>
  <si>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</si>
  <si>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</si>
  <si>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</si>
  <si>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</si>
  <si>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</si>
  <si>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</si>
  <si>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</si>
  <si>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</si>
  <si>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</si>
  <si>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</si>
  <si>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</si>
  <si>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</si>
  <si>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</si>
  <si>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</si>
  <si>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</si>
  <si>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</si>
  <si>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</si>
  <si>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</si>
  <si>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</si>
  <si>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</si>
  <si>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</si>
  <si>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</si>
  <si>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</si>
  <si>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</si>
  <si>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</si>
  <si>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</si>
  <si>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</si>
  <si>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</si>
  <si>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</si>
  <si>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</si>
  <si>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</si>
  <si>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</si>
  <si>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</si>
  <si>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</si>
  <si>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</si>
  <si>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</si>
  <si>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</si>
  <si>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</si>
  <si>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</si>
  <si>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</si>
  <si>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</si>
  <si>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</si>
  <si>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</si>
  <si>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</si>
  <si>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</si>
  <si>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</si>
  <si>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</si>
  <si>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</si>
  <si>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</si>
  <si>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</si>
  <si>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</si>
  <si>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</si>
  <si>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</si>
  <si>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</si>
  <si>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</si>
  <si>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</si>
  <si>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</si>
  <si>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</si>
  <si>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</si>
  <si>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</si>
  <si>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</si>
  <si>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</si>
  <si>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</si>
  <si>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</si>
  <si>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</si>
  <si>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</si>
  <si>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</si>
  <si>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</si>
  <si>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</si>
  <si>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</si>
  <si>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</si>
  <si>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</si>
  <si>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</si>
  <si>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</si>
  <si>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</si>
  <si>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</si>
  <si>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</si>
  <si>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</si>
  <si>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</si>
  <si>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</si>
  <si>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</si>
  <si>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</si>
  <si>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</si>
  <si>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</si>
  <si>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</si>
  <si>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</si>
  <si>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</si>
  <si>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</si>
  <si>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</si>
  <si>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</si>
  <si>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</si>
  <si>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</si>
  <si>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</si>
  <si>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</si>
  <si>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</si>
  <si>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</si>
  <si>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</si>
  <si>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</si>
  <si>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</si>
  <si>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</si>
  <si>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</si>
  <si>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</si>
  <si>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</si>
  <si>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</si>
  <si>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</si>
  <si>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</si>
  <si>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</si>
  <si>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</si>
  <si>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</si>
  <si>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</si>
  <si>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</si>
  <si>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</si>
  <si>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</si>
  <si>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</si>
  <si>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</si>
  <si>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</si>
  <si>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</si>
  <si>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</si>
  <si>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</si>
  <si>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</si>
  <si>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</si>
  <si>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</si>
  <si>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</si>
  <si>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</si>
  <si>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</si>
  <si>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</si>
  <si>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</si>
  <si>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</si>
  <si>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</si>
  <si>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</si>
  <si>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</si>
  <si>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</si>
  <si>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</si>
  <si>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</si>
  <si>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</si>
  <si>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</si>
  <si>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</si>
  <si>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</si>
  <si>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</si>
  <si>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</si>
  <si>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</si>
  <si>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</si>
  <si>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</si>
  <si>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</si>
  <si>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</si>
  <si>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</si>
  <si>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</si>
  <si>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</si>
  <si>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</si>
  <si>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</si>
  <si>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</si>
  <si>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</si>
  <si>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</si>
  <si>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</si>
  <si>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</si>
  <si>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</si>
  <si>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</si>
  <si>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</si>
  <si>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</si>
  <si>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</si>
  <si>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</si>
  <si>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</si>
  <si>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</si>
  <si>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</si>
  <si>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</si>
  <si>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</si>
  <si>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</si>
  <si>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</si>
  <si>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</si>
  <si>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</si>
  <si>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</si>
  <si>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</si>
  <si>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</si>
  <si>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</si>
  <si>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</si>
  <si>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</si>
  <si>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</si>
  <si>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</si>
  <si>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</si>
  <si>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</si>
  <si>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</si>
  <si>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</si>
  <si>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</si>
  <si>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</si>
  <si>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</si>
  <si>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</si>
  <si>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</si>
  <si>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</si>
  <si>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</si>
  <si>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</si>
  <si>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</si>
  <si>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</si>
  <si>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</si>
  <si>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</si>
  <si>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</si>
  <si>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</si>
  <si>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</si>
  <si>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</si>
  <si>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</si>
  <si>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</si>
  <si>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</si>
  <si>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</si>
  <si>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</si>
  <si>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</si>
  <si>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</si>
  <si>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</si>
  <si>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</si>
  <si>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</si>
  <si>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</si>
  <si>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</si>
  <si>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</si>
  <si>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</si>
  <si>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</si>
  <si>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</si>
  <si>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</si>
  <si>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</si>
  <si>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</si>
  <si>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</si>
  <si>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</si>
  <si>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</si>
  <si>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</si>
  <si>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</si>
  <si>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</si>
  <si>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</si>
  <si>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</si>
  <si>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</si>
  <si>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</si>
  <si>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</si>
  <si>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</si>
  <si>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</si>
  <si>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</si>
  <si>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</si>
  <si>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</si>
  <si>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</si>
  <si>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</si>
  <si>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</si>
  <si>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</si>
  <si>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</si>
  <si>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</si>
  <si>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</si>
  <si>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</si>
  <si>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</si>
  <si>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</si>
  <si>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</si>
  <si>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</si>
  <si>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</si>
  <si>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</si>
  <si>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</si>
  <si>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</si>
  <si>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</si>
  <si>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</si>
  <si>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</si>
  <si>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</si>
  <si>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</si>
  <si>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</si>
  <si>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</si>
  <si>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</si>
  <si>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</si>
  <si>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</si>
  <si>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</si>
  <si>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</si>
  <si>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</si>
  <si>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</si>
  <si>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</si>
  <si>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</si>
  <si>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</si>
  <si>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</si>
  <si>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</si>
  <si>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</si>
  <si>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</si>
  <si>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</si>
  <si>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</si>
  <si>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</si>
  <si>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</si>
  <si>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</si>
  <si>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</si>
  <si>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</si>
  <si>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</si>
  <si>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</si>
  <si>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</si>
  <si>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</si>
  <si>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</si>
  <si>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</si>
  <si>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</si>
  <si>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</si>
  <si>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</si>
  <si>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</si>
  <si>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</si>
  <si>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</si>
  <si>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</si>
  <si>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</si>
  <si>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</si>
  <si>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</si>
  <si>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</si>
  <si>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</si>
  <si>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</si>
  <si>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</si>
  <si>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</si>
  <si>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</si>
  <si>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</si>
  <si>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</si>
  <si>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</si>
  <si>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</si>
  <si>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</si>
  <si>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</si>
  <si>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</si>
  <si>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</si>
  <si>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</si>
  <si>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</si>
  <si>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</si>
  <si>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</si>
  <si>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</si>
  <si>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</si>
  <si>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</si>
  <si>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</si>
  <si>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</si>
  <si>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</si>
  <si>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</si>
  <si>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</si>
  <si>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</si>
  <si>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</si>
  <si>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</si>
  <si>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</si>
  <si>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</si>
  <si>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</si>
  <si>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</si>
  <si>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</si>
  <si>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</si>
  <si>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</si>
  <si>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</si>
  <si>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</si>
  <si>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</si>
  <si>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</si>
  <si>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</si>
  <si>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</si>
  <si>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</si>
  <si>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</si>
  <si>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</si>
  <si>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</si>
  <si>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</si>
  <si>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</si>
  <si>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</si>
  <si>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</si>
  <si>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</si>
  <si>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</si>
  <si>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</si>
  <si>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</si>
  <si>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</si>
  <si>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</si>
  <si>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</si>
  <si>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</si>
  <si>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</si>
  <si>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</si>
  <si>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</si>
  <si>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</si>
  <si>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</si>
  <si>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</si>
  <si>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</si>
  <si>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</si>
  <si>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</si>
  <si>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</si>
  <si>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</si>
  <si>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</si>
  <si>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</si>
  <si>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</si>
  <si>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</si>
  <si>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</si>
  <si>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</si>
  <si>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</si>
  <si>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</si>
  <si>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</si>
  <si>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</si>
  <si>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</si>
  <si>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</si>
  <si>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</si>
  <si>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</si>
  <si>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</si>
  <si>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</si>
  <si>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</si>
  <si>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</si>
  <si>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</si>
  <si>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</si>
  <si>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</si>
  <si>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</si>
  <si>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</si>
  <si>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</si>
  <si>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</si>
  <si>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</si>
  <si>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</si>
  <si>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</si>
  <si>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</si>
  <si>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</si>
  <si>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</si>
  <si>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</si>
  <si>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</si>
  <si>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</si>
  <si>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</si>
  <si>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</si>
  <si>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</si>
  <si>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</si>
  <si>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</si>
  <si>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</si>
  <si>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</si>
  <si>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</si>
  <si>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</si>
  <si>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</si>
  <si>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</si>
  <si>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</si>
  <si>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</si>
  <si>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</si>
  <si>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</si>
  <si>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</si>
  <si>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</si>
  <si>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</si>
  <si>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</si>
  <si>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</si>
  <si>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</si>
  <si>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</si>
  <si>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</si>
  <si>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</si>
  <si>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</si>
  <si>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</si>
  <si>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</si>
  <si>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</si>
  <si>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</si>
  <si>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</si>
  <si>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</si>
  <si>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</si>
  <si>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</si>
  <si>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</si>
  <si>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</si>
  <si>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</si>
  <si>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</si>
  <si>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</si>
  <si>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</si>
  <si>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</si>
  <si>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</si>
  <si>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</si>
  <si>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</si>
  <si>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</si>
  <si>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</si>
  <si>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</si>
  <si>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</si>
  <si>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</si>
  <si>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</si>
  <si>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</si>
  <si>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</si>
  <si>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</si>
  <si>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</si>
  <si>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</si>
  <si>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</si>
  <si>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</si>
  <si>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</si>
  <si>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</si>
  <si>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</si>
  <si>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</si>
  <si>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</si>
  <si>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</si>
  <si>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</si>
  <si>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</si>
  <si>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</si>
  <si>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</si>
  <si>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</si>
  <si>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</si>
  <si>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</si>
  <si>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</si>
  <si>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</si>
  <si>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</si>
  <si>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</si>
  <si>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</si>
  <si>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</si>
  <si>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</si>
  <si>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</si>
  <si>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</si>
  <si>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</si>
  <si>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</si>
  <si>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</si>
  <si>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</si>
  <si>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</si>
  <si>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</si>
  <si>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</si>
  <si>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</si>
  <si>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</si>
  <si>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</si>
  <si>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</si>
  <si>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</si>
  <si>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</si>
  <si>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</si>
  <si>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</si>
  <si>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</si>
  <si>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</si>
  <si>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</si>
  <si>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</si>
  <si>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</si>
  <si>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</si>
  <si>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</si>
  <si>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</si>
  <si>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</si>
  <si>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</si>
  <si>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</si>
  <si>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</si>
  <si>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</si>
  <si>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</si>
  <si>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</si>
  <si>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</si>
  <si>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</si>
  <si>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</si>
  <si>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</si>
  <si>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</si>
  <si>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</si>
  <si>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</si>
  <si>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</si>
  <si>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</si>
  <si>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</si>
  <si>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</si>
  <si>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</si>
  <si>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</si>
  <si>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</si>
  <si>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</si>
  <si>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</si>
  <si>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</si>
  <si>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</si>
  <si>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</si>
  <si>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</si>
  <si>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</si>
  <si>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</si>
  <si>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</si>
  <si>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</si>
  <si>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</si>
  <si>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</si>
  <si>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</si>
  <si>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</si>
  <si>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</si>
  <si>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</si>
  <si>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</si>
  <si>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</si>
  <si>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</si>
  <si>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</si>
  <si>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</si>
  <si>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</si>
  <si>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</si>
  <si>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</si>
  <si>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</si>
  <si>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</si>
  <si>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</si>
  <si>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</si>
  <si>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</si>
  <si>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</si>
  <si>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</si>
  <si>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</si>
  <si>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</si>
  <si>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</si>
  <si>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</si>
  <si>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</si>
  <si>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</si>
  <si>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</si>
  <si>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</si>
  <si>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</si>
  <si>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</si>
  <si>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</si>
  <si>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</si>
  <si>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</si>
  <si>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</si>
  <si>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</si>
  <si>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</si>
  <si>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</si>
  <si>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</si>
  <si>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</si>
  <si>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</si>
  <si>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</si>
  <si>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</si>
  <si>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</si>
  <si>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</si>
  <si>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</si>
  <si>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</si>
  <si>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</si>
  <si>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</si>
  <si>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</si>
  <si>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</si>
  <si>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</si>
  <si>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</si>
  <si>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</si>
  <si>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</si>
  <si>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</si>
  <si>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</si>
  <si>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</si>
  <si>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</si>
  <si>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</si>
  <si>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</si>
  <si>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</si>
  <si>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</si>
  <si>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</si>
  <si>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</si>
  <si>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</si>
  <si>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</si>
  <si>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</si>
  <si>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</si>
  <si>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</si>
  <si>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</si>
  <si>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</si>
  <si>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</si>
  <si>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</si>
  <si>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</si>
  <si>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</si>
  <si>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</si>
  <si>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</si>
  <si>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</si>
  <si>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</si>
  <si>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</si>
  <si>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</si>
  <si>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</si>
  <si>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</si>
  <si>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</si>
  <si>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</si>
  <si>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</si>
  <si>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</si>
  <si>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</si>
  <si>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</si>
  <si>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</si>
  <si>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</si>
  <si>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</si>
  <si>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</si>
  <si>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</si>
  <si>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</si>
  <si>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</si>
  <si>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</si>
  <si>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</si>
  <si>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</si>
  <si>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</si>
  <si>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</si>
  <si>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</si>
  <si>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</si>
  <si>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</si>
  <si>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</si>
  <si>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</si>
  <si>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</si>
  <si>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</si>
  <si>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</si>
  <si>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</si>
  <si>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</si>
  <si>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</si>
  <si>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</si>
  <si>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</si>
  <si>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</si>
  <si>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</si>
  <si>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</si>
  <si>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</si>
  <si>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</si>
  <si>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</si>
  <si>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</si>
  <si>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</si>
  <si>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</si>
  <si>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</si>
  <si>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</si>
  <si>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</si>
  <si>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</si>
  <si>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</si>
  <si>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</si>
  <si>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</si>
  <si>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</si>
  <si>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</si>
  <si>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</si>
  <si>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</si>
  <si>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</si>
  <si>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</si>
  <si>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</si>
  <si>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</si>
  <si>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</si>
  <si>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</si>
  <si>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</si>
  <si>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</si>
  <si>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</si>
  <si>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</si>
  <si>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</si>
  <si>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</si>
  <si>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</si>
  <si>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</si>
  <si>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</si>
  <si>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</si>
  <si>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</si>
  <si>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</si>
  <si>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</si>
  <si>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</si>
  <si>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</si>
  <si>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</si>
  <si>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</si>
  <si>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</si>
  <si>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</si>
  <si>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</si>
  <si>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</si>
  <si>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</si>
  <si>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</si>
  <si>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</si>
  <si>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</si>
  <si>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</si>
  <si>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</si>
  <si>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</si>
  <si>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</si>
  <si>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</si>
  <si>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</si>
  <si>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</si>
  <si>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</si>
  <si>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</si>
  <si>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</si>
  <si>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</si>
  <si>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</si>
  <si>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</si>
  <si>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</si>
  <si>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</si>
  <si>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</si>
  <si>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</si>
  <si>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</si>
  <si>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</si>
  <si>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</si>
  <si>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</si>
  <si>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</si>
  <si>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</si>
  <si>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</si>
  <si>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</si>
  <si>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</si>
  <si>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</si>
  <si>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</si>
  <si>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</si>
  <si>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</si>
  <si>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</si>
  <si>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</si>
  <si>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</si>
  <si>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</si>
  <si>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</si>
  <si>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</si>
  <si>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</si>
  <si>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</si>
  <si>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</si>
  <si>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</si>
  <si>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</si>
  <si>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</si>
  <si>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</si>
  <si>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</si>
  <si>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</si>
  <si>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</si>
  <si>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</si>
  <si>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</si>
  <si>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</si>
  <si>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</si>
  <si>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</si>
  <si>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</si>
  <si>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</si>
  <si>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</si>
  <si>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</si>
  <si>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</si>
  <si>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</si>
  <si>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</si>
  <si>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</si>
  <si>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</si>
  <si>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</si>
  <si>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</si>
  <si>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</si>
  <si>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</si>
  <si>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</si>
  <si>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</si>
  <si>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</si>
  <si>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</si>
  <si>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</si>
  <si>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</si>
  <si>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</si>
  <si>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</si>
  <si>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</si>
  <si>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</si>
  <si>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</si>
  <si>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</si>
  <si>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</si>
  <si>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</si>
  <si>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</si>
  <si>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</si>
  <si>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</si>
  <si>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</si>
  <si>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</si>
  <si>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</si>
  <si>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</si>
  <si>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</si>
  <si>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</si>
  <si>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</si>
  <si>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</si>
  <si>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</si>
  <si>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</si>
  <si>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</si>
  <si>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</si>
  <si>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</si>
  <si>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</si>
  <si>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</si>
  <si>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</si>
  <si>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</si>
  <si>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</si>
  <si>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</si>
  <si>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</si>
  <si>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</si>
  <si>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</si>
  <si>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</si>
  <si>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</si>
  <si>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</si>
  <si>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</si>
  <si>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</si>
  <si>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</si>
  <si>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</si>
  <si>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</si>
  <si>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</si>
  <si>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</si>
  <si>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</si>
  <si>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</si>
  <si>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</si>
  <si>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</si>
  <si>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</si>
  <si>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</si>
  <si>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</si>
  <si>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</si>
  <si>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</si>
  <si>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</si>
  <si>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</si>
  <si>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</si>
  <si>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</si>
  <si>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</si>
  <si>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</si>
  <si>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</si>
  <si>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</si>
  <si>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</si>
  <si>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</si>
  <si>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</si>
  <si>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</si>
  <si>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</si>
  <si>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</si>
  <si>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</si>
  <si>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</si>
  <si>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</si>
  <si>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</si>
  <si>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</si>
  <si>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</si>
  <si>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</si>
  <si>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</si>
  <si>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</si>
  <si>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</si>
  <si>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</si>
  <si>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</si>
  <si>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</si>
  <si>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</si>
  <si>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</si>
  <si>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</si>
  <si>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</si>
  <si>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</si>
  <si>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</si>
  <si>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</si>
  <si>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</si>
  <si>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</si>
  <si>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</si>
  <si>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</si>
  <si>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</si>
  <si>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</si>
  <si>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</si>
  <si>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</si>
  <si>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</si>
  <si>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</si>
  <si>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</si>
  <si>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</si>
  <si>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</si>
  <si>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</si>
  <si>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</si>
  <si>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</si>
  <si>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</si>
  <si>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</si>
  <si>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</si>
  <si>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</si>
  <si>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</si>
  <si>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</si>
  <si>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</si>
  <si>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</si>
  <si>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</si>
  <si>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</si>
  <si>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</si>
  <si>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</si>
  <si>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</si>
  <si>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</si>
  <si>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</si>
  <si>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</si>
  <si>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</si>
  <si>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</si>
  <si>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</si>
  <si>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</si>
  <si>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</si>
  <si>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</si>
  <si>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</si>
  <si>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</si>
  <si>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</si>
  <si>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</si>
  <si>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</si>
  <si>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</si>
  <si>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</si>
  <si>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</si>
  <si>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</si>
  <si>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</si>
  <si>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</si>
  <si>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</si>
  <si>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</si>
  <si>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</si>
  <si>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</si>
  <si>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</si>
  <si>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</si>
  <si>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</si>
  <si>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</si>
  <si>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</si>
  <si>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</si>
  <si>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</si>
  <si>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</si>
  <si>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</si>
  <si>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</si>
  <si>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</si>
  <si>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</si>
  <si>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</si>
  <si>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</si>
  <si>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</si>
  <si>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</si>
  <si>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</si>
  <si>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</si>
  <si>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</si>
  <si>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</si>
  <si>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</si>
  <si>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</si>
  <si>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</si>
  <si>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</si>
  <si>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</si>
  <si>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</si>
  <si>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</si>
  <si>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</si>
  <si>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</si>
  <si>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</si>
  <si>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</si>
  <si>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</si>
  <si>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</si>
  <si>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</si>
  <si>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</si>
  <si>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</si>
  <si>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</si>
  <si>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</si>
  <si>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</si>
  <si>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</si>
  <si>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</si>
  <si>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</si>
  <si>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</si>
  <si>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</si>
  <si>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</si>
  <si>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</si>
  <si>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</si>
  <si>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</si>
  <si>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</si>
  <si>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</si>
  <si>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</si>
  <si>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</si>
  <si>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</si>
  <si>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</si>
  <si>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</si>
  <si>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</si>
  <si>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</si>
  <si>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</si>
  <si>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</si>
  <si>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</si>
  <si>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</si>
  <si>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</si>
  <si>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</si>
  <si>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</si>
  <si>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</si>
  <si>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</si>
  <si>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</si>
  <si>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</si>
  <si>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</si>
  <si>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</si>
  <si>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</si>
  <si>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</si>
  <si>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</si>
  <si>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</si>
  <si>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</si>
  <si>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</si>
  <si>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</si>
  <si>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</si>
  <si>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</si>
  <si>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</si>
  <si>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</si>
  <si>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</si>
  <si>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</si>
  <si>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</si>
  <si>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</si>
  <si>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</si>
  <si>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</si>
  <si>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</si>
  <si>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</si>
  <si>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</si>
  <si>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</si>
  <si>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</si>
  <si>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</si>
  <si>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</si>
  <si>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</si>
  <si>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</si>
  <si>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</si>
  <si>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</si>
  <si>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</si>
  <si>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</si>
  <si>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</si>
  <si>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</si>
  <si>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</si>
  <si>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</si>
  <si>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</si>
  <si>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</si>
  <si>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</si>
  <si>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</si>
  <si>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</si>
  <si>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</si>
  <si>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</si>
  <si>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</si>
  <si>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</si>
  <si>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</si>
  <si>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</si>
  <si>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</si>
  <si>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</si>
  <si>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</si>
  <si>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</si>
  <si>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</si>
  <si>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</si>
  <si>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</si>
  <si>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</si>
  <si>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</si>
  <si>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</si>
  <si>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</si>
  <si>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</si>
  <si>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</si>
  <si>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</si>
  <si>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</si>
  <si>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</si>
  <si>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</si>
  <si>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</si>
  <si>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</si>
  <si>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</si>
  <si>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</si>
  <si>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</si>
  <si>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</si>
  <si>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</si>
  <si>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</si>
  <si>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</si>
  <si>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</si>
  <si>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</si>
  <si>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</si>
  <si>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</si>
  <si>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</si>
  <si>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</si>
  <si>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</si>
  <si>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</si>
  <si>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</si>
  <si>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</si>
  <si>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</si>
  <si>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</si>
  <si>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</si>
  <si>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</si>
  <si>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</si>
  <si>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</si>
  <si>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</si>
  <si>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</si>
  <si>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</si>
  <si>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</si>
  <si>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</si>
  <si>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</si>
  <si>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</si>
  <si>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</si>
  <si>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</si>
  <si>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</si>
  <si>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</si>
  <si>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</si>
  <si>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</si>
  <si>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</si>
  <si>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</si>
  <si>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</si>
  <si>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</si>
  <si>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</si>
  <si>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</si>
  <si>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</si>
  <si>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</si>
  <si>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</si>
  <si>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</si>
  <si>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</si>
  <si>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</si>
  <si>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</si>
  <si>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</si>
  <si>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</si>
  <si>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</si>
  <si>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</si>
  <si>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</si>
  <si>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</si>
  <si>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</si>
  <si>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</si>
  <si>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</si>
  <si>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</si>
  <si>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</si>
  <si>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</si>
  <si>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</si>
  <si>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</si>
  <si>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</si>
  <si>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</si>
  <si>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</si>
  <si>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</si>
  <si>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</si>
  <si>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</si>
  <si>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</si>
  <si>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</si>
  <si>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</si>
  <si>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</si>
  <si>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</si>
  <si>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</si>
  <si>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</si>
  <si>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</si>
  <si>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</si>
  <si>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</si>
  <si>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</si>
  <si>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</si>
  <si>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</si>
  <si>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</si>
  <si>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</si>
  <si>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</si>
  <si>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</si>
  <si>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</si>
  <si>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</si>
  <si>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</si>
  <si>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</si>
  <si>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</si>
  <si>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</si>
  <si>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</si>
  <si>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</si>
  <si>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</si>
  <si>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</si>
  <si>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</si>
  <si>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</si>
  <si>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</si>
  <si>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</si>
  <si>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</si>
  <si>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</si>
  <si>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</si>
  <si>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</si>
  <si>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</si>
  <si>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</si>
  <si>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</si>
  <si>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</si>
  <si>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</si>
  <si>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</si>
  <si>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</si>
  <si>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</si>
  <si>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</si>
  <si>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</si>
  <si>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</si>
  <si>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</si>
  <si>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</si>
  <si>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</si>
  <si>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</si>
  <si>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</si>
  <si>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</si>
  <si>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</si>
  <si>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</si>
  <si>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</si>
  <si>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</si>
  <si>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</si>
  <si>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</si>
  <si>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</si>
  <si>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</si>
  <si>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</si>
  <si>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</si>
  <si>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</si>
  <si>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</si>
  <si>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</si>
  <si>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</si>
  <si>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</si>
  <si>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</si>
  <si>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</si>
  <si>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</si>
  <si>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</si>
  <si>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</si>
  <si>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</si>
  <si>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</si>
  <si>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</si>
  <si>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</si>
  <si>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</si>
  <si>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</si>
  <si>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</si>
  <si>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</si>
  <si>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</si>
  <si>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</si>
  <si>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</si>
  <si>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</si>
  <si>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</si>
  <si>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</si>
  <si>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</si>
  <si>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</si>
  <si>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</si>
  <si>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</si>
  <si>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</si>
  <si>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</si>
  <si>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</si>
  <si>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</si>
  <si>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</si>
  <si>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</si>
  <si>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</si>
  <si>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</si>
  <si>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</si>
  <si>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</si>
  <si>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</si>
  <si>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</si>
  <si>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</si>
  <si>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</si>
  <si>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</si>
  <si>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</si>
  <si>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</si>
  <si>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</si>
  <si>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</si>
  <si>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</si>
  <si>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</si>
  <si>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</si>
  <si>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</si>
  <si>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</si>
  <si>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</si>
  <si>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</si>
  <si>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</si>
  <si>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</si>
  <si>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</si>
  <si>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</si>
  <si>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</si>
  <si>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</si>
  <si>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</si>
  <si>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</si>
  <si>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</si>
  <si>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</si>
  <si>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</si>
  <si>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</si>
  <si>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</si>
  <si>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</si>
  <si>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</si>
  <si>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</si>
  <si>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</si>
  <si>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</si>
  <si>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</si>
  <si>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</si>
  <si>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</si>
  <si>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</si>
  <si>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</si>
  <si>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</si>
  <si>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</si>
  <si>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</si>
  <si>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</si>
  <si>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</si>
  <si>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</si>
  <si>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</si>
  <si>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</si>
  <si>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</si>
  <si>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</si>
  <si>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</si>
  <si>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</si>
  <si>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</si>
  <si>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</si>
  <si>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</si>
  <si>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</si>
  <si>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</si>
  <si>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</si>
  <si>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</si>
  <si>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</si>
  <si>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</si>
  <si>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</si>
  <si>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</si>
  <si>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</si>
  <si>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</si>
  <si>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</si>
  <si>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</si>
  <si>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</si>
  <si>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</si>
  <si>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</si>
  <si>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</si>
  <si>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</si>
  <si>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</si>
  <si>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</si>
  <si>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</si>
  <si>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</si>
  <si>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</si>
  <si>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</si>
  <si>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</si>
  <si>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</si>
  <si>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</si>
  <si>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</si>
  <si>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</si>
  <si>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</si>
  <si>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</si>
  <si>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</si>
  <si>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</si>
  <si>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</si>
  <si>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</si>
  <si>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</si>
  <si>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</si>
  <si>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</si>
  <si>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</si>
  <si>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</si>
  <si>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</si>
  <si>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</si>
  <si>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</si>
  <si>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</si>
  <si>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</si>
  <si>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</si>
  <si>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</si>
  <si>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</si>
  <si>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</si>
  <si>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</si>
  <si>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</si>
  <si>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</si>
  <si>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</si>
  <si>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</si>
  <si>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</si>
  <si>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</si>
  <si>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</si>
  <si>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</si>
  <si>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</si>
  <si>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</si>
  <si>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</si>
  <si>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</si>
  <si>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</si>
  <si>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</si>
  <si>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</si>
  <si>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</si>
  <si>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</si>
  <si>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</si>
  <si>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</si>
  <si>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</si>
  <si>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</si>
  <si>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</si>
  <si>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</si>
  <si>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</si>
  <si>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</si>
  <si>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</si>
  <si>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</si>
  <si>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</si>
  <si>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</si>
  <si>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</si>
  <si>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</si>
  <si>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</si>
  <si>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</si>
  <si>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</si>
  <si>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</si>
  <si>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</si>
  <si>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</si>
  <si>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</si>
  <si>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</si>
  <si>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</si>
  <si>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</si>
  <si>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</si>
  <si>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</si>
  <si>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</si>
  <si>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</si>
  <si>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</si>
  <si>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</si>
  <si>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</si>
  <si>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</si>
  <si>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</si>
  <si>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</si>
  <si>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</si>
  <si>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</si>
  <si>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</si>
  <si>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</si>
  <si>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</si>
  <si>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</si>
  <si>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</si>
  <si>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</si>
  <si>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</si>
  <si>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</si>
  <si>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</si>
  <si>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</si>
  <si>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</si>
  <si>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</si>
  <si>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</si>
  <si>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</si>
  <si>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</si>
  <si>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</si>
  <si>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</si>
  <si>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</si>
  <si>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</si>
  <si>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</si>
  <si>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</si>
  <si>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</si>
  <si>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</si>
  <si>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</si>
  <si>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</si>
  <si>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</si>
  <si>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</si>
  <si>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</si>
  <si>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</si>
  <si>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</si>
  <si>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</si>
  <si>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</si>
  <si>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</si>
  <si>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</si>
  <si>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</si>
  <si>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</si>
  <si>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</si>
  <si>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</si>
  <si>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</si>
  <si>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</si>
  <si>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</si>
  <si>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</si>
  <si>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</si>
  <si>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</si>
  <si>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</si>
  <si>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</si>
  <si>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</si>
  <si>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</si>
  <si>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</si>
  <si>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</si>
  <si>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</si>
  <si>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</si>
  <si>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</si>
  <si>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</si>
  <si>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</si>
  <si>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</si>
  <si>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</si>
  <si>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</si>
  <si>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</si>
  <si>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</si>
  <si>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</si>
  <si>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</si>
  <si>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</si>
  <si>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</si>
  <si>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</si>
  <si>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</si>
  <si>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</si>
  <si>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</si>
  <si>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</si>
  <si>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</si>
  <si>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</si>
  <si>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</si>
  <si>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</si>
  <si>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</si>
  <si>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</si>
  <si>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</si>
  <si>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</si>
  <si>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</si>
  <si>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</si>
  <si>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</si>
  <si>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</si>
  <si>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</si>
  <si>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</si>
  <si>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</si>
  <si>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</si>
  <si>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</si>
  <si>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</si>
  <si>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</si>
  <si>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</si>
  <si>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</si>
  <si>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</si>
  <si>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</si>
  <si>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</si>
  <si>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</si>
  <si>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</si>
  <si>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</si>
  <si>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</si>
  <si>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</si>
  <si>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</si>
  <si>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</si>
  <si>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</si>
  <si>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</si>
  <si>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</si>
  <si>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</si>
  <si>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</si>
  <si>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</si>
  <si>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</si>
  <si>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</si>
  <si>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</si>
  <si>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</si>
  <si>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</si>
  <si>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</si>
  <si>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</si>
  <si>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</si>
  <si>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</si>
  <si>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</si>
  <si>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</si>
  <si>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</si>
  <si>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</si>
  <si>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</si>
  <si>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</si>
  <si>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</si>
  <si>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</si>
  <si>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</si>
  <si>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</si>
  <si>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</si>
  <si>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</si>
  <si>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</si>
  <si>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</si>
  <si>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</si>
  <si>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</si>
  <si>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</si>
  <si>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</si>
  <si>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</si>
  <si>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</si>
  <si>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</si>
  <si>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</si>
  <si>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</si>
  <si>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</si>
  <si>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</si>
  <si>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</si>
  <si>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</si>
  <si>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</si>
  <si>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</si>
  <si>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</si>
  <si>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</si>
  <si>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</si>
  <si>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</si>
  <si>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</si>
  <si>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</si>
  <si>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</si>
  <si>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</si>
  <si>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</si>
  <si>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</si>
  <si>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</si>
  <si>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</si>
  <si>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</si>
  <si>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</si>
  <si>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</si>
  <si>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</si>
  <si>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</si>
  <si>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</si>
  <si>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</si>
  <si>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</si>
  <si>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</si>
  <si>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</si>
  <si>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</si>
  <si>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</si>
  <si>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</si>
  <si>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</si>
  <si>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</si>
  <si>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</si>
  <si>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</si>
  <si>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</si>
  <si>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</si>
  <si>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</si>
  <si>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</si>
  <si>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</si>
  <si>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</si>
  <si>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</si>
  <si>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</si>
  <si>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</si>
  <si>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</si>
  <si>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</si>
  <si>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</si>
  <si>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</si>
  <si>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</si>
  <si>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</si>
  <si>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</si>
  <si>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</si>
  <si>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</si>
  <si>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</si>
  <si>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</si>
  <si>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</si>
  <si>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</si>
  <si>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</si>
  <si>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</si>
  <si>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</si>
  <si>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</si>
  <si>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</si>
  <si>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</si>
  <si>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</si>
  <si>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</si>
  <si>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</si>
  <si>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</si>
  <si>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</si>
  <si>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</si>
  <si>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</si>
  <si>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</si>
  <si>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</si>
  <si>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</si>
  <si>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</si>
  <si>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</si>
  <si>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</si>
  <si>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</si>
  <si>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</si>
  <si>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</si>
  <si>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</si>
  <si>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</si>
  <si>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</si>
  <si>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</si>
  <si>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</si>
  <si>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</si>
  <si>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</si>
  <si>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</si>
  <si>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</si>
  <si>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</si>
  <si>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</si>
  <si>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</si>
  <si>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</si>
  <si>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</si>
  <si>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</si>
  <si>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</si>
  <si>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</si>
  <si>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</si>
  <si>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</si>
  <si>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</si>
  <si>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</si>
  <si>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</si>
  <si>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</si>
  <si>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</si>
  <si>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</si>
  <si>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</si>
  <si>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</si>
  <si>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</si>
  <si>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</si>
  <si>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</si>
  <si>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</si>
  <si>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</si>
  <si>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</si>
  <si>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</si>
  <si>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</si>
  <si>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</si>
  <si>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</si>
  <si>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</si>
  <si>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</si>
  <si>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</si>
  <si>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</si>
  <si>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</si>
  <si>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</si>
  <si>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</si>
  <si>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</si>
  <si>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</si>
  <si>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</si>
  <si>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</si>
  <si>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</si>
  <si>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</si>
  <si>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</si>
  <si>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</si>
  <si>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</si>
  <si>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</si>
  <si>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</si>
  <si>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</si>
  <si>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</si>
  <si>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</si>
  <si>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</si>
  <si>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</si>
  <si>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</si>
  <si>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</si>
  <si>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</si>
  <si>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</si>
  <si>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</si>
  <si>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</si>
  <si>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</si>
  <si>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</si>
  <si>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</si>
  <si>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</si>
  <si>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</si>
  <si>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</si>
  <si>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</si>
  <si>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</si>
  <si>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</si>
  <si>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</si>
  <si>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</si>
  <si>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</si>
  <si>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</si>
  <si>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</si>
  <si>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</si>
  <si>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</si>
  <si>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</si>
  <si>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</si>
  <si>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</si>
  <si>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</si>
  <si>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</si>
  <si>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</si>
  <si>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</si>
  <si>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</si>
  <si>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</si>
  <si>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</si>
  <si>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</si>
  <si>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</si>
  <si>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</si>
  <si>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</si>
  <si>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</si>
  <si>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</si>
  <si>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</si>
  <si>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</si>
  <si>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</si>
  <si>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</si>
  <si>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</si>
  <si>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</si>
  <si>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</si>
  <si>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</si>
  <si>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</si>
  <si>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</si>
  <si>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</si>
  <si>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</si>
  <si>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</si>
  <si>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</si>
  <si>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</si>
  <si>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</si>
  <si>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</si>
  <si>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</si>
  <si>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</si>
  <si>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</si>
  <si>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</si>
  <si>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</si>
  <si>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</si>
  <si>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</si>
  <si>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</si>
  <si>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</si>
  <si>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</si>
  <si>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</si>
  <si>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</si>
  <si>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</si>
  <si>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</si>
  <si>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</si>
  <si>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</si>
  <si>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</si>
  <si>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</si>
  <si>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</si>
  <si>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</si>
  <si>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</si>
  <si>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</si>
  <si>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</si>
  <si>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</si>
  <si>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</si>
  <si>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</si>
  <si>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</si>
  <si>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</si>
  <si>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</si>
  <si>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</si>
  <si>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</si>
  <si>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</si>
  <si>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</si>
  <si>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</si>
  <si>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</si>
  <si>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</si>
  <si>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</si>
  <si>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</si>
  <si>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</si>
  <si>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</si>
  <si>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</si>
  <si>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</si>
  <si>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</si>
  <si>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</si>
  <si>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</si>
  <si>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</si>
  <si>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</si>
  <si>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</si>
  <si>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</si>
  <si>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</si>
  <si>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</si>
  <si>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</si>
  <si>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</si>
  <si>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</si>
  <si>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</si>
  <si>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</si>
  <si>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</si>
  <si>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</si>
  <si>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</si>
  <si>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</si>
  <si>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</si>
  <si>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</si>
  <si>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</si>
  <si>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</si>
  <si>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</si>
  <si>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</si>
  <si>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</si>
  <si>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</si>
  <si>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</si>
  <si>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</si>
  <si>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</si>
  <si>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</si>
  <si>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</si>
  <si>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</si>
  <si>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</si>
  <si>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</si>
  <si>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</si>
  <si>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</si>
  <si>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</si>
  <si>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</si>
  <si>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</si>
  <si>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</si>
  <si>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</si>
  <si>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</si>
  <si>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</si>
  <si>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</si>
  <si>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</si>
  <si>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</si>
  <si>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</si>
  <si>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</si>
  <si>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</si>
  <si>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</si>
  <si>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</si>
  <si>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</si>
  <si>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</si>
  <si>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</si>
  <si>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</si>
  <si>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</si>
  <si>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</si>
  <si>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</si>
  <si>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</si>
  <si>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</si>
  <si>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</si>
  <si>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</si>
  <si>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</si>
  <si>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</si>
  <si>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</si>
  <si>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</si>
  <si>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</si>
  <si>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</si>
  <si>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</si>
  <si>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</si>
  <si>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</si>
  <si>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</si>
  <si>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</si>
  <si>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</si>
  <si>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</si>
  <si>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</si>
  <si>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</si>
  <si>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</si>
  <si>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</si>
  <si>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</si>
  <si>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</si>
  <si>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</si>
  <si>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</si>
  <si>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</si>
  <si>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</si>
  <si>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</si>
  <si>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</si>
  <si>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</si>
  <si>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</si>
  <si>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</si>
  <si>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</si>
  <si>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</si>
  <si>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</si>
  <si>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</si>
  <si>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</si>
  <si>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</si>
  <si>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</si>
  <si>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</si>
  <si>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</si>
  <si>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</si>
  <si>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</si>
  <si>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</si>
  <si>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</si>
  <si>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</si>
  <si>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</si>
  <si>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</si>
  <si>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</si>
  <si>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</si>
  <si>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</si>
  <si>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</si>
  <si>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</si>
  <si>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</si>
  <si>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</si>
  <si>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</si>
  <si>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</si>
  <si>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</si>
  <si>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</si>
  <si>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</si>
  <si>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</si>
  <si>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</si>
  <si>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</si>
  <si>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</si>
  <si>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</si>
  <si>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</si>
  <si>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</si>
  <si>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</si>
  <si>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</si>
  <si>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</si>
  <si>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</si>
  <si>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</si>
  <si>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</si>
  <si>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</si>
  <si>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</si>
  <si>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</si>
  <si>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</si>
  <si>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</si>
  <si>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</si>
  <si>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</si>
  <si>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</si>
  <si>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</si>
  <si>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</si>
  <si>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</si>
  <si>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</si>
  <si>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</si>
  <si>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</si>
  <si>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</si>
  <si>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</si>
  <si>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</si>
  <si>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</si>
  <si>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</si>
  <si>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</si>
  <si>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</si>
  <si>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</si>
  <si>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</si>
  <si>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</si>
  <si>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</si>
  <si>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</si>
  <si>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</si>
  <si>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</si>
  <si>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</si>
  <si>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</si>
  <si>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</si>
  <si>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</si>
  <si>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</si>
  <si>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</si>
  <si>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</si>
  <si>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</si>
  <si>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</si>
  <si>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</si>
  <si>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</si>
  <si>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</si>
  <si>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</si>
  <si>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</si>
  <si>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</si>
  <si>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</si>
  <si>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</si>
  <si>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</si>
  <si>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</si>
  <si>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</si>
  <si>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</si>
  <si>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</si>
  <si>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</si>
  <si>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</si>
  <si>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</si>
  <si>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</si>
  <si>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</si>
  <si>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</si>
  <si>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</si>
  <si>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</si>
  <si>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</si>
  <si>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</si>
  <si>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</si>
  <si>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</si>
  <si>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</si>
  <si>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</si>
  <si>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</si>
  <si>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</si>
  <si>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</si>
  <si>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</si>
  <si>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</si>
  <si>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</si>
  <si>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</si>
  <si>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</si>
  <si>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</si>
  <si>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</si>
  <si>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</si>
  <si>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</si>
  <si>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</si>
  <si>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</si>
  <si>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</si>
  <si>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</si>
  <si>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</si>
  <si>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</si>
  <si>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</si>
  <si>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</si>
  <si>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</si>
  <si>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</si>
  <si>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</si>
  <si>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</si>
  <si>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</si>
  <si>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</si>
  <si>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</si>
  <si>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</si>
  <si>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</si>
  <si>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</si>
  <si>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</si>
  <si>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</si>
  <si>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</si>
  <si>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</si>
  <si>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</si>
  <si>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</si>
  <si>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</si>
  <si>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</si>
  <si>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</si>
  <si>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</si>
  <si>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</si>
  <si>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</si>
  <si>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</si>
  <si>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</si>
  <si>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</si>
  <si>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</si>
  <si>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</si>
  <si>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</si>
  <si>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</si>
  <si>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</si>
  <si>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</si>
  <si>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</si>
  <si>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</si>
  <si>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</si>
  <si>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</si>
  <si>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</si>
  <si>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</si>
  <si>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</si>
  <si>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</si>
  <si>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</si>
  <si>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</si>
  <si>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</si>
  <si>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</si>
  <si>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</si>
  <si>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</si>
  <si>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</si>
  <si>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</si>
  <si>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</si>
  <si>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</si>
  <si>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</si>
  <si>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</si>
  <si>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</si>
  <si>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</si>
  <si>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</si>
  <si>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</si>
  <si>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</si>
  <si>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</si>
  <si>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</si>
  <si>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</si>
  <si>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</si>
  <si>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</si>
  <si>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</si>
  <si>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</si>
  <si>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</si>
  <si>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</si>
  <si>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</si>
  <si>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</si>
  <si>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</si>
  <si>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</si>
  <si>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</si>
  <si>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</si>
  <si>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</si>
  <si>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</si>
  <si>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</si>
  <si>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</si>
  <si>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</si>
  <si>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</si>
  <si>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</si>
  <si>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</si>
  <si>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</si>
  <si>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</si>
  <si>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</si>
  <si>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</si>
  <si>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</si>
  <si>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</si>
  <si>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</si>
  <si>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</si>
  <si>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</si>
  <si>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</si>
  <si>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</si>
  <si>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</si>
  <si>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</si>
  <si>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</si>
  <si>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</si>
  <si>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</si>
  <si>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</si>
  <si>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</si>
  <si>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</si>
  <si>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</si>
  <si>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</si>
  <si>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</si>
  <si>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</si>
  <si>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</si>
  <si>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</si>
  <si>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</si>
  <si>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</si>
  <si>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</si>
  <si>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</si>
  <si>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</si>
  <si>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</si>
  <si>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</si>
  <si>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</si>
  <si>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</si>
  <si>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</si>
  <si>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</si>
  <si>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</si>
  <si>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</si>
  <si>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</si>
  <si>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</si>
  <si>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</si>
  <si>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</si>
  <si>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</si>
  <si>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</si>
  <si>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</si>
  <si>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</si>
  <si>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</si>
  <si>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</si>
  <si>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</si>
  <si>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</si>
  <si>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</si>
  <si>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</si>
  <si>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</si>
  <si>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</si>
  <si>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</si>
  <si>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</si>
  <si>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</si>
  <si>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</si>
  <si>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</si>
  <si>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</si>
  <si>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</si>
  <si>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</si>
  <si>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</si>
  <si>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</si>
  <si>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</si>
  <si>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</si>
  <si>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</si>
  <si>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</si>
  <si>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</si>
  <si>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</si>
  <si>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</si>
  <si>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</si>
  <si>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</si>
  <si>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</si>
  <si>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</si>
  <si>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</si>
  <si>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</si>
  <si>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</si>
  <si>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</si>
  <si>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</si>
  <si>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</si>
  <si>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</si>
  <si>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</si>
  <si>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</si>
  <si>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</si>
  <si>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</si>
  <si>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</si>
  <si>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</si>
  <si>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</si>
  <si>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</si>
  <si>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</si>
  <si>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</si>
  <si>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</si>
  <si>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</si>
  <si>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</si>
  <si>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</si>
  <si>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</si>
  <si>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</si>
  <si>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</si>
  <si>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</si>
  <si>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</si>
  <si>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</si>
  <si>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</si>
  <si>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</si>
  <si>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</si>
  <si>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</si>
  <si>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</si>
  <si>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</si>
  <si>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</si>
  <si>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</si>
  <si>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</si>
  <si>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</si>
  <si>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</si>
  <si>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</si>
  <si>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</si>
  <si>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</si>
  <si>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</si>
  <si>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</si>
  <si>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</si>
  <si>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</si>
  <si>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</si>
  <si>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</si>
  <si>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</si>
  <si>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</si>
  <si>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</si>
  <si>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</si>
  <si>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</si>
  <si>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</si>
  <si>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</si>
  <si>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</si>
  <si>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</si>
  <si>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</si>
  <si>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</si>
  <si>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</si>
  <si>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</si>
  <si>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</si>
  <si>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</si>
  <si>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</si>
  <si>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</si>
  <si>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</si>
  <si>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</si>
  <si>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</si>
  <si>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</si>
  <si>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</si>
  <si>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</si>
  <si>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</si>
  <si>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</si>
  <si>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</si>
  <si>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</si>
  <si>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</si>
  <si>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</si>
  <si>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</si>
  <si>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</si>
  <si>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</si>
  <si>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</si>
  <si>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</si>
  <si>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</si>
  <si>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</si>
  <si>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</si>
  <si>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</si>
  <si>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</si>
  <si>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</si>
  <si>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</si>
  <si>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</si>
  <si>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</si>
  <si>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</si>
  <si>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</si>
  <si>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</si>
  <si>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</si>
  <si>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</si>
  <si>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</si>
  <si>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</si>
  <si>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</si>
  <si>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</si>
  <si>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</si>
  <si>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</si>
  <si>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</si>
  <si>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</si>
  <si>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</si>
  <si>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</si>
  <si>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</si>
  <si>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</si>
  <si>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</si>
  <si>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</si>
  <si>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</si>
  <si>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</si>
  <si>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</si>
  <si>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</si>
  <si>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</si>
  <si>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</si>
  <si>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</si>
  <si>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</si>
  <si>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</si>
  <si>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</si>
  <si>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</si>
  <si>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</si>
  <si>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</si>
  <si>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</si>
  <si>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</si>
  <si>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</si>
  <si>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</si>
  <si>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</si>
  <si>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</si>
  <si>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</si>
  <si>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</si>
  <si>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</si>
  <si>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</si>
  <si>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</si>
  <si>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</si>
  <si>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</si>
  <si>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</si>
  <si>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</si>
  <si>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</si>
  <si>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</si>
  <si>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</si>
  <si>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</si>
  <si>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</si>
  <si>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</si>
  <si>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</si>
  <si>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</si>
  <si>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</si>
  <si>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</si>
  <si>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</si>
  <si>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</si>
  <si>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</si>
  <si>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</si>
  <si>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</si>
  <si>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</si>
  <si>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</si>
  <si>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</si>
  <si>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</si>
  <si>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</si>
  <si>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</si>
  <si>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</si>
  <si>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</si>
  <si>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</si>
  <si>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</si>
  <si>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</si>
  <si>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</si>
  <si>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</si>
  <si>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</si>
  <si>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</si>
  <si>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</si>
  <si>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</si>
  <si>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</si>
  <si>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</si>
  <si>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</si>
  <si>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</si>
  <si>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</si>
  <si>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</si>
  <si>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</si>
  <si>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</si>
  <si>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</si>
  <si>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</si>
  <si>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</si>
  <si>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</si>
  <si>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</si>
  <si>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</si>
  <si>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</si>
  <si>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</si>
  <si>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</si>
  <si>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</si>
  <si>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</si>
  <si>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</si>
  <si>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</si>
  <si>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</si>
  <si>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</si>
  <si>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</si>
  <si>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</si>
  <si>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</si>
  <si>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</si>
  <si>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</si>
  <si>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</si>
  <si>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</si>
  <si>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</si>
  <si>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</si>
  <si>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</si>
  <si>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</si>
  <si>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</si>
  <si>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</si>
  <si>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</si>
  <si>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</si>
  <si>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</si>
  <si>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</si>
  <si>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</si>
  <si>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</si>
  <si>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</si>
  <si>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</si>
  <si>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</si>
  <si>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</si>
  <si>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</si>
  <si>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</si>
  <si>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</si>
  <si>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</si>
  <si>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</si>
  <si>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</si>
  <si>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</si>
  <si>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</si>
  <si>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</si>
  <si>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</si>
  <si>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</si>
  <si>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</si>
  <si>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</si>
  <si>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</si>
  <si>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</si>
  <si>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</si>
  <si>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</si>
  <si>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</si>
  <si>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</si>
  <si>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</si>
  <si>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</si>
  <si>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</si>
  <si>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</si>
  <si>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</si>
  <si>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</si>
  <si>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</si>
  <si>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</si>
  <si>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</si>
  <si>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</si>
  <si>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</si>
  <si>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</si>
  <si>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</si>
  <si>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</si>
  <si>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</si>
  <si>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</si>
  <si>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</si>
  <si>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</si>
  <si>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</si>
  <si>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</si>
  <si>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</si>
  <si>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</si>
  <si>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</si>
  <si>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</si>
  <si>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</si>
  <si>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</si>
  <si>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</si>
  <si>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</si>
  <si>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</si>
  <si>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</si>
  <si>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</si>
  <si>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</si>
  <si>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</si>
  <si>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</si>
  <si>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</si>
  <si>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</si>
  <si>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</si>
  <si>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</si>
  <si>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</si>
  <si>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</si>
  <si>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</si>
  <si>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</si>
  <si>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</si>
  <si>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</si>
  <si>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</si>
  <si>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</si>
  <si>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</si>
  <si>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</si>
  <si>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</si>
  <si>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</si>
  <si>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</si>
  <si>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</si>
  <si>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</si>
  <si>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</si>
  <si>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</si>
  <si>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</si>
  <si>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</si>
  <si>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</si>
  <si>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</si>
  <si>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</si>
  <si>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</si>
  <si>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</si>
  <si>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</si>
  <si>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</si>
  <si>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</si>
  <si>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</si>
  <si>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</si>
  <si>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</si>
  <si>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</si>
  <si>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</si>
  <si>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</si>
  <si>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</si>
  <si>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</si>
  <si>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</si>
  <si>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</si>
  <si>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</si>
  <si>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</si>
  <si>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</si>
  <si>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</si>
  <si>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</si>
  <si>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</si>
  <si>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</si>
  <si>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</si>
  <si>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</si>
  <si>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</si>
  <si>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</si>
  <si>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</si>
  <si>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</si>
  <si>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</si>
  <si>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</si>
  <si>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</si>
  <si>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</si>
  <si>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</si>
  <si>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</si>
  <si>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</si>
  <si>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</si>
  <si>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</si>
  <si>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</si>
  <si>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</si>
  <si>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</si>
  <si>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</si>
  <si>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</si>
  <si>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</si>
  <si>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</si>
  <si>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</si>
  <si>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</si>
  <si>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</si>
  <si>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</si>
  <si>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</si>
  <si>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</si>
  <si>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</si>
  <si>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</si>
  <si>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</si>
  <si>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</si>
  <si>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</si>
  <si>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</si>
  <si>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</si>
  <si>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</si>
  <si>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</si>
  <si>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</si>
  <si>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</si>
  <si>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</si>
  <si>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</si>
  <si>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</si>
  <si>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</si>
  <si>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</si>
  <si>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</si>
  <si>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</si>
  <si>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</si>
  <si>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</si>
  <si>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</si>
  <si>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</si>
  <si>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</si>
  <si>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</si>
  <si>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</si>
  <si>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</si>
  <si>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</si>
  <si>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</si>
  <si>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</si>
  <si>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</si>
  <si>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</si>
  <si>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</si>
  <si>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</si>
  <si>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</si>
  <si>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</si>
  <si>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</si>
  <si>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</si>
  <si>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</si>
  <si>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</si>
  <si>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</si>
  <si>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</si>
  <si>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</si>
  <si>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</si>
  <si>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</si>
  <si>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</si>
  <si>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</si>
  <si>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</si>
  <si>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</si>
  <si>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</si>
  <si>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</si>
  <si>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</si>
  <si>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</si>
  <si>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</si>
  <si>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</si>
  <si>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</si>
  <si>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</si>
  <si>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</si>
  <si>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</si>
  <si>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</si>
  <si>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</si>
  <si>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</si>
  <si>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</si>
  <si>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</si>
  <si>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</si>
  <si>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</si>
  <si>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</si>
  <si>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</si>
  <si>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</si>
  <si>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</si>
  <si>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</si>
  <si>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</si>
  <si>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</si>
  <si>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</si>
  <si>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</si>
  <si>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</si>
  <si>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</si>
  <si>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</si>
  <si>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</si>
  <si>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</si>
  <si>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</si>
  <si>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</si>
  <si>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</si>
  <si>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</si>
  <si>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</si>
  <si>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</si>
  <si>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</si>
  <si>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</si>
  <si>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</si>
  <si>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</si>
  <si>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</si>
  <si>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</si>
  <si>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</si>
  <si>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</si>
  <si>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</si>
  <si>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</si>
  <si>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</si>
  <si>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</si>
  <si>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</si>
  <si>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</si>
  <si>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</si>
  <si>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</si>
  <si>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</si>
  <si>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</si>
  <si>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</si>
  <si>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</si>
  <si>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</si>
  <si>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</si>
  <si>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</si>
  <si>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</si>
  <si>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</si>
  <si>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</si>
  <si>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</si>
  <si>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</si>
  <si>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</si>
  <si>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</si>
  <si>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</si>
  <si>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</si>
  <si>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</si>
  <si>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</si>
  <si>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</si>
  <si>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</si>
  <si>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</si>
  <si>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</si>
  <si>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</si>
  <si>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</si>
  <si>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</si>
  <si>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</si>
  <si>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</si>
  <si>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</si>
  <si>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</si>
  <si>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</si>
  <si>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</si>
  <si>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</si>
  <si>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</si>
  <si>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</si>
  <si>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</si>
  <si>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</si>
  <si>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</si>
  <si>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</si>
  <si>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</si>
  <si>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</si>
  <si>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</si>
  <si>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</si>
  <si>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</si>
  <si>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</si>
  <si>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</si>
  <si>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</si>
  <si>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</si>
  <si>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</si>
  <si>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</si>
  <si>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</si>
  <si>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</si>
  <si>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</si>
  <si>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</si>
  <si>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</si>
  <si>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</si>
  <si>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</si>
  <si>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</si>
  <si>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</si>
  <si>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</si>
  <si>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</si>
  <si>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</si>
  <si>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</si>
  <si>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</si>
  <si>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</si>
  <si>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</si>
  <si>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</si>
  <si>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</si>
  <si>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</si>
  <si>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</si>
  <si>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</si>
  <si>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</si>
  <si>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</si>
  <si>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</si>
  <si>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</si>
  <si>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</si>
  <si>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</si>
  <si>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</si>
  <si>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</si>
  <si>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</si>
  <si>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</si>
  <si>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</si>
  <si>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</si>
  <si>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</si>
  <si>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</si>
  <si>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</si>
  <si>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</si>
  <si>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</si>
  <si>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</si>
  <si>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</si>
  <si>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</si>
  <si>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</si>
  <si>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</si>
  <si>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</si>
  <si>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</si>
  <si>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</si>
  <si>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</si>
  <si>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</si>
  <si>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</si>
  <si>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</si>
  <si>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</si>
  <si>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</si>
  <si>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</si>
  <si>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</si>
  <si>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</si>
  <si>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</si>
  <si>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</si>
  <si>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</si>
  <si>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</si>
  <si>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</si>
  <si>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</si>
  <si>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</si>
  <si>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</si>
  <si>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</si>
  <si>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</si>
  <si>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</si>
  <si>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</si>
  <si>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</si>
  <si>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</si>
  <si>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</si>
  <si>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</si>
  <si>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</si>
  <si>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</si>
  <si>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</si>
  <si>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</si>
  <si>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</si>
  <si>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</si>
  <si>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</si>
  <si>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</si>
  <si>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</si>
  <si>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</si>
  <si>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</si>
  <si>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</si>
  <si>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</si>
  <si>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</si>
  <si>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</si>
  <si>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</si>
  <si>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</si>
  <si>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</si>
  <si>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</si>
  <si>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</si>
  <si>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</si>
  <si>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</si>
  <si>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</si>
  <si>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</si>
  <si>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</si>
  <si>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</si>
  <si>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</si>
  <si>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</si>
  <si>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</si>
  <si>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</si>
  <si>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</si>
  <si>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</si>
  <si>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</si>
  <si>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</si>
  <si>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</si>
  <si>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</si>
  <si>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</si>
  <si>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</si>
  <si>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</si>
  <si>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</si>
  <si>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</si>
  <si>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</si>
  <si>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</si>
  <si>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</si>
  <si>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</si>
  <si>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</si>
  <si>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</si>
  <si>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</si>
  <si>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</si>
  <si>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</si>
  <si>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</si>
  <si>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</si>
  <si>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</si>
  <si>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</si>
  <si>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</si>
  <si>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</si>
  <si>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</si>
  <si>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</si>
  <si>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</si>
  <si>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</si>
  <si>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</si>
  <si>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</si>
  <si>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</si>
  <si>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</si>
  <si>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</si>
  <si>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</si>
  <si>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</si>
  <si>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</si>
  <si>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</si>
  <si>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</si>
  <si>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</si>
  <si>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</si>
  <si>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</si>
  <si>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</si>
  <si>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</si>
  <si>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</si>
  <si>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</si>
  <si>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</si>
  <si>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</si>
  <si>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</si>
  <si>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</si>
  <si>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</si>
  <si>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</si>
  <si>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</si>
  <si>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</si>
  <si>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</si>
  <si>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</si>
  <si>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</si>
  <si>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</si>
  <si>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</si>
  <si>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</si>
  <si>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</si>
  <si>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</si>
  <si>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</si>
  <si>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</si>
  <si>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</si>
  <si>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</si>
  <si>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</si>
  <si>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</si>
  <si>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</si>
  <si>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</si>
  <si>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</si>
  <si>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</si>
  <si>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</si>
  <si>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</si>
  <si>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</si>
  <si>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</si>
  <si>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</si>
  <si>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</si>
  <si>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</si>
  <si>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</si>
  <si>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</si>
  <si>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</si>
  <si>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</si>
  <si>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</si>
  <si>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</si>
  <si>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</si>
  <si>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</si>
  <si>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</si>
  <si>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</si>
  <si>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</si>
  <si>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</si>
  <si>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</si>
  <si>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</si>
  <si>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</si>
  <si>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</si>
  <si>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</si>
  <si>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</si>
  <si>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</si>
  <si>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</si>
  <si>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</si>
  <si>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</si>
  <si>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</si>
  <si>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</si>
  <si>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</si>
  <si>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</si>
  <si>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</si>
  <si>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</si>
  <si>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</si>
  <si>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</si>
  <si>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</si>
  <si>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</si>
  <si>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</si>
  <si>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</si>
  <si>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</si>
  <si>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</si>
  <si>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</si>
  <si>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</si>
  <si>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</si>
  <si>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</si>
  <si>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</si>
  <si>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</si>
  <si>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</si>
  <si>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</si>
  <si>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</si>
  <si>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</si>
  <si>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</si>
  <si>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</si>
  <si>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</si>
  <si>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</si>
  <si>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</si>
  <si>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</si>
  <si>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</si>
  <si>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</si>
  <si>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</si>
  <si>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</si>
  <si>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</si>
  <si>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</si>
  <si>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</si>
  <si>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</si>
  <si>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</si>
  <si>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</si>
  <si>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</si>
  <si>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</si>
  <si>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</si>
  <si>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</si>
  <si>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</si>
  <si>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</si>
  <si>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</si>
  <si>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</si>
  <si>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</si>
  <si>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</si>
  <si>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</si>
  <si>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</si>
  <si>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</si>
  <si>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</si>
  <si>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</si>
  <si>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</si>
  <si>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</si>
  <si>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</si>
  <si>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</si>
  <si>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</si>
  <si>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</si>
  <si>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</si>
  <si>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</si>
  <si>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</si>
  <si>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</si>
  <si>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</si>
  <si>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</si>
  <si>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</si>
  <si>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</si>
  <si>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</si>
  <si>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</si>
  <si>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</si>
  <si>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</si>
  <si>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</si>
  <si>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</si>
  <si>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</si>
  <si>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</si>
  <si>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</si>
  <si>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</si>
  <si>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</si>
  <si>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</si>
  <si>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</si>
  <si>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</si>
  <si>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</si>
  <si>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</si>
  <si>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</si>
  <si>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</si>
  <si>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</si>
  <si>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</si>
  <si>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</si>
  <si>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</si>
  <si>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</si>
  <si>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</si>
  <si>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</si>
  <si>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</si>
  <si>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</si>
  <si>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</si>
  <si>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</si>
  <si>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</si>
  <si>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</si>
  <si>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</si>
  <si>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</si>
  <si>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</si>
  <si>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</si>
  <si>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</si>
  <si>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</si>
  <si>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</si>
  <si>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</si>
  <si>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</si>
  <si>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</si>
  <si>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</si>
  <si>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</si>
  <si>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</si>
  <si>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</si>
  <si>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</si>
  <si>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</si>
  <si>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</si>
  <si>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</si>
  <si>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</si>
  <si>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</si>
  <si>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</si>
  <si>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</si>
  <si>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</si>
  <si>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</si>
  <si>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</si>
  <si>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</si>
  <si>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</si>
  <si>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</si>
  <si>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</si>
  <si>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</si>
  <si>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</si>
  <si>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</si>
  <si>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</si>
  <si>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</si>
  <si>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</si>
  <si>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</si>
  <si>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</si>
  <si>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</si>
  <si>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</si>
  <si>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</si>
  <si>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</si>
  <si>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</si>
  <si>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</si>
  <si>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</si>
  <si>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</si>
  <si>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</si>
  <si>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</si>
  <si>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</si>
  <si>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</si>
  <si>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</si>
  <si>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</si>
  <si>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</si>
  <si>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</si>
  <si>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</si>
  <si>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</si>
  <si>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</si>
  <si>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</si>
  <si>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</si>
  <si>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</si>
  <si>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</si>
  <si>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</si>
  <si>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</si>
  <si>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</si>
  <si>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</si>
  <si>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</si>
  <si>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</si>
  <si>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</si>
  <si>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</si>
  <si>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</si>
  <si>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</si>
  <si>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</si>
  <si>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</si>
  <si>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</si>
  <si>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</si>
  <si>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</si>
  <si>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</si>
  <si>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</si>
  <si>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</si>
  <si>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</si>
  <si>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</si>
  <si>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</si>
  <si>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</si>
  <si>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</si>
  <si>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</si>
  <si>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</si>
  <si>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</si>
  <si>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</si>
  <si>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</si>
  <si>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</si>
  <si>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</si>
  <si>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</si>
  <si>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</si>
  <si>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</si>
  <si>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</si>
  <si>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</si>
  <si>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</si>
  <si>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</si>
  <si>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</si>
  <si>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</si>
  <si>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</si>
  <si>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</si>
  <si>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</si>
  <si>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</si>
  <si>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</si>
  <si>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</si>
  <si>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</si>
  <si>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</si>
  <si>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</si>
  <si>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</si>
  <si>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</si>
  <si>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</si>
  <si>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</si>
  <si>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</si>
  <si>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</si>
  <si>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</si>
  <si>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</si>
  <si>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</si>
  <si>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</si>
  <si>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</si>
  <si>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</si>
  <si>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</si>
  <si>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</si>
  <si>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</si>
  <si>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</si>
  <si>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</si>
  <si>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</si>
  <si>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</si>
  <si>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</si>
  <si>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</si>
  <si>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</si>
  <si>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</si>
  <si>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</si>
  <si>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</si>
  <si>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</si>
  <si>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</si>
  <si>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</si>
  <si>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</si>
  <si>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</si>
  <si>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</si>
  <si>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</si>
  <si>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</si>
  <si>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</si>
  <si>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</si>
  <si>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</si>
  <si>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</si>
  <si>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</si>
  <si>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</si>
  <si>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</si>
  <si>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</si>
  <si>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</si>
  <si>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</si>
  <si>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</si>
  <si>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</si>
  <si>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</si>
  <si>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</si>
  <si>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</si>
  <si>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</si>
  <si>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</si>
  <si>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</si>
  <si>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</si>
  <si>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</si>
  <si>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</si>
  <si>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</si>
  <si>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</si>
  <si>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</si>
  <si>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</si>
  <si>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</si>
  <si>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</si>
  <si>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</si>
  <si>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</si>
  <si>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</si>
  <si>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</si>
  <si>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</si>
  <si>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</si>
  <si>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</si>
  <si>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</si>
  <si>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</si>
  <si>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</si>
  <si>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</si>
  <si>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</si>
  <si>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</si>
  <si>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</si>
  <si>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</si>
  <si>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</si>
  <si>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</si>
  <si>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</si>
  <si>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</si>
  <si>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</si>
  <si>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</si>
  <si>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</si>
  <si>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</si>
  <si>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</si>
  <si>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</si>
  <si>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</si>
  <si>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</si>
  <si>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</si>
  <si>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</si>
  <si>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</si>
  <si>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</si>
  <si>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</si>
  <si>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</si>
  <si>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</si>
  <si>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</si>
  <si>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</si>
  <si>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</si>
  <si>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</si>
  <si>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</si>
  <si>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</si>
  <si>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</si>
  <si>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</si>
  <si>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</si>
  <si>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</si>
  <si>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</si>
  <si>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</si>
  <si>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</si>
  <si>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</si>
  <si>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</si>
  <si>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</si>
  <si>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</si>
  <si>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</si>
  <si>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</si>
  <si>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</si>
  <si>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</si>
  <si>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</si>
  <si>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</si>
  <si>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</si>
  <si>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</si>
  <si>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</si>
  <si>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</si>
  <si>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</si>
  <si>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</si>
  <si>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</si>
  <si>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</si>
  <si>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</si>
  <si>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</si>
  <si>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</si>
  <si>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</si>
  <si>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</si>
  <si>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</si>
  <si>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</si>
  <si>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</si>
  <si>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</si>
  <si>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</si>
  <si>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</si>
  <si>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</si>
  <si>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</si>
  <si>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</si>
  <si>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</si>
  <si>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</si>
  <si>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</si>
  <si>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</si>
  <si>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</si>
  <si>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</si>
  <si>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</si>
  <si>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</si>
  <si>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</si>
  <si>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</si>
  <si>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</si>
  <si>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</si>
  <si>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</si>
  <si>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</si>
  <si>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</si>
  <si>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</si>
  <si>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</si>
  <si>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</si>
  <si>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</si>
  <si>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</si>
  <si>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</si>
  <si>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</si>
  <si>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</si>
  <si>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</si>
  <si>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</si>
  <si>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</si>
  <si>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</si>
  <si>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</si>
  <si>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</si>
  <si>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</si>
  <si>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</si>
  <si>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</si>
  <si>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</si>
  <si>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</si>
  <si>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</si>
  <si>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</si>
  <si>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</si>
  <si>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</si>
  <si>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</si>
  <si>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</si>
  <si>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</si>
  <si>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</si>
  <si>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</si>
  <si>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</si>
  <si>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</si>
  <si>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</si>
  <si>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</si>
  <si>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</si>
  <si>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</si>
  <si>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</si>
  <si>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</si>
  <si>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</si>
  <si>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</si>
  <si>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</si>
  <si>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</si>
  <si>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</si>
  <si>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</si>
  <si>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</si>
  <si>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</si>
  <si>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</si>
  <si>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</si>
  <si>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</si>
  <si>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</si>
  <si>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</si>
  <si>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</si>
  <si>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</si>
  <si>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</si>
  <si>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</si>
  <si>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</si>
  <si>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</si>
  <si>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</si>
  <si>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</si>
  <si>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</si>
  <si>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</si>
  <si>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</si>
  <si>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</si>
  <si>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</si>
  <si>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</si>
  <si>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</si>
  <si>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</si>
  <si>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</si>
  <si>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</si>
  <si>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</si>
  <si>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</si>
  <si>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</si>
  <si>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</si>
  <si>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</si>
  <si>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</si>
  <si>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</si>
  <si>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</si>
  <si>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</si>
  <si>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</si>
  <si>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</si>
  <si>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</si>
  <si>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</si>
  <si>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</si>
  <si>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</si>
  <si>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</si>
  <si>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</si>
  <si>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</si>
  <si>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</si>
  <si>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</si>
  <si>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</si>
  <si>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</si>
  <si>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</si>
  <si>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</si>
  <si>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</si>
  <si>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</si>
  <si>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</si>
  <si>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</si>
  <si>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</si>
  <si>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</si>
  <si>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</si>
  <si>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</si>
  <si>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</si>
  <si>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</si>
  <si>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</si>
  <si>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</si>
  <si>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</si>
  <si>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</si>
  <si>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</si>
  <si>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</si>
  <si>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</si>
  <si>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</si>
  <si>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</si>
  <si>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</si>
  <si>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</si>
  <si>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</si>
  <si>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</si>
  <si>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</si>
  <si>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</si>
  <si>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</si>
  <si>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</si>
  <si>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</si>
  <si>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</si>
  <si>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</si>
  <si>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</si>
  <si>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</si>
  <si>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</si>
  <si>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</si>
  <si>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</si>
  <si>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</si>
  <si>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</si>
  <si>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</si>
  <si>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</si>
  <si>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</si>
  <si>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</si>
  <si>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</si>
  <si>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</si>
  <si>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</si>
  <si>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</si>
  <si>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</si>
  <si>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</si>
  <si>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</si>
  <si>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</si>
  <si>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</si>
  <si>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</si>
  <si>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</si>
  <si>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</si>
  <si>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</si>
  <si>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</si>
  <si>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</si>
  <si>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</si>
  <si>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</si>
  <si>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</si>
  <si>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</si>
  <si>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</si>
  <si>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</si>
  <si>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</si>
  <si>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</si>
  <si>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</si>
  <si>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</si>
  <si>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</si>
  <si>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</si>
  <si>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</si>
  <si>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</si>
  <si>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</si>
  <si>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</si>
  <si>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</si>
  <si>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</si>
  <si>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</si>
  <si>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</si>
  <si>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</si>
  <si>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</si>
  <si>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</si>
  <si>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</si>
  <si>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</si>
  <si>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</si>
  <si>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</si>
  <si>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</si>
  <si>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</si>
  <si>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</si>
  <si>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</si>
  <si>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</si>
  <si>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</si>
  <si>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</si>
  <si>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</si>
  <si>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</si>
  <si>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</si>
  <si>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</si>
  <si>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</si>
  <si>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</si>
  <si>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</si>
  <si>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</si>
  <si>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</si>
  <si>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</si>
  <si>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</si>
  <si>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</si>
  <si>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</si>
  <si>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</si>
  <si>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</si>
  <si>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</si>
  <si>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</si>
  <si>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</si>
  <si>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</si>
  <si>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</si>
  <si>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</si>
  <si>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</si>
  <si>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</si>
  <si>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</si>
  <si>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</si>
  <si>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</si>
  <si>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</si>
  <si>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</si>
  <si>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</si>
  <si>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</si>
  <si>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</si>
  <si>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</si>
  <si>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</si>
  <si>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</si>
  <si>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</si>
  <si>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</si>
  <si>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</si>
  <si>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</si>
  <si>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</si>
  <si>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</si>
  <si>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</si>
  <si>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</si>
  <si>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</si>
  <si>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</si>
  <si>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</si>
  <si>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</si>
  <si>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</si>
  <si>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</si>
  <si>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</si>
  <si>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</si>
  <si>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</si>
  <si>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</si>
  <si>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</si>
  <si>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</si>
  <si>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</si>
  <si>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</si>
  <si>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</si>
  <si>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</si>
  <si>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</si>
  <si>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</si>
  <si>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</si>
  <si>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</si>
  <si>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</si>
  <si>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</si>
  <si>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</si>
  <si>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</si>
  <si>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</si>
  <si>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</si>
  <si>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</si>
  <si>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</si>
  <si>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</si>
  <si>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</si>
  <si>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</si>
  <si>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</si>
  <si>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</si>
  <si>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</si>
  <si>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</si>
  <si>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</si>
  <si>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</si>
  <si>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</si>
  <si>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</si>
  <si>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</si>
  <si>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</si>
  <si>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</si>
  <si>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</si>
  <si>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</si>
  <si>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</si>
  <si>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</si>
  <si>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</si>
  <si>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</si>
  <si>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</si>
  <si>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</si>
  <si>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</si>
  <si>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</si>
  <si>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</si>
  <si>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</si>
  <si>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</si>
  <si>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</si>
  <si>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</si>
  <si>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</si>
  <si>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</si>
  <si>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</si>
  <si>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</si>
  <si>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</si>
  <si>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</si>
  <si>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</si>
  <si>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</si>
  <si>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</si>
  <si>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</si>
  <si>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</si>
  <si>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</si>
  <si>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</si>
  <si>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</si>
  <si>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</si>
  <si>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</si>
  <si>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</si>
  <si>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</si>
  <si>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</si>
  <si>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</si>
  <si>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</si>
  <si>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</si>
  <si>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</si>
  <si>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</si>
  <si>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</si>
  <si>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</si>
  <si>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</si>
  <si>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</si>
  <si>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</si>
  <si>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</si>
  <si>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</si>
  <si>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</si>
  <si>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</si>
  <si>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</si>
  <si>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</si>
  <si>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</si>
  <si>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</si>
  <si>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</si>
  <si>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</si>
  <si>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</si>
  <si>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</si>
  <si>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</si>
  <si>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</si>
  <si>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</si>
  <si>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</si>
  <si>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</si>
  <si>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</si>
  <si>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</si>
  <si>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</si>
  <si>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</si>
  <si>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</si>
  <si>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</si>
  <si>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</si>
  <si>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</si>
  <si>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</si>
  <si>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</si>
  <si>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</si>
  <si>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</si>
  <si>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</si>
  <si>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</si>
  <si>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</si>
  <si>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</si>
  <si>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</si>
  <si>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</si>
  <si>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</si>
  <si>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</si>
  <si>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</si>
  <si>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</si>
  <si>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</si>
  <si>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</si>
  <si>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</si>
  <si>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</si>
  <si>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</si>
  <si>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</si>
  <si>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</si>
  <si>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</si>
  <si>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</si>
  <si>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</si>
  <si>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</si>
  <si>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</si>
  <si>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</si>
  <si>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</si>
  <si>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</si>
  <si>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</si>
  <si>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</si>
  <si>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</si>
  <si>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</si>
  <si>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</si>
  <si>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</si>
  <si>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</si>
  <si>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</si>
  <si>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</si>
  <si>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</si>
  <si>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</si>
  <si>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</si>
  <si>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</si>
  <si>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</si>
  <si>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</si>
  <si>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</si>
  <si>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</si>
  <si>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</si>
  <si>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</si>
  <si>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</si>
  <si>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</si>
  <si>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</si>
  <si>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</si>
  <si>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</si>
  <si>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</si>
  <si>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</si>
  <si>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</si>
  <si>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</si>
  <si>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</si>
  <si>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</si>
  <si>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</si>
  <si>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</si>
  <si>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</si>
  <si>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</si>
  <si>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</si>
  <si>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</si>
  <si>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</si>
  <si>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</si>
  <si>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</si>
  <si>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</si>
  <si>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</si>
  <si>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</si>
  <si>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</si>
  <si>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</si>
  <si>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</si>
  <si>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</si>
  <si>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</si>
  <si>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</si>
  <si>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</si>
  <si>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</si>
  <si>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</si>
  <si>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</si>
  <si>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</si>
  <si>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</si>
  <si>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</si>
  <si>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</si>
  <si>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</si>
  <si>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</si>
  <si>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</si>
  <si>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</si>
  <si>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</si>
  <si>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</si>
  <si>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</si>
  <si>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</si>
  <si>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</si>
  <si>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</si>
  <si>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</si>
  <si>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</si>
  <si>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</si>
  <si>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</si>
  <si>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</si>
  <si>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</si>
  <si>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</si>
  <si>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</si>
  <si>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</si>
  <si>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</si>
  <si>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</si>
  <si>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</si>
  <si>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</si>
  <si>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</si>
  <si>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</si>
  <si>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</si>
  <si>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</si>
  <si>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</si>
  <si>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</si>
  <si>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</si>
  <si>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</si>
  <si>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</si>
  <si>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</si>
  <si>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</si>
  <si>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</si>
  <si>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</si>
  <si>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</si>
  <si>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</si>
  <si>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</si>
  <si>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</si>
  <si>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</si>
  <si>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</si>
  <si>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</si>
  <si>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</si>
  <si>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</si>
  <si>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</si>
  <si>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</si>
  <si>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</si>
  <si>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</si>
  <si>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</si>
  <si>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</si>
  <si>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</si>
  <si>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</si>
  <si>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</si>
  <si>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</si>
  <si>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</si>
  <si>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</si>
  <si>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</si>
  <si>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</si>
  <si>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</si>
  <si>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</si>
  <si>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</si>
  <si>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</si>
  <si>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</si>
  <si>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</si>
  <si>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</si>
  <si>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</si>
  <si>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</si>
  <si>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</si>
  <si>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</si>
  <si>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</si>
  <si>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</si>
  <si>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</si>
  <si>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</si>
  <si>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</si>
  <si>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</si>
  <si>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</si>
  <si>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</si>
  <si>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</si>
  <si>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</si>
  <si>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</si>
  <si>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</si>
  <si>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</si>
  <si>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</si>
  <si>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</si>
  <si>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</si>
  <si>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</si>
  <si>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</si>
  <si>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</si>
  <si>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</si>
  <si>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</si>
  <si>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</si>
  <si>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</si>
  <si>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</si>
  <si>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</si>
  <si>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</si>
  <si>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</si>
  <si>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</si>
  <si>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</si>
  <si>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</si>
  <si>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</si>
  <si>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</si>
  <si>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</si>
  <si>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</si>
  <si>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</si>
  <si>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</si>
  <si>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</si>
  <si>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</si>
  <si>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</si>
  <si>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</si>
  <si>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</si>
  <si>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</si>
  <si>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</si>
  <si>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</si>
  <si>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</si>
  <si>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</si>
  <si>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</si>
  <si>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</si>
  <si>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</si>
  <si>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</si>
  <si>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</si>
  <si>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</si>
  <si>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</si>
  <si>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</si>
  <si>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</si>
  <si>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</si>
  <si>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</si>
  <si>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</si>
  <si>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</si>
  <si>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</si>
  <si>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</si>
  <si>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</si>
  <si>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</si>
  <si>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</si>
  <si>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</si>
  <si>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</si>
  <si>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</si>
  <si>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</si>
  <si>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</si>
  <si>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</si>
  <si>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</si>
  <si>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</si>
  <si>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</si>
  <si>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</si>
  <si>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</si>
  <si>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</si>
  <si>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</si>
  <si>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</si>
  <si>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</si>
  <si>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</si>
  <si>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</si>
  <si>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</si>
  <si>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</si>
  <si>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</si>
  <si>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</si>
  <si>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</si>
  <si>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</si>
  <si>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</si>
  <si>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</si>
  <si>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</si>
  <si>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</si>
  <si>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</si>
  <si>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</si>
  <si>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</si>
  <si>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</si>
  <si>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</si>
  <si>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</si>
  <si>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</si>
  <si>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</si>
  <si>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</si>
  <si>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</si>
  <si>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</si>
  <si>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</si>
  <si>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</si>
  <si>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</si>
  <si>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</si>
  <si>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</si>
  <si>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</si>
  <si>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</si>
  <si>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</si>
  <si>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</si>
  <si>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</si>
  <si>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</si>
  <si>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</si>
  <si>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</si>
  <si>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</si>
  <si>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</si>
  <si>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</si>
  <si>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</si>
  <si>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</si>
  <si>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</si>
  <si>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</si>
  <si>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</si>
  <si>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</si>
  <si>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</si>
  <si>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</si>
  <si>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</si>
  <si>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</si>
  <si>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</si>
  <si>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</si>
  <si>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</si>
  <si>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</si>
  <si>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</si>
  <si>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</si>
  <si>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</si>
  <si>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</si>
  <si>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</si>
  <si>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</si>
  <si>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</si>
  <si>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</si>
  <si>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</si>
  <si>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</si>
  <si>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</si>
  <si>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</si>
  <si>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</si>
  <si>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</si>
  <si>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</si>
  <si>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</si>
  <si>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</si>
  <si>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</si>
  <si>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</si>
  <si>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</si>
  <si>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</si>
  <si>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</si>
  <si>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</si>
  <si>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</si>
  <si>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</si>
  <si>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</si>
  <si>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</si>
  <si>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</si>
  <si>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</si>
  <si>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</si>
  <si>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</si>
  <si>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</si>
  <si>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</si>
  <si>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</si>
  <si>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</si>
  <si>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</si>
  <si>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</si>
  <si>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</si>
  <si>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</si>
  <si>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</si>
  <si>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</si>
  <si>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</si>
  <si>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</si>
  <si>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</si>
  <si>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</si>
  <si>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</si>
  <si>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</si>
  <si>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</si>
  <si>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</si>
  <si>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</si>
  <si>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</si>
  <si>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</si>
  <si>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</si>
  <si>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</si>
  <si>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</si>
  <si>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</si>
  <si>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</si>
  <si>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</si>
  <si>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</si>
  <si>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</si>
  <si>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</si>
  <si>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</si>
  <si>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</si>
  <si>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</si>
  <si>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</si>
  <si>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</si>
  <si>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</si>
  <si>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</si>
  <si>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</si>
  <si>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</si>
  <si>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</si>
  <si>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</si>
  <si>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</si>
  <si>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</si>
  <si>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</si>
  <si>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</si>
  <si>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</si>
  <si>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</si>
  <si>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</si>
  <si>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</si>
  <si>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</si>
  <si>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</si>
  <si>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</si>
  <si>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</si>
  <si>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</si>
  <si>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</si>
  <si>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</si>
  <si>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</si>
  <si>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</si>
  <si>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</si>
  <si>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</si>
  <si>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</si>
  <si>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</si>
  <si>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</si>
  <si>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</si>
  <si>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</si>
  <si>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</si>
  <si>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</si>
  <si>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</si>
  <si>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</si>
  <si>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</si>
  <si>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</si>
  <si>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</si>
  <si>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</si>
  <si>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</si>
  <si>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</si>
  <si>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</si>
  <si>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</si>
  <si>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</si>
  <si>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</si>
  <si>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</si>
  <si>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</si>
  <si>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</si>
  <si>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</si>
  <si>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</si>
  <si>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</si>
  <si>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</si>
  <si>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</si>
  <si>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</si>
  <si>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</si>
  <si>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</si>
  <si>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</si>
  <si>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</si>
  <si>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</si>
  <si>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</si>
  <si>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</si>
  <si>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</si>
  <si>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</si>
  <si>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</si>
  <si>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</si>
  <si>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</si>
  <si>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</si>
  <si>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</si>
  <si>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</si>
  <si>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</si>
  <si>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</si>
  <si>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</si>
  <si>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</si>
  <si>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</si>
  <si>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</si>
  <si>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</si>
  <si>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</si>
  <si>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</si>
  <si>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</si>
  <si>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</si>
  <si>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</si>
  <si>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</si>
  <si>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</si>
  <si>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</si>
  <si>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</si>
  <si>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</si>
  <si>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</si>
  <si>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</si>
  <si>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</si>
  <si>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</si>
  <si>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</si>
  <si>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</si>
  <si>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</si>
  <si>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</si>
  <si>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</si>
  <si>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</si>
  <si>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</si>
  <si>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</si>
  <si>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</si>
  <si>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</si>
  <si>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</si>
  <si>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</si>
  <si>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</si>
  <si>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</si>
  <si>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</si>
  <si>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</si>
  <si>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</si>
  <si>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</si>
  <si>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</si>
  <si>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</si>
  <si>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</si>
  <si>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</si>
  <si>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</si>
  <si>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</si>
  <si>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</si>
  <si>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</si>
  <si>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</si>
  <si>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</si>
  <si>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</si>
  <si>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</si>
  <si>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</si>
  <si>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</si>
  <si>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</si>
  <si>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</si>
  <si>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</si>
  <si>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</si>
  <si>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</si>
  <si>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</si>
  <si>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</si>
  <si>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</si>
  <si>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</si>
  <si>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</si>
  <si>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</si>
  <si>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</si>
  <si>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</si>
  <si>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</si>
  <si>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</si>
  <si>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</si>
  <si>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</si>
  <si>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</si>
  <si>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</si>
  <si>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</si>
  <si>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</si>
  <si>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</si>
  <si>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</si>
  <si>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</si>
  <si>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</si>
  <si>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</si>
  <si>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</si>
  <si>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</si>
  <si>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</si>
  <si>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</si>
  <si>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</si>
  <si>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</si>
  <si>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</si>
  <si>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</si>
  <si>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</si>
  <si>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</si>
  <si>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</si>
  <si>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</si>
  <si>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</si>
  <si>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</si>
  <si>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</si>
  <si>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</si>
  <si>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</si>
  <si>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</si>
  <si>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</si>
  <si>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</si>
  <si>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</si>
  <si>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</si>
  <si>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</si>
  <si>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</si>
  <si>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</si>
  <si>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</si>
  <si>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</si>
  <si>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</si>
  <si>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</si>
  <si>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</si>
  <si>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</si>
  <si>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</si>
  <si>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</si>
  <si>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</si>
  <si>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</si>
  <si>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</si>
  <si>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</si>
  <si>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</si>
  <si>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</si>
  <si>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</si>
  <si>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</si>
  <si>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</si>
  <si>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</si>
  <si>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</si>
  <si>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</si>
  <si>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</si>
  <si>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</si>
  <si>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</si>
  <si>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</si>
  <si>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</si>
  <si>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</si>
  <si>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</si>
  <si>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</si>
  <si>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</si>
  <si>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</si>
  <si>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</si>
  <si>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</si>
  <si>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</si>
  <si>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</si>
  <si>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</si>
  <si>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</si>
  <si>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</si>
  <si>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</si>
  <si>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</si>
  <si>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</si>
  <si>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</si>
  <si>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</si>
  <si>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</si>
  <si>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</si>
  <si>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</si>
  <si>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</si>
  <si>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</si>
  <si>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</si>
  <si>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</si>
  <si>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</si>
  <si>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</si>
  <si>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</si>
  <si>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</si>
  <si>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</si>
  <si>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</si>
  <si>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</si>
  <si>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</si>
  <si>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</si>
  <si>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</si>
  <si>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</si>
  <si>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</si>
  <si>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</si>
  <si>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</si>
  <si>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</si>
  <si>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</si>
  <si>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</si>
  <si>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</si>
  <si>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</si>
  <si>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</si>
  <si>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</si>
  <si>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</si>
  <si>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</si>
  <si>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</si>
  <si>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</si>
  <si>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</si>
  <si>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</si>
  <si>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</si>
  <si>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</si>
  <si>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</si>
  <si>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</si>
  <si>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</si>
  <si>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</si>
  <si>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</si>
  <si>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</si>
  <si>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</si>
  <si>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</si>
  <si>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</si>
  <si>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</si>
  <si>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</si>
  <si>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</si>
  <si>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</si>
  <si>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</si>
  <si>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</si>
  <si>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</si>
  <si>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</si>
  <si>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</si>
  <si>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</si>
  <si>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</si>
  <si>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</si>
  <si>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</si>
  <si>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</si>
  <si>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</si>
  <si>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</si>
  <si>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</si>
  <si>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</si>
  <si>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</si>
  <si>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</si>
  <si>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</si>
  <si>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</si>
  <si>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</si>
  <si>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</si>
  <si>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</si>
  <si>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</si>
  <si>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</si>
  <si>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</si>
  <si>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</si>
  <si>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</si>
  <si>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</si>
  <si>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</si>
  <si>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</si>
  <si>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</si>
  <si>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</si>
  <si>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</si>
  <si>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</si>
  <si>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</si>
  <si>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</si>
  <si>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</si>
  <si>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</si>
  <si>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</si>
  <si>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</si>
  <si>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</si>
  <si>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</si>
  <si>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</si>
  <si>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</si>
  <si>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</si>
  <si>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</si>
  <si>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</si>
  <si>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</si>
  <si>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</si>
  <si>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</si>
  <si>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</si>
  <si>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</si>
  <si>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</si>
  <si>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</si>
  <si>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</si>
  <si>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</si>
  <si>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</si>
  <si>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</si>
  <si>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</si>
  <si>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</si>
  <si>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</si>
  <si>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</si>
  <si>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</si>
  <si>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</si>
  <si>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</si>
  <si>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</si>
  <si>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</si>
  <si>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</si>
  <si>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</si>
  <si>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</si>
  <si>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</si>
  <si>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</si>
  <si>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</si>
  <si>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</si>
  <si>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</si>
  <si>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</si>
  <si>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</si>
  <si>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</si>
  <si>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</si>
  <si>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</si>
  <si>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</si>
  <si>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</si>
  <si>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</si>
  <si>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</si>
  <si>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</si>
  <si>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</si>
  <si>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</si>
  <si>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</si>
  <si>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</si>
  <si>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</si>
  <si>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</si>
  <si>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</si>
  <si>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</si>
  <si>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</si>
  <si>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</si>
  <si>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</si>
  <si>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</si>
  <si>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</si>
  <si>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</si>
  <si>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</si>
  <si>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</si>
  <si>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</si>
  <si>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</si>
  <si>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</si>
  <si>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</si>
  <si>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</si>
  <si>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</si>
  <si>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</si>
  <si>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</si>
  <si>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</si>
  <si>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</si>
  <si>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</si>
  <si>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</si>
  <si>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</si>
  <si>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</si>
  <si>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</si>
  <si>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</si>
  <si>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</si>
  <si>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</si>
  <si>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</si>
  <si>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</si>
  <si>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</si>
  <si>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</si>
  <si>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</si>
  <si>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</si>
  <si>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</si>
  <si>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</si>
  <si>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</si>
  <si>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</si>
  <si>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</si>
  <si>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</si>
  <si>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</si>
  <si>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</si>
  <si>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</si>
  <si>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</si>
  <si>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</si>
  <si>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</si>
  <si>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</si>
  <si>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</si>
  <si>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</si>
  <si>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</si>
  <si>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</si>
  <si>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</si>
  <si>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</si>
  <si>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</si>
  <si>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</si>
  <si>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</si>
  <si>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</si>
  <si>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</si>
  <si>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</si>
  <si>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</si>
  <si>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</si>
  <si>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</si>
  <si>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</si>
  <si>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</si>
  <si>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</si>
  <si>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</si>
  <si>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</si>
  <si>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</si>
  <si>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</si>
  <si>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</si>
  <si>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</si>
  <si>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</si>
  <si>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</si>
  <si>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</si>
  <si>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</si>
  <si>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</si>
  <si>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</si>
  <si>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</si>
  <si>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</si>
  <si>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</si>
  <si>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</si>
  <si>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</si>
  <si>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</si>
  <si>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</si>
  <si>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</si>
  <si>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</si>
  <si>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</si>
  <si>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</si>
  <si>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</si>
  <si>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</si>
  <si>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</si>
  <si>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</si>
  <si>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</si>
  <si>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</si>
  <si>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</si>
  <si>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</si>
  <si>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</si>
  <si>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</si>
  <si>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</si>
  <si>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</si>
  <si>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</si>
  <si>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</si>
  <si>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</si>
  <si>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</si>
  <si>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</si>
  <si>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</si>
  <si>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</si>
  <si>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</si>
  <si>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</si>
  <si>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</si>
  <si>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</si>
  <si>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</si>
  <si>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</si>
  <si>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</si>
  <si>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</si>
  <si>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</si>
  <si>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</si>
  <si>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</si>
  <si>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</si>
  <si>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</si>
  <si>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</si>
  <si>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</si>
  <si>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</si>
  <si>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</si>
  <si>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</si>
  <si>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</si>
  <si>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</si>
  <si>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</si>
  <si>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</si>
  <si>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</si>
  <si>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</si>
  <si>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</si>
  <si>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</si>
  <si>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</si>
  <si>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</si>
  <si>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</si>
  <si>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</si>
  <si>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</si>
  <si>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</si>
  <si>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</si>
  <si>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</si>
  <si>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</si>
  <si>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</si>
  <si>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</si>
  <si>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</si>
  <si>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</si>
  <si>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</si>
  <si>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</si>
  <si>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</si>
  <si>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</si>
  <si>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</si>
  <si>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</si>
  <si>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</si>
  <si>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</si>
  <si>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</si>
  <si>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</si>
  <si>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</si>
  <si>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</si>
  <si>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</si>
  <si>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</si>
  <si>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</si>
  <si>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</si>
  <si>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</si>
  <si>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</si>
  <si>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</si>
  <si>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</si>
  <si>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</si>
  <si>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</si>
  <si>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</si>
  <si>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</si>
  <si>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</si>
  <si>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</si>
  <si>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</si>
  <si>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</si>
  <si>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</si>
  <si>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</si>
  <si>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</si>
  <si>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</si>
  <si>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</si>
  <si>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</si>
  <si>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</si>
  <si>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</si>
  <si>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</si>
  <si>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</si>
  <si>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</si>
  <si>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</si>
  <si>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</si>
  <si>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</si>
  <si>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</si>
  <si>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</si>
  <si>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</si>
  <si>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</si>
  <si>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</si>
  <si>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</si>
  <si>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</si>
  <si>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</si>
  <si>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</si>
  <si>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</si>
  <si>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</si>
  <si>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</si>
  <si>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</si>
  <si>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</si>
  <si>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</si>
  <si>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</si>
  <si>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</si>
  <si>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</si>
  <si>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</si>
  <si>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</si>
  <si>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</si>
  <si>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</si>
  <si>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</si>
  <si>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</si>
  <si>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</si>
  <si>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</si>
  <si>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</si>
  <si>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</si>
  <si>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</si>
  <si>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</si>
  <si>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</si>
  <si>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</si>
  <si>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</si>
  <si>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</si>
  <si>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</si>
  <si>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</si>
  <si>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</si>
  <si>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</si>
  <si>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</si>
  <si>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</si>
  <si>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</si>
  <si>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</si>
  <si>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</si>
  <si>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</si>
  <si>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</si>
  <si>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</si>
  <si>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</si>
  <si>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</si>
  <si>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</si>
  <si>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</si>
  <si>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</si>
  <si>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</si>
  <si>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</si>
  <si>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</si>
  <si>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</si>
  <si>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</si>
  <si>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</si>
  <si>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</si>
  <si>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</si>
  <si>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</si>
  <si>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</si>
  <si>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</si>
  <si>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</si>
  <si>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</si>
  <si>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</si>
  <si>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</si>
  <si>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</si>
  <si>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</si>
  <si>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</si>
  <si>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</si>
  <si>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</si>
  <si>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</si>
  <si>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</si>
  <si>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</si>
  <si>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</si>
  <si>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</si>
  <si>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</si>
  <si>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</si>
  <si>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</si>
  <si>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</si>
  <si>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</si>
  <si>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</si>
  <si>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</si>
  <si>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</si>
  <si>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</si>
  <si>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</si>
  <si>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</si>
  <si>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</si>
  <si>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</si>
  <si>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</si>
  <si>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</si>
  <si>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</si>
  <si>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</si>
  <si>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</si>
  <si>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</si>
  <si>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</si>
  <si>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</si>
  <si>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</si>
  <si>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</si>
  <si>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</si>
  <si>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</si>
  <si>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</si>
  <si>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</si>
  <si>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</si>
  <si>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</si>
  <si>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</si>
  <si>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</si>
  <si>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</si>
  <si>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</si>
  <si>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</si>
  <si>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</si>
  <si>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</si>
  <si>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</si>
  <si>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</si>
  <si>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</si>
  <si>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</si>
  <si>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</si>
  <si>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</si>
  <si>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</si>
  <si>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</si>
  <si>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</si>
  <si>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</si>
  <si>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</si>
  <si>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</si>
  <si>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</si>
  <si>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</si>
  <si>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</si>
  <si>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</si>
  <si>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</si>
  <si>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</si>
  <si>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</si>
  <si>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</si>
  <si>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</si>
  <si>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</si>
  <si>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</si>
  <si>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</si>
  <si>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</si>
  <si>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</si>
  <si>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</si>
  <si>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</si>
  <si>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</si>
  <si>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</si>
  <si>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</si>
  <si>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</si>
  <si>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</si>
  <si>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</si>
  <si>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</si>
  <si>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</si>
  <si>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</si>
  <si>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</si>
  <si>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</si>
  <si>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</si>
  <si>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</si>
  <si>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</si>
  <si>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</si>
  <si>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</si>
  <si>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</si>
  <si>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</si>
  <si>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</si>
  <si>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</si>
  <si>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</si>
  <si>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</si>
  <si>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</si>
  <si>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</si>
  <si>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</si>
  <si>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</si>
  <si>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</si>
  <si>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</si>
  <si>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</si>
  <si>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</si>
  <si>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</si>
  <si>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</si>
  <si>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</si>
  <si>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</si>
  <si>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</si>
  <si>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</si>
  <si>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</si>
  <si>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</si>
  <si>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</si>
  <si>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</si>
  <si>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</si>
  <si>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</si>
  <si>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</si>
  <si>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</si>
  <si>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</si>
  <si>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</si>
  <si>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</si>
  <si>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</si>
  <si>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</si>
  <si>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</si>
  <si>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</si>
  <si>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</si>
  <si>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</si>
  <si>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</si>
  <si>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</si>
  <si>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</si>
  <si>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</si>
  <si>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</si>
  <si>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</si>
  <si>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</si>
  <si>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</si>
  <si>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</si>
  <si>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</si>
  <si>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</si>
  <si>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</si>
  <si>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</si>
  <si>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</si>
  <si>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</si>
  <si>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</si>
  <si>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</si>
  <si>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</si>
  <si>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</si>
  <si>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</si>
  <si>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</si>
  <si>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</si>
  <si>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</si>
  <si>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</si>
  <si>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</si>
  <si>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</si>
  <si>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</si>
  <si>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</si>
  <si>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</si>
  <si>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</si>
  <si>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</si>
  <si>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</si>
  <si>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</si>
  <si>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</si>
  <si>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</si>
  <si>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</si>
  <si>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</si>
  <si>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</si>
  <si>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</si>
  <si>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</si>
  <si>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</si>
  <si>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</si>
  <si>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</si>
  <si>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</si>
  <si>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</si>
  <si>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</si>
  <si>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</si>
  <si>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</si>
  <si>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</si>
  <si>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</si>
  <si>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</si>
  <si>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</si>
  <si>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</si>
  <si>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</si>
  <si>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</si>
  <si>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</si>
  <si>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</si>
  <si>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</si>
  <si>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</si>
  <si>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</si>
  <si>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</si>
  <si>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</si>
  <si>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</si>
  <si>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</si>
  <si>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</si>
  <si>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</si>
  <si>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</si>
  <si>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</si>
  <si>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</si>
  <si>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</si>
  <si>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</si>
  <si>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</si>
  <si>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</si>
  <si>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</si>
  <si>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</si>
  <si>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</si>
  <si>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</si>
  <si>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</si>
  <si>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</si>
  <si>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</si>
  <si>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</si>
  <si>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</si>
  <si>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</si>
  <si>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</si>
  <si>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</si>
  <si>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</si>
  <si>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</si>
  <si>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</si>
  <si>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</si>
  <si>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</si>
  <si>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</si>
  <si>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</si>
  <si>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</si>
  <si>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</si>
  <si>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</si>
  <si>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</si>
  <si>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</si>
  <si>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</si>
  <si>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</si>
  <si>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</si>
  <si>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</si>
  <si>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</si>
  <si>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</si>
  <si>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</si>
  <si>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</si>
  <si>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</si>
  <si>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</si>
  <si>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</si>
  <si>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</si>
  <si>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</si>
  <si>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</si>
  <si>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</si>
  <si>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</si>
  <si>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</si>
  <si>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</si>
  <si>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</si>
  <si>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</si>
  <si>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</si>
  <si>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</si>
  <si>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</si>
  <si>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</si>
  <si>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</si>
  <si>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</si>
  <si>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</si>
  <si>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</si>
  <si>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</si>
  <si>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</si>
  <si>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</si>
  <si>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</si>
  <si>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</si>
  <si>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</si>
  <si>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</si>
  <si>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</si>
  <si>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</si>
  <si>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</si>
  <si>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</si>
  <si>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</si>
  <si>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</si>
  <si>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</si>
  <si>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</si>
  <si>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</si>
  <si>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</si>
  <si>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</si>
  <si>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</si>
  <si>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</si>
  <si>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</si>
  <si>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</si>
  <si>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</si>
  <si>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</si>
  <si>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</si>
  <si>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</si>
  <si>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</si>
  <si>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</si>
  <si>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</si>
  <si>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</si>
  <si>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</si>
  <si>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</si>
  <si>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</si>
  <si>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</si>
  <si>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</si>
  <si>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</si>
  <si>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</si>
  <si>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</si>
  <si>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</si>
  <si>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</si>
  <si>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</si>
  <si>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</si>
  <si>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</si>
  <si>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</si>
  <si>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</si>
  <si>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</si>
  <si>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</si>
  <si>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</si>
  <si>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</si>
  <si>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</si>
  <si>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</si>
  <si>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</si>
  <si>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</si>
  <si>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</si>
  <si>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</si>
  <si>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</si>
  <si>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</si>
  <si>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</si>
  <si>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</si>
  <si>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</si>
  <si>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</si>
  <si>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</si>
  <si>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</si>
  <si>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</si>
  <si>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</si>
  <si>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</si>
  <si>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</si>
  <si>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</si>
  <si>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</si>
  <si>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</si>
  <si>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</si>
  <si>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</si>
  <si>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</si>
  <si>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</si>
  <si>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</si>
  <si>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</si>
  <si>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</si>
  <si>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</si>
  <si>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</si>
  <si>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</si>
  <si>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</si>
  <si>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</si>
  <si>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</si>
  <si>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</si>
  <si>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</si>
  <si>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</si>
  <si>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</si>
  <si>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</si>
  <si>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</si>
  <si>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</si>
  <si>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</si>
  <si>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</si>
  <si>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</si>
  <si>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</si>
  <si>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</si>
  <si>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</si>
  <si>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</si>
  <si>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</si>
  <si>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</si>
  <si>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</si>
  <si>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</si>
  <si>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</si>
  <si>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</si>
  <si>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</si>
  <si>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</si>
  <si>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</si>
  <si>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</si>
  <si>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</si>
  <si>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</si>
  <si>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</si>
  <si>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</si>
  <si>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</si>
  <si>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</si>
  <si>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</si>
  <si>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</si>
  <si>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</si>
  <si>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</si>
  <si>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</si>
  <si>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</si>
  <si>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</si>
  <si>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</si>
  <si>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</si>
  <si>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</si>
  <si>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</si>
  <si>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</si>
  <si>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</si>
  <si>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</si>
  <si>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</si>
  <si>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</si>
  <si>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</si>
  <si>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</si>
  <si>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</si>
  <si>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</si>
  <si>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</si>
  <si>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</si>
  <si>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</si>
  <si>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</si>
  <si>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</si>
  <si>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</si>
  <si>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</si>
  <si>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</si>
  <si>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</si>
  <si>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</si>
  <si>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</si>
  <si>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</si>
  <si>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</si>
  <si>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</si>
  <si>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</si>
  <si>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</si>
  <si>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</si>
  <si>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</si>
  <si>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</si>
  <si>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</si>
  <si>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</si>
  <si>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</si>
  <si>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</si>
  <si>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</si>
  <si>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</si>
  <si>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</si>
  <si>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</si>
  <si>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</si>
  <si>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</si>
  <si>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</si>
  <si>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</si>
  <si>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</si>
  <si>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</si>
  <si>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</si>
  <si>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</si>
  <si>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</si>
  <si>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</si>
  <si>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</si>
  <si>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</si>
  <si>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</si>
  <si>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</si>
  <si>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</si>
  <si>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</si>
  <si>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</si>
  <si>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</si>
  <si>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</si>
  <si>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</si>
  <si>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</si>
  <si>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</si>
  <si>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</si>
  <si>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</si>
  <si>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</si>
  <si>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</si>
  <si>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</si>
  <si>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</si>
  <si>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</si>
  <si>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</si>
  <si>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</si>
  <si>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</si>
  <si>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</si>
  <si>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</si>
  <si>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</si>
  <si>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</si>
  <si>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</si>
  <si>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</si>
  <si>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</si>
  <si>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</si>
  <si>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</si>
  <si>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</si>
  <si>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</si>
  <si>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</si>
  <si>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</si>
  <si>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</si>
  <si>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</si>
  <si>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</si>
  <si>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</si>
  <si>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</si>
  <si>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</si>
  <si>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</si>
  <si>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</si>
  <si>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</si>
  <si>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</si>
  <si>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</si>
  <si>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</si>
  <si>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</si>
  <si>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</si>
  <si>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</si>
  <si>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</si>
  <si>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</si>
  <si>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</si>
  <si>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</si>
  <si>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</si>
  <si>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</si>
  <si>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</si>
  <si>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</si>
  <si>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</si>
  <si>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</si>
  <si>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</si>
  <si>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</si>
  <si>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</si>
  <si>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</si>
  <si>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</si>
  <si>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</si>
  <si>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</si>
  <si>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</si>
  <si>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</si>
  <si>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</si>
  <si>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</si>
  <si>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</si>
  <si>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</si>
  <si>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</si>
  <si>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</si>
  <si>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</si>
  <si>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</si>
  <si>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</si>
  <si>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</si>
  <si>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</si>
  <si>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</si>
  <si>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</si>
  <si>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</si>
  <si>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</si>
  <si>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</si>
  <si>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</si>
  <si>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</si>
  <si>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</si>
  <si>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</si>
  <si>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</si>
  <si>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</si>
  <si>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</si>
  <si>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</si>
  <si>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</si>
  <si>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</si>
  <si>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</si>
  <si>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</si>
  <si>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</si>
  <si>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</si>
  <si>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</si>
  <si>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</si>
  <si>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</si>
  <si>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</si>
  <si>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</si>
  <si>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</si>
  <si>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</si>
  <si>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</si>
  <si>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</si>
  <si>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</si>
  <si>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</si>
  <si>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</si>
  <si>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</si>
  <si>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</si>
  <si>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</si>
  <si>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</si>
  <si>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</si>
  <si>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</si>
  <si>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</si>
  <si>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</si>
  <si>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</si>
  <si>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</si>
  <si>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</si>
  <si>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</si>
  <si>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</si>
  <si>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</si>
  <si>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</si>
  <si>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</si>
  <si>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</si>
  <si>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</si>
  <si>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</si>
  <si>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</si>
  <si>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</si>
  <si>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</si>
  <si>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</si>
  <si>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</si>
  <si>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</si>
  <si>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</si>
  <si>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</si>
  <si>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</si>
  <si>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</si>
  <si>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</si>
  <si>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</si>
  <si>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</si>
  <si>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</si>
  <si>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</si>
  <si>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</si>
  <si>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</si>
  <si>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</si>
  <si>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</si>
  <si>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</si>
  <si>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</si>
  <si>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</si>
  <si>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</si>
  <si>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</si>
  <si>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</si>
  <si>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</si>
  <si>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</si>
  <si>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</si>
  <si>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</si>
  <si>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</si>
  <si>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</si>
  <si>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</si>
  <si>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</si>
  <si>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</si>
  <si>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</si>
  <si>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</si>
  <si>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</si>
  <si>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</si>
  <si>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</si>
  <si>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</si>
  <si>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</si>
  <si>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</si>
  <si>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</si>
  <si>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</si>
  <si>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</si>
  <si>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</si>
  <si>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</si>
  <si>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</si>
  <si>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</si>
  <si>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</si>
  <si>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</si>
  <si>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</si>
  <si>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</si>
  <si>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</si>
  <si>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</si>
  <si>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</si>
  <si>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</si>
  <si>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</si>
  <si>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</si>
  <si>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</si>
  <si>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</si>
  <si>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</si>
  <si>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</si>
  <si>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</si>
  <si>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</si>
  <si>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</si>
  <si>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</si>
  <si>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</si>
  <si>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</si>
  <si>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</si>
  <si>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</si>
  <si>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</si>
  <si>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</si>
  <si>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</si>
  <si>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</si>
  <si>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</si>
  <si>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</si>
  <si>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</si>
  <si>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</si>
  <si>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</si>
  <si>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</si>
  <si>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</si>
  <si>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</si>
  <si>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</si>
  <si>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</si>
  <si>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</si>
  <si>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</si>
  <si>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</si>
  <si>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</si>
  <si>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</si>
  <si>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</si>
  <si>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</si>
  <si>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</si>
  <si>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</si>
  <si>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</si>
  <si>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</si>
  <si>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</si>
  <si>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</si>
  <si>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</si>
  <si>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</si>
  <si>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</si>
  <si>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</si>
  <si>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</si>
  <si>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</si>
  <si>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</si>
  <si>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</si>
  <si>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</si>
  <si>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</si>
  <si>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</si>
  <si>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</si>
  <si>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</si>
  <si>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</si>
  <si>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</si>
  <si>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</si>
  <si>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</si>
  <si>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</si>
  <si>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</si>
  <si>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</si>
  <si>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</si>
  <si>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</si>
  <si>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</si>
  <si>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</si>
  <si>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</si>
  <si>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</si>
  <si>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</si>
  <si>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</si>
  <si>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</si>
  <si>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</si>
  <si>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</si>
  <si>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</si>
  <si>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</si>
  <si>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</si>
  <si>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</si>
  <si>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</si>
  <si>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</si>
  <si>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</si>
  <si>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</si>
  <si>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</si>
  <si>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</si>
  <si>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</si>
  <si>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</si>
  <si>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</si>
  <si>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</si>
  <si>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</si>
  <si>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</si>
  <si>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</si>
  <si>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</si>
  <si>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</si>
  <si>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</si>
  <si>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</si>
  <si>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</si>
  <si>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</si>
  <si>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</si>
  <si>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</si>
  <si>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</si>
  <si>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</si>
  <si>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</si>
  <si>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</si>
  <si>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</si>
  <si>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</si>
  <si>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</si>
  <si>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</si>
  <si>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</si>
  <si>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</si>
  <si>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</si>
  <si>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</si>
  <si>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</si>
  <si>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</si>
  <si>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</si>
  <si>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</si>
  <si>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</si>
  <si>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</si>
  <si>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</si>
  <si>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</si>
  <si>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</si>
  <si>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</si>
  <si>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</si>
  <si>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</si>
  <si>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</si>
  <si>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</si>
  <si>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</si>
  <si>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</si>
  <si>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</si>
  <si>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</si>
  <si>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</si>
  <si>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</si>
  <si>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</si>
  <si>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</si>
  <si>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</si>
  <si>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</si>
  <si>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</si>
  <si>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</si>
  <si>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</si>
  <si>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</si>
  <si>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</si>
  <si>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</si>
  <si>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</si>
  <si>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</si>
  <si>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</si>
  <si>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</si>
  <si>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</si>
  <si>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</si>
  <si>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</si>
  <si>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</si>
  <si>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</si>
  <si>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</si>
  <si>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</si>
  <si>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</si>
  <si>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</si>
  <si>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</si>
  <si>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</si>
  <si>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</si>
  <si>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</si>
  <si>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</si>
  <si>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</si>
  <si>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</si>
  <si>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</si>
  <si>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</si>
  <si>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</si>
  <si>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</si>
  <si>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</si>
  <si>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</si>
  <si>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</si>
  <si>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</si>
  <si>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</si>
  <si>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</si>
  <si>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</si>
  <si>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</si>
  <si>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</si>
  <si>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</si>
  <si>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</si>
  <si>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</si>
  <si>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</si>
  <si>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</si>
  <si>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</si>
  <si>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</si>
  <si>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</si>
  <si>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</si>
  <si>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</si>
  <si>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</si>
  <si>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</si>
  <si>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</si>
  <si>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</si>
  <si>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</si>
  <si>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</si>
  <si>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</si>
  <si>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</si>
  <si>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</si>
  <si>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</si>
  <si>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</si>
  <si>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</si>
  <si>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</si>
  <si>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</si>
  <si>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</si>
  <si>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</si>
  <si>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</si>
  <si>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</si>
  <si>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</si>
  <si>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</si>
  <si>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</si>
  <si>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</si>
  <si>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</si>
  <si>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</si>
  <si>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</si>
  <si>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</si>
  <si>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</si>
  <si>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</si>
  <si>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</si>
  <si>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</si>
  <si>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</si>
  <si>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</si>
  <si>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</si>
  <si>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</si>
  <si>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</si>
  <si>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</si>
  <si>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</si>
  <si>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</si>
  <si>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</si>
  <si>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</si>
  <si>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</si>
  <si>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</si>
  <si>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</si>
  <si>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</si>
  <si>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</si>
  <si>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</si>
  <si>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</si>
  <si>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</si>
  <si>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</si>
  <si>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</si>
  <si>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</si>
  <si>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</si>
  <si>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</si>
  <si>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</si>
  <si>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</si>
  <si>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</si>
  <si>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</si>
  <si>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</si>
  <si>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</si>
  <si>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</si>
  <si>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</si>
  <si>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</si>
  <si>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</si>
  <si>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</si>
  <si>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</si>
  <si>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</si>
  <si>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</si>
  <si>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</si>
  <si>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</si>
  <si>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</si>
  <si>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</si>
  <si>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</si>
  <si>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</si>
  <si>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</si>
  <si>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</si>
  <si>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</si>
  <si>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</si>
  <si>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</si>
  <si>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</si>
  <si>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</si>
  <si>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</si>
  <si>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</si>
  <si>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</si>
  <si>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</si>
  <si>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</si>
  <si>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</si>
  <si>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</si>
  <si>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</si>
  <si>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</si>
  <si>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</si>
  <si>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</si>
  <si>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</si>
  <si>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</si>
  <si>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</si>
  <si>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</si>
  <si>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</si>
  <si>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</si>
  <si>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</si>
  <si>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</si>
  <si>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</si>
  <si>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</si>
  <si>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</si>
  <si>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</si>
  <si>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</si>
  <si>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</si>
  <si>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</si>
  <si>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</si>
  <si>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</si>
  <si>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</si>
  <si>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</si>
  <si>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</si>
  <si>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</si>
  <si>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</si>
  <si>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</si>
  <si>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</si>
  <si>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</si>
  <si>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</si>
  <si>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</si>
  <si>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</si>
  <si>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</si>
  <si>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</si>
  <si>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</si>
  <si>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</si>
  <si>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</si>
  <si>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</si>
  <si>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</si>
  <si>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</si>
  <si>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</si>
  <si>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</si>
  <si>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</si>
  <si>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</si>
  <si>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</si>
  <si>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</si>
  <si>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</si>
  <si>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</si>
  <si>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</si>
  <si>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</si>
  <si>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</si>
  <si>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</si>
  <si>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</si>
  <si>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</si>
  <si>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</si>
  <si>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</si>
  <si>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</si>
  <si>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</si>
  <si>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</si>
  <si>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</si>
  <si>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</si>
  <si>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</si>
  <si>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</si>
  <si>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</si>
  <si>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</si>
  <si>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</si>
  <si>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</si>
  <si>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</si>
  <si>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</si>
  <si>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</si>
  <si>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</si>
  <si>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</si>
  <si>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</si>
  <si>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</si>
  <si>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</si>
  <si>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</si>
  <si>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</si>
  <si>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</si>
  <si>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</si>
  <si>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</si>
  <si>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</si>
  <si>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</si>
  <si>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</si>
  <si>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</si>
  <si>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</si>
  <si>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</si>
  <si>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</si>
  <si>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</si>
  <si>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</si>
  <si>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</si>
  <si>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</si>
  <si>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</si>
  <si>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</si>
  <si>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</si>
  <si>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</si>
  <si>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</si>
  <si>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</si>
  <si>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</si>
  <si>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</si>
  <si>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</si>
  <si>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</si>
  <si>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</si>
  <si>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</si>
  <si>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</si>
  <si>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</si>
  <si>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</si>
  <si>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</si>
  <si>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</si>
  <si>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</si>
  <si>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</si>
  <si>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</si>
  <si>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</si>
  <si>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</si>
  <si>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</si>
  <si>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</si>
  <si>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</si>
  <si>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</si>
  <si>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</si>
  <si>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</si>
  <si>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</si>
  <si>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</si>
  <si>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</si>
  <si>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</si>
  <si>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</si>
  <si>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</si>
  <si>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</si>
  <si>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</si>
  <si>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</si>
  <si>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</si>
  <si>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</si>
  <si>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</si>
  <si>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</si>
  <si>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</si>
  <si>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</si>
  <si>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</si>
  <si>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</si>
  <si>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</si>
  <si>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</si>
  <si>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</si>
  <si>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</si>
  <si>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</si>
  <si>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</si>
  <si>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</si>
  <si>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</si>
  <si>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</si>
  <si>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</si>
  <si>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</si>
  <si>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</si>
  <si>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</si>
  <si>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</si>
  <si>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</si>
  <si>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</si>
  <si>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</si>
  <si>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</si>
  <si>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</si>
  <si>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</si>
  <si>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</si>
  <si>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</si>
  <si>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</si>
  <si>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</si>
  <si>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</si>
  <si>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</si>
  <si>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</si>
  <si>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</si>
  <si>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</si>
  <si>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</si>
  <si>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</si>
  <si>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</si>
  <si>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</si>
  <si>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</si>
  <si>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</si>
  <si>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</si>
  <si>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</si>
  <si>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</si>
  <si>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</si>
  <si>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</si>
  <si>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</si>
  <si>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</si>
  <si>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</si>
  <si>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</si>
  <si>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</si>
  <si>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</si>
  <si>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</si>
  <si>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</si>
  <si>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</si>
  <si>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</si>
  <si>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</si>
  <si>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</si>
  <si>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</si>
  <si>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</si>
  <si>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</si>
  <si>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</si>
  <si>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</si>
  <si>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</si>
  <si>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</si>
  <si>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</si>
  <si>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</si>
  <si>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</si>
  <si>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</si>
  <si>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</si>
  <si>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</si>
  <si>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</si>
  <si>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</si>
  <si>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</si>
  <si>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</si>
  <si>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</si>
  <si>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</si>
  <si>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</si>
  <si>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</si>
  <si>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</si>
  <si>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</si>
  <si>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</si>
  <si>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</si>
  <si>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</si>
  <si>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</si>
  <si>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</si>
  <si>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</si>
  <si>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</si>
  <si>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</si>
  <si>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</si>
  <si>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</si>
  <si>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</si>
  <si>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</si>
  <si>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</si>
  <si>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</si>
  <si>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</si>
  <si>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</si>
  <si>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</si>
  <si>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</si>
  <si>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</si>
  <si>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</si>
  <si>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</si>
  <si>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</si>
  <si>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</si>
  <si>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</si>
  <si>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</si>
  <si>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</si>
  <si>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</si>
  <si>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</si>
  <si>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</si>
  <si>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</si>
  <si>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</si>
  <si>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</si>
  <si>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</si>
  <si>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</si>
  <si>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</si>
  <si>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</si>
  <si>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</si>
  <si>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</si>
  <si>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</si>
  <si>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</si>
  <si>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</si>
  <si>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</si>
  <si>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</si>
  <si>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</si>
  <si>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</si>
  <si>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</si>
  <si>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</si>
  <si>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</si>
  <si>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</si>
  <si>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</si>
  <si>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</si>
  <si>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</si>
  <si>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</si>
  <si>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</si>
  <si>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</si>
  <si>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</si>
  <si>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</si>
  <si>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</si>
  <si>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</si>
  <si>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</si>
  <si>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</si>
  <si>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</si>
  <si>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</si>
  <si>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</si>
  <si>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</si>
  <si>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</si>
  <si>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</si>
  <si>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</si>
  <si>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</si>
  <si>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</si>
  <si>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</si>
  <si>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</si>
  <si>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</si>
  <si>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</si>
  <si>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</si>
  <si>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</si>
  <si>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</si>
  <si>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</si>
  <si>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</si>
  <si>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</si>
  <si>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</si>
  <si>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</si>
  <si>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</si>
  <si>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</si>
  <si>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</si>
  <si>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</si>
  <si>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</si>
  <si>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</si>
  <si>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</si>
  <si>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</si>
  <si>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</si>
  <si>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</si>
  <si>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</si>
  <si>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</si>
  <si>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</si>
  <si>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</si>
  <si>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</si>
  <si>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</si>
  <si>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</si>
  <si>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</si>
  <si>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</si>
  <si>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</si>
  <si>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</si>
  <si>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</si>
  <si>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</si>
  <si>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</si>
  <si>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</si>
  <si>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</si>
  <si>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</si>
  <si>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</si>
  <si>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</si>
  <si>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</si>
  <si>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</si>
  <si>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</si>
  <si>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</si>
  <si>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</si>
  <si>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</si>
  <si>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</si>
  <si>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</si>
  <si>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</si>
  <si>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</si>
  <si>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</si>
  <si>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</si>
  <si>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</si>
  <si>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</si>
  <si>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</si>
  <si>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</si>
  <si>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</si>
  <si>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</si>
  <si>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</si>
  <si>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</si>
  <si>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</si>
  <si>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</si>
  <si>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</si>
  <si>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</si>
  <si>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</si>
  <si>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</si>
  <si>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</si>
  <si>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</si>
  <si>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</si>
  <si>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</si>
  <si>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</si>
  <si>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</si>
  <si>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</si>
  <si>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</si>
  <si>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</si>
  <si>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</si>
  <si>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</si>
  <si>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</si>
  <si>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</si>
  <si>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</si>
  <si>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</si>
  <si>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</si>
  <si>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</si>
  <si>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</si>
  <si>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</si>
  <si>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</si>
  <si>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</si>
  <si>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</si>
  <si>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</si>
  <si>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</si>
  <si>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</si>
  <si>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</si>
  <si>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</si>
  <si>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</si>
  <si>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</si>
  <si>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</si>
  <si>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</si>
  <si>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</si>
  <si>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</si>
  <si>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</si>
  <si>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</si>
  <si>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</si>
  <si>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</si>
  <si>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</si>
  <si>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</si>
  <si>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</si>
  <si>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</si>
  <si>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</si>
  <si>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</si>
  <si>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</si>
  <si>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</si>
  <si>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</si>
  <si>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</si>
  <si>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</si>
  <si>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</si>
  <si>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</si>
  <si>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</si>
  <si>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</si>
  <si>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</si>
  <si>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</si>
  <si>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</si>
  <si>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</si>
  <si>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</si>
  <si>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</si>
  <si>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</si>
  <si>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</si>
  <si>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</si>
  <si>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</si>
  <si>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</si>
  <si>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</si>
  <si>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</si>
  <si>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</si>
  <si>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</si>
  <si>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</si>
  <si>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</si>
  <si>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</si>
  <si>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</si>
  <si>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</si>
  <si>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</si>
  <si>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</si>
  <si>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</si>
  <si>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</si>
  <si>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</si>
  <si>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</si>
  <si>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</si>
  <si>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</si>
  <si>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</si>
  <si>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</si>
  <si>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</si>
  <si>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</si>
  <si>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</si>
  <si>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</si>
  <si>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</si>
  <si>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</si>
  <si>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</si>
  <si>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</si>
  <si>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</si>
  <si>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</si>
  <si>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</si>
  <si>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</si>
  <si>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</si>
  <si>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</si>
  <si>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</si>
  <si>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</si>
  <si>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</si>
  <si>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</si>
  <si>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</si>
  <si>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</si>
  <si>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</si>
  <si>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</si>
  <si>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</si>
  <si>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</si>
  <si>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</si>
  <si>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</si>
  <si>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</si>
  <si>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</si>
  <si>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</si>
  <si>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</si>
  <si>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</si>
  <si>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</si>
  <si>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</si>
  <si>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</si>
  <si>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</si>
  <si>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</si>
  <si>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</si>
  <si>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</si>
  <si>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</si>
  <si>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</si>
  <si>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</si>
  <si>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</si>
  <si>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</si>
  <si>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</si>
  <si>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</si>
  <si>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</si>
  <si>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</si>
  <si>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</si>
  <si>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</si>
  <si>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</si>
  <si>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</si>
  <si>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</si>
  <si>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</si>
  <si>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</si>
  <si>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</si>
  <si>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</si>
  <si>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</si>
  <si>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</si>
  <si>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</si>
  <si>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</si>
  <si>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</si>
  <si>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</si>
  <si>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</si>
  <si>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</si>
  <si>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</si>
  <si>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</si>
  <si>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</si>
  <si>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</si>
  <si>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</si>
  <si>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</si>
  <si>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</si>
  <si>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</si>
  <si>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</si>
  <si>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</si>
  <si>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</si>
  <si>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</si>
  <si>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</si>
  <si>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</si>
  <si>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</si>
  <si>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</si>
  <si>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</si>
  <si>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</si>
  <si>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</si>
  <si>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</si>
  <si>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</si>
  <si>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</si>
  <si>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</si>
  <si>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</si>
  <si>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</si>
  <si>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</si>
  <si>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</si>
  <si>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</si>
  <si>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</si>
  <si>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</si>
  <si>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</si>
  <si>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</si>
  <si>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</si>
  <si>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</si>
  <si>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</si>
  <si>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</si>
  <si>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</si>
  <si>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</si>
  <si>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</si>
  <si>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</si>
  <si>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</si>
  <si>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</si>
  <si>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</si>
  <si>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</si>
  <si>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</si>
  <si>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</si>
  <si>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</si>
  <si>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</si>
  <si>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</si>
  <si>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</si>
  <si>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</si>
  <si>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</si>
  <si>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</si>
  <si>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</si>
  <si>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</si>
  <si>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</si>
  <si>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</si>
  <si>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</si>
  <si>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</si>
  <si>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</si>
  <si>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</si>
  <si>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</si>
  <si>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</si>
  <si>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</si>
  <si>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</si>
  <si>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</si>
  <si>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</si>
  <si>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</si>
  <si>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</si>
  <si>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</si>
  <si>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</si>
  <si>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</si>
  <si>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</si>
  <si>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</si>
  <si>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</si>
  <si>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</si>
  <si>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</si>
  <si>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</si>
  <si>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</si>
  <si>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</si>
  <si>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</si>
  <si>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</si>
  <si>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</si>
  <si>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</si>
  <si>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</si>
  <si>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</si>
  <si>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</si>
  <si>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</si>
  <si>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</si>
  <si>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</si>
  <si>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</si>
  <si>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</si>
  <si>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</si>
  <si>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</si>
  <si>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</si>
  <si>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</si>
  <si>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</si>
  <si>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</si>
  <si>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</si>
  <si>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</si>
  <si>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</si>
  <si>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</si>
  <si>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</si>
  <si>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</si>
  <si>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</si>
  <si>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</si>
  <si>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</si>
  <si>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</si>
  <si>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</si>
  <si>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</si>
  <si>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</si>
  <si>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</si>
  <si>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</si>
  <si>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</si>
  <si>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</si>
  <si>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</si>
  <si>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</si>
  <si>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</si>
  <si>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</si>
  <si>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</si>
  <si>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</si>
  <si>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</si>
  <si>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</si>
  <si>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</si>
  <si>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</si>
  <si>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</si>
  <si>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</si>
  <si>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</si>
  <si>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</si>
  <si>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</si>
  <si>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</si>
  <si>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</si>
  <si>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</si>
  <si>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</si>
  <si>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</si>
  <si>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</si>
  <si>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</si>
  <si>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</si>
  <si>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</si>
  <si>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</si>
  <si>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</si>
  <si>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</si>
  <si>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</si>
  <si>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</si>
  <si>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</si>
  <si>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</si>
  <si>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</si>
  <si>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</si>
  <si>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</si>
  <si>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</si>
  <si>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</si>
  <si>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</si>
  <si>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</si>
  <si>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</si>
  <si>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</si>
  <si>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</si>
  <si>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</si>
  <si>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</si>
  <si>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</si>
  <si>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</si>
  <si>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</si>
  <si>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</si>
  <si>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</si>
  <si>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</si>
  <si>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</si>
  <si>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</si>
  <si>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</si>
  <si>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</si>
  <si>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</si>
  <si>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</si>
  <si>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</si>
  <si>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</si>
  <si>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</si>
  <si>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</si>
  <si>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</si>
  <si>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</si>
  <si>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</si>
  <si>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</si>
  <si>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</si>
  <si>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</si>
  <si>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</si>
  <si>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</si>
  <si>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</si>
  <si>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</si>
  <si>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</si>
  <si>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</si>
  <si>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</si>
  <si>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</si>
  <si>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</si>
  <si>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</si>
  <si>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</si>
  <si>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</si>
  <si>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</si>
  <si>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</si>
  <si>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</si>
  <si>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</si>
  <si>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</si>
  <si>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</si>
  <si>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</si>
  <si>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</si>
  <si>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</si>
  <si>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</si>
  <si>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</si>
  <si>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</si>
  <si>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</si>
  <si>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</si>
  <si>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</si>
  <si>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</si>
  <si>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</si>
  <si>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</si>
  <si>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</si>
  <si>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</si>
  <si>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</si>
  <si>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</si>
  <si>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</si>
  <si>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</si>
  <si>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</si>
  <si>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</si>
  <si>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</si>
  <si>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</si>
  <si>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</si>
  <si>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</si>
  <si>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</si>
  <si>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</si>
  <si>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</si>
  <si>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</si>
  <si>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</si>
  <si>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</si>
  <si>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</si>
  <si>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</si>
  <si>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</si>
  <si>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</si>
  <si>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</si>
  <si>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</si>
  <si>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</si>
  <si>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</si>
  <si>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</si>
  <si>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</si>
  <si>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</si>
  <si>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</si>
  <si>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</si>
  <si>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</si>
  <si>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</si>
  <si>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</si>
  <si>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</si>
  <si>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</si>
  <si>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</si>
  <si>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</si>
  <si>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</si>
  <si>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</si>
  <si>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</si>
  <si>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</si>
  <si>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</si>
  <si>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</si>
  <si>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</si>
  <si>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</si>
  <si>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</si>
  <si>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</si>
  <si>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</si>
  <si>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</si>
  <si>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</si>
  <si>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</si>
  <si>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</si>
  <si>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</si>
  <si>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</si>
  <si>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</si>
  <si>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</si>
  <si>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</si>
  <si>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</si>
  <si>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</si>
  <si>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</si>
  <si>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</si>
  <si>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</si>
  <si>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</si>
  <si>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</si>
  <si>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</si>
  <si>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</si>
  <si>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</si>
  <si>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</si>
  <si>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</si>
  <si>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</si>
  <si>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</si>
  <si>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</si>
  <si>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</si>
  <si>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</si>
  <si>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</si>
  <si>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</si>
  <si>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</si>
  <si>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</si>
  <si>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</si>
  <si>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</si>
  <si>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</si>
  <si>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</si>
  <si>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</si>
  <si>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</si>
  <si>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</si>
  <si>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</si>
  <si>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</si>
  <si>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</si>
  <si>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</si>
  <si>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</si>
  <si>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</si>
  <si>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</si>
  <si>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</si>
  <si>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</si>
  <si>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</si>
  <si>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</si>
  <si>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</si>
  <si>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</si>
  <si>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</si>
  <si>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</si>
  <si>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</si>
  <si>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</si>
  <si>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</si>
  <si>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</si>
  <si>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</si>
  <si>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</si>
  <si>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</si>
  <si>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</si>
  <si>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</si>
  <si>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</si>
  <si>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</si>
  <si>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</si>
  <si>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</si>
  <si>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</si>
  <si>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</si>
  <si>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</si>
  <si>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</si>
  <si>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</si>
  <si>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</si>
  <si>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</si>
  <si>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</si>
  <si>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</si>
  <si>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</si>
  <si>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</si>
  <si>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</si>
  <si>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</si>
  <si>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</si>
  <si>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</si>
  <si>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</si>
  <si>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</si>
  <si>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</si>
  <si>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</si>
  <si>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</si>
  <si>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</si>
  <si>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</si>
  <si>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</si>
  <si>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</si>
  <si>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</si>
  <si>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</si>
  <si>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</si>
  <si>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</si>
  <si>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</si>
  <si>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</si>
  <si>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</si>
  <si>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</si>
  <si>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</si>
  <si>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</si>
  <si>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</si>
  <si>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</si>
  <si>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</si>
  <si>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</si>
  <si>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</si>
  <si>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</si>
  <si>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</si>
  <si>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</si>
  <si>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</si>
  <si>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</si>
  <si>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</si>
  <si>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</si>
  <si>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</si>
  <si>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</si>
  <si>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</si>
  <si>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</si>
  <si>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</si>
  <si>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</si>
  <si>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</si>
  <si>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</si>
  <si>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</si>
  <si>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</si>
  <si>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</si>
  <si>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</si>
  <si>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</si>
  <si>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</si>
  <si>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</si>
  <si>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</si>
  <si>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</si>
  <si>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</si>
  <si>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</si>
  <si>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</si>
  <si>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</si>
  <si>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</si>
  <si>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</si>
  <si>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</si>
  <si>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</si>
  <si>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</si>
  <si>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</si>
  <si>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</si>
  <si>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</si>
  <si>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</si>
  <si>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</si>
  <si>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</si>
  <si>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</si>
  <si>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</si>
  <si>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</si>
  <si>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</si>
  <si>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</si>
  <si>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</si>
  <si>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</si>
  <si>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</si>
  <si>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</si>
  <si>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</si>
  <si>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</si>
  <si>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</si>
  <si>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</si>
  <si>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</si>
  <si>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</si>
  <si>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</si>
  <si>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</si>
  <si>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</si>
  <si>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</si>
  <si>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</si>
  <si>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</si>
  <si>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</si>
  <si>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</si>
  <si>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</si>
  <si>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</si>
  <si>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</si>
  <si>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</si>
  <si>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</si>
  <si>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</si>
  <si>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</si>
  <si>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</si>
  <si>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</si>
  <si>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</si>
  <si>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</si>
  <si>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</si>
  <si>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</si>
  <si>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</si>
  <si>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</si>
  <si>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</si>
  <si>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</si>
  <si>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</si>
  <si>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</si>
  <si>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</si>
  <si>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</si>
  <si>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</si>
  <si>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</si>
  <si>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</si>
  <si>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</si>
  <si>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</si>
  <si>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</si>
  <si>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</si>
  <si>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</si>
  <si>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</si>
  <si>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</si>
  <si>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</si>
  <si>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</si>
  <si>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</si>
  <si>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</si>
  <si>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</si>
  <si>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</si>
  <si>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</si>
  <si>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</si>
  <si>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</si>
  <si>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</si>
  <si>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</si>
  <si>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</si>
  <si>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</si>
  <si>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</si>
  <si>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</si>
  <si>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</si>
  <si>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</si>
  <si>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</si>
  <si>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</si>
  <si>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</si>
  <si>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</si>
  <si>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</si>
  <si>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</si>
  <si>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</si>
  <si>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</si>
  <si>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</si>
  <si>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</si>
  <si>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</si>
  <si>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</si>
  <si>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</si>
  <si>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</si>
  <si>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</si>
  <si>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</si>
  <si>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</si>
  <si>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</si>
  <si>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</si>
  <si>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</si>
  <si>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</si>
  <si>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</si>
  <si>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</si>
  <si>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</si>
  <si>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</si>
  <si>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</si>
  <si>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</si>
  <si>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</si>
  <si>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</si>
  <si>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</si>
  <si>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</si>
  <si>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</si>
  <si>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</si>
  <si>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</si>
  <si>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</si>
  <si>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</si>
  <si>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</si>
  <si>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</si>
  <si>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</si>
  <si>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</si>
  <si>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</si>
  <si>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</si>
  <si>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</si>
  <si>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</si>
  <si>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</si>
  <si>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</si>
  <si>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</si>
  <si>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</si>
  <si>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</si>
  <si>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</si>
  <si>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</si>
  <si>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</si>
  <si>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</si>
  <si>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</si>
  <si>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</si>
  <si>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</si>
  <si>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</si>
  <si>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</si>
  <si>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</si>
  <si>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</si>
  <si>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</si>
  <si>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</si>
  <si>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</si>
  <si>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</si>
  <si>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</si>
  <si>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</si>
  <si>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</si>
  <si>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</si>
  <si>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</si>
  <si>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</si>
  <si>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</si>
  <si>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</si>
  <si>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</si>
  <si>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</si>
  <si>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</si>
  <si>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</si>
  <si>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</si>
  <si>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</si>
  <si>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</si>
  <si>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</si>
  <si>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</si>
  <si>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</si>
  <si>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</si>
  <si>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</si>
  <si>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</si>
  <si>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</si>
  <si>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</si>
  <si>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</si>
  <si>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</si>
  <si>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</si>
  <si>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</si>
  <si>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</si>
  <si>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</si>
  <si>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</si>
  <si>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</si>
  <si>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</si>
  <si>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</si>
  <si>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</si>
  <si>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</si>
  <si>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</si>
  <si>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</si>
  <si>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</si>
  <si>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</si>
  <si>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</si>
  <si>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</si>
  <si>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</si>
  <si>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</si>
  <si>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</si>
  <si>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</si>
  <si>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</si>
  <si>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</si>
  <si>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</si>
  <si>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</si>
  <si>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</si>
  <si>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</si>
  <si>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</si>
  <si>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</si>
  <si>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</si>
  <si>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</si>
  <si>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</si>
  <si>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</si>
  <si>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</si>
  <si>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</si>
  <si>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</si>
  <si>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</si>
  <si>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</si>
  <si>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</si>
  <si>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</si>
  <si>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</si>
  <si>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</si>
  <si>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</si>
  <si>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</si>
  <si>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</si>
  <si>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</si>
  <si>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</si>
  <si>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</si>
  <si>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</si>
  <si>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</si>
  <si>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</si>
  <si>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</si>
  <si>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</si>
  <si>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</si>
  <si>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</si>
  <si>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</si>
  <si>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</si>
  <si>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</si>
  <si>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</si>
  <si>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</si>
  <si>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</si>
  <si>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</si>
  <si>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</si>
  <si>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</si>
  <si>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</si>
  <si>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</si>
  <si>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</si>
  <si>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</si>
  <si>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</si>
  <si>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</si>
  <si>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</si>
  <si>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</si>
  <si>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</si>
  <si>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</si>
  <si>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</si>
  <si>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</si>
  <si>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</si>
  <si>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</si>
  <si>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</si>
  <si>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</si>
  <si>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</si>
  <si>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</si>
  <si>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</si>
  <si>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</si>
  <si>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</si>
  <si>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</si>
  <si>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</si>
  <si>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</si>
  <si>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</si>
  <si>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</si>
  <si>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</si>
  <si>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</si>
  <si>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</si>
  <si>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</si>
  <si>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</si>
  <si>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</si>
  <si>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</si>
  <si>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</si>
  <si>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</si>
  <si>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</si>
  <si>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</si>
  <si>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</si>
  <si>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</si>
  <si>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</si>
  <si>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</si>
  <si>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</si>
  <si>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</si>
  <si>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</si>
  <si>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</si>
  <si>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</si>
  <si>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</si>
  <si>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</si>
  <si>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</si>
  <si>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</si>
  <si>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</si>
  <si>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</si>
  <si>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</si>
  <si>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</si>
  <si>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</si>
  <si>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</si>
  <si>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</si>
  <si>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</si>
  <si>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</si>
  <si>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</si>
  <si>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</si>
  <si>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</si>
  <si>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</si>
  <si>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</si>
  <si>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</si>
  <si>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</si>
  <si>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</si>
  <si>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</si>
  <si>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</si>
  <si>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</si>
  <si>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</si>
  <si>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</si>
  <si>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</si>
  <si>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</si>
  <si>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</si>
  <si>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</si>
  <si>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</si>
  <si>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</si>
  <si>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</si>
  <si>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</si>
  <si>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</si>
  <si>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</si>
  <si>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</si>
  <si>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</si>
  <si>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</si>
  <si>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</si>
  <si>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</si>
  <si>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</si>
  <si>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</si>
  <si>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</si>
  <si>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</si>
  <si>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</si>
  <si>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</si>
  <si>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</si>
  <si>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</si>
  <si>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</si>
  <si>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</si>
  <si>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</si>
  <si>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</si>
  <si>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</si>
  <si>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</si>
  <si>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</si>
  <si>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</si>
  <si>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</si>
  <si>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</si>
  <si>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</si>
  <si>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</si>
  <si>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</si>
  <si>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</si>
  <si>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</si>
  <si>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</si>
  <si>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</si>
  <si>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</si>
  <si>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</si>
  <si>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</si>
  <si>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</si>
  <si>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</si>
  <si>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</si>
  <si>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</si>
  <si>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</si>
  <si>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</si>
  <si>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</si>
  <si>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</si>
  <si>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</si>
  <si>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</si>
  <si>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</si>
  <si>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</si>
  <si>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</si>
  <si>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</si>
  <si>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</si>
  <si>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</si>
  <si>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</si>
  <si>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</si>
  <si>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</si>
  <si>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</si>
  <si>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</si>
  <si>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</si>
  <si>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</si>
  <si>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</si>
  <si>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</si>
  <si>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</si>
  <si>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</si>
  <si>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</si>
  <si>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</si>
  <si>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</si>
  <si>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</si>
  <si>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</si>
  <si>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</si>
  <si>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</si>
  <si>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</si>
  <si>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</si>
  <si>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</si>
  <si>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</si>
  <si>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</si>
  <si>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</si>
  <si>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</si>
  <si>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</si>
  <si>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</si>
  <si>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</si>
  <si>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</si>
  <si>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</si>
  <si>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</si>
  <si>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</si>
  <si>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</si>
  <si>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</si>
  <si>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</si>
  <si>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</si>
  <si>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</si>
  <si>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</si>
  <si>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</si>
  <si>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</si>
  <si>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</si>
  <si>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</si>
  <si>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</si>
  <si>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</si>
  <si>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</si>
  <si>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</si>
  <si>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</si>
  <si>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</si>
  <si>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</si>
  <si>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</si>
  <si>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</si>
  <si>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</si>
  <si>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</si>
  <si>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</si>
  <si>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</si>
  <si>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</si>
  <si>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</si>
  <si>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</si>
  <si>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</si>
  <si>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</si>
  <si>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</si>
  <si>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</si>
  <si>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</si>
  <si>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</si>
  <si>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</si>
  <si>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</si>
  <si>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</si>
  <si>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</si>
  <si>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</si>
  <si>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</si>
  <si>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</si>
  <si>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</si>
  <si>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</si>
  <si>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</si>
  <si>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</si>
  <si>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</si>
  <si>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</si>
  <si>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</si>
  <si>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</si>
  <si>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</si>
  <si>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</si>
  <si>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</si>
  <si>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</si>
  <si>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</si>
  <si>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</si>
  <si>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</si>
  <si>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</si>
  <si>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</si>
  <si>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</si>
  <si>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</si>
  <si>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</si>
  <si>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</si>
  <si>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</si>
  <si>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</si>
  <si>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</si>
  <si>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</si>
  <si>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</si>
  <si>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</si>
  <si>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</si>
  <si>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</si>
  <si>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</si>
  <si>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</si>
  <si>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</si>
  <si>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</si>
  <si>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</si>
  <si>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</si>
  <si>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</si>
  <si>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</si>
  <si>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</si>
  <si>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</si>
  <si>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</si>
  <si>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</si>
  <si>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</si>
  <si>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</si>
  <si>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</si>
  <si>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</si>
  <si>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</si>
  <si>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</si>
  <si>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</si>
  <si>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</si>
  <si>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</si>
  <si>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</si>
  <si>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</si>
  <si>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</si>
  <si>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</si>
  <si>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</si>
  <si>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</si>
  <si>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</si>
  <si>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</si>
  <si>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</si>
  <si>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</si>
  <si>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</si>
  <si>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</si>
  <si>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</si>
  <si>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</si>
  <si>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</si>
  <si>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</si>
  <si>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</si>
  <si>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</si>
  <si>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</si>
  <si>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</si>
  <si>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</si>
  <si>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</si>
  <si>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</si>
  <si>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</si>
  <si>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</si>
  <si>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</si>
  <si>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</si>
  <si>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</si>
  <si>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</si>
  <si>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</si>
  <si>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</si>
  <si>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</si>
  <si>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</si>
  <si>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</si>
  <si>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</si>
  <si>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</si>
  <si>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</si>
  <si>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</si>
  <si>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</si>
  <si>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</si>
  <si>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</si>
  <si>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</si>
  <si>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</si>
  <si>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</si>
  <si>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</si>
  <si>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</si>
  <si>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</si>
  <si>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</si>
  <si>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</si>
  <si>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</si>
  <si>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</si>
  <si>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</si>
  <si>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</si>
  <si>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</si>
  <si>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</si>
  <si>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</si>
  <si>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</si>
  <si>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</si>
  <si>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</si>
  <si>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</si>
  <si>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</si>
  <si>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</si>
  <si>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</si>
  <si>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</si>
  <si>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</si>
  <si>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</si>
  <si>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</si>
  <si>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</si>
  <si>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</si>
  <si>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</si>
  <si>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</si>
  <si>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</si>
  <si>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</si>
  <si>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</si>
  <si>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</si>
  <si>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</si>
  <si>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</si>
  <si>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</si>
  <si>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</si>
  <si>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</si>
  <si>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</si>
  <si>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</si>
  <si>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</si>
  <si>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</si>
  <si>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</si>
  <si>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</si>
  <si>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</si>
  <si>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</si>
  <si>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</si>
  <si>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</si>
  <si>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</si>
  <si>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</si>
  <si>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</si>
  <si>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/>
  </si>
  <si>
    <t>02-653-02</t>
  </si>
  <si>
    <t>02-659-02</t>
  </si>
  <si>
    <t>02-661-19</t>
  </si>
  <si>
    <t>02-663-19</t>
  </si>
  <si>
    <t>02-677-09</t>
  </si>
  <si>
    <t>02-678-86</t>
  </si>
  <si>
    <t>02-680-16</t>
  </si>
  <si>
    <t>02-682-14</t>
  </si>
  <si>
    <t>02-214-36</t>
  </si>
  <si>
    <t>02-684-08</t>
  </si>
  <si>
    <t>02-688-02</t>
  </si>
  <si>
    <t>02-688-18</t>
  </si>
  <si>
    <t>02-693-05</t>
  </si>
  <si>
    <t>02-694-05</t>
  </si>
  <si>
    <t>02-695-02</t>
  </si>
  <si>
    <t>2458401 TRAVELLER PANAMA</t>
  </si>
  <si>
    <t>2138504 Fedora Hemp</t>
  </si>
  <si>
    <t>2418502 ARIPEKA</t>
  </si>
  <si>
    <t>2498502 TRAVELLER RAFFIA</t>
  </si>
  <si>
    <t>3698521 Western Raffia</t>
  </si>
  <si>
    <t>6213903 Kent Linen</t>
  </si>
  <si>
    <t>6611912 Texas Cotton</t>
  </si>
  <si>
    <t>7781122 Baseball Cap Diamond</t>
  </si>
  <si>
    <t>7785101 Baseball Cap Toothpick Rebel</t>
  </si>
  <si>
    <t>7491107 Army Cap Denim</t>
  </si>
  <si>
    <t>6843905 Hatteras Patchwork</t>
  </si>
  <si>
    <t>6611105 TEXAS COTTON</t>
  </si>
  <si>
    <t>7711101 BASEBALL CAP COTTON</t>
  </si>
  <si>
    <t>6841504 HATTERAS COTTON LINEN</t>
  </si>
  <si>
    <t>1113102 Trilby Linen</t>
  </si>
  <si>
    <t>6613303 Texas Linen</t>
  </si>
  <si>
    <t>2541114 TRAVELLER DELAVE</t>
  </si>
  <si>
    <t>2811101 BUCKET DELAVE</t>
  </si>
  <si>
    <t>6845802 Hatteras Outdoor WR</t>
  </si>
  <si>
    <t>7785802 Baseball Cap Outdoor</t>
  </si>
  <si>
    <t>2541801 Traveller Cotton</t>
  </si>
  <si>
    <t>2541109 TRAVELLER COTTON</t>
  </si>
  <si>
    <t>Летний</t>
  </si>
  <si>
    <t>Всесезон</t>
  </si>
  <si>
    <t>Бейсболка с прямым козырьком</t>
  </si>
  <si>
    <t>Кремовый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</si>
  <si>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</si>
  <si>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</si>
  <si>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</si>
  <si>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</si>
  <si>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лен / Подклад: 68% хлопок - 32% полиэстер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</si>
  <si>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</si>
  <si>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</si>
  <si>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</si>
  <si>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50% хлопок - 49% лен - 1% эластан / Подклад: 68% хлопок - 32% полиэстер</t>
  </si>
  <si>
    <t>54% полиамид - 46% полиэстер / Подклад: 100% полиэстер</t>
  </si>
  <si>
    <t>54% полиамид - 46% полиэстер / Подклад: 100% хлопок</t>
  </si>
  <si>
    <t>небесный</t>
  </si>
  <si>
    <t>02-214-00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</si>
</sst>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6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46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0" xfId="16"/>
    <xf numFmtId="3" fontId="27" fillId="6" borderId="1" xfId="19" applyNumberFormat="1" applyFont="1" applyFill="1" applyBorder="1" applyAlignment="1">
      <alignment horizontal="right" vertical="top"/>
    </xf>
    <xf numFmtId="0" fontId="27" fillId="6" borderId="1" xfId="19" applyNumberFormat="1" applyFont="1" applyFill="1" applyBorder="1" applyAlignment="1">
      <alignment horizontal="left" vertical="top"/>
    </xf>
    <xf numFmtId="0" fontId="27" fillId="6" borderId="1" xfId="22" applyNumberFormat="1" applyFont="1" applyFill="1" applyBorder="1" applyAlignment="1">
      <alignment horizontal="lef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7" fillId="3" borderId="3" xfId="12" applyFont="1" applyFill="1" applyBorder="1" applyAlignment="1">
      <alignment horizontal="center"/>
    </xf>
    <xf numFmtId="0" fontId="7" fillId="3" borderId="4" xfId="12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4" fillId="0" borderId="0" xfId="12" applyFont="1" applyAlignment="1">
      <alignment horizontal="center" vertical="center"/>
    </xf>
    <xf numFmtId="0" fontId="32" fillId="2" borderId="2" xfId="12" applyFont="1" applyFill="1" applyBorder="1"/>
    <xf numFmtId="0" fontId="32" fillId="2" borderId="2" xfId="12" applyFont="1" applyFill="1" applyBorder="1" applyAlignment="1">
      <alignment horizontal="center"/>
    </xf>
    <xf numFmtId="0" fontId="32" fillId="2" borderId="2" xfId="12" applyFont="1" applyFill="1" applyBorder="1" applyAlignment="1">
      <alignment horizontal="center" vertical="center"/>
    </xf>
    <xf numFmtId="166" fontId="32" fillId="2" borderId="2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8" fillId="3" borderId="3" xfId="12" applyFill="1" applyBorder="1" applyAlignment="1">
      <alignment horizontal="center" vertical="center"/>
    </xf>
    <xf numFmtId="0" fontId="32" fillId="2" borderId="5" xfId="12" applyFont="1" applyFill="1" applyBorder="1"/>
    <xf numFmtId="0" fontId="32" fillId="2" borderId="6" xfId="12" applyFont="1" applyFill="1" applyBorder="1"/>
    <xf numFmtId="0" fontId="20" fillId="4" borderId="7" xfId="12" applyFont="1" applyFill="1" applyBorder="1"/>
    <xf numFmtId="0" fontId="16" fillId="0" borderId="8" xfId="0" applyFont="1" applyBorder="1"/>
    <xf numFmtId="0" fontId="0" fillId="0" borderId="8" xfId="0" applyBorder="1"/>
    <xf numFmtId="0" fontId="20" fillId="4" borderId="7" xfId="12" applyFont="1" applyFill="1" applyBorder="1" applyAlignment="1"/>
    <xf numFmtId="0" fontId="16" fillId="0" borderId="8" xfId="0" applyFont="1" applyBorder="1" applyAlignment="1"/>
    <xf numFmtId="0" fontId="0" fillId="0" borderId="8" xfId="0" applyBorder="1" applyAlignment="1"/>
    <xf numFmtId="0" fontId="30" fillId="11" borderId="7" xfId="0" applyFont="1" applyFill="1" applyBorder="1" applyAlignment="1">
      <alignment textRotation="90"/>
    </xf>
    <xf numFmtId="0" fontId="30" fillId="12" borderId="7" xfId="0" applyFont="1" applyFill="1" applyBorder="1" applyAlignment="1">
      <alignment textRotation="90"/>
    </xf>
    <xf numFmtId="0" fontId="32" fillId="2" borderId="9" xfId="12" applyFont="1" applyFill="1" applyBorder="1"/>
    <xf numFmtId="0" fontId="32" fillId="2" borderId="10" xfId="12" applyFont="1" applyFill="1" applyBorder="1"/>
    <xf numFmtId="0" fontId="22" fillId="0" borderId="8" xfId="12" applyFont="1" applyBorder="1"/>
    <xf numFmtId="44" fontId="17" fillId="0" borderId="8" xfId="14" applyFont="1" applyFill="1" applyBorder="1"/>
    <xf numFmtId="166" fontId="0" fillId="0" borderId="8" xfId="13" applyFont="1" applyBorder="1"/>
    <xf numFmtId="0" fontId="17" fillId="0" borderId="8" xfId="12" applyFont="1" applyBorder="1"/>
    <xf numFmtId="0" fontId="8" fillId="0" borderId="8" xfId="12" applyBorder="1"/>
    <xf numFmtId="0" fontId="7" fillId="3" borderId="4" xfId="12" applyFont="1" applyFill="1" applyBorder="1" applyAlignment="1">
      <alignment horizontal="left" vertical="center"/>
    </xf>
    <xf numFmtId="0" fontId="32" fillId="2" borderId="11" xfId="12" applyFont="1" applyFill="1" applyBorder="1" applyAlignment="1">
      <alignment horizontal="left" vertical="center"/>
    </xf>
    <xf numFmtId="0" fontId="7" fillId="3" borderId="12" xfId="12" applyFont="1" applyFill="1" applyBorder="1" applyAlignment="1">
      <alignment horizontal="center" vertical="center"/>
    </xf>
    <xf numFmtId="0" fontId="7" fillId="3" borderId="8" xfId="12" applyFont="1" applyFill="1" applyBorder="1" applyAlignment="1">
      <alignment horizontal="center"/>
    </xf>
    <xf numFmtId="0" fontId="20" fillId="2" borderId="9" xfId="12" applyFont="1" applyFill="1" applyBorder="1"/>
    <xf numFmtId="0" fontId="32" fillId="2" borderId="10" xfId="12" applyFont="1" applyFill="1" applyBorder="1" applyAlignment="1">
      <alignment horizontal="left" vertical="center"/>
    </xf>
    <xf numFmtId="0" fontId="8" fillId="3" borderId="8" xfId="12" applyFill="1" applyBorder="1"/>
    <xf numFmtId="0" fontId="8" fillId="3" borderId="13" xfId="12" applyFill="1" applyBorder="1"/>
    <xf numFmtId="0" fontId="0" fillId="0" borderId="0" xfId="0" applyBorder="1"/>
    <xf numFmtId="0" fontId="16" fillId="3" borderId="14" xfId="0" applyFont="1" applyFill="1" applyBorder="1" applyAlignment="1">
      <alignment horizontal="center" textRotation="90"/>
    </xf>
    <xf numFmtId="0" fontId="16" fillId="3" borderId="12" xfId="0" applyFont="1" applyFill="1" applyBorder="1" applyAlignment="1">
      <alignment horizontal="center" textRotation="90"/>
    </xf>
    <xf numFmtId="0" fontId="30" fillId="3" borderId="14" xfId="0" applyFont="1" applyFill="1" applyBorder="1" applyAlignment="1">
      <alignment horizontal="center" textRotation="90"/>
    </xf>
    <xf numFmtId="0" fontId="30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7" fillId="0" borderId="12" xfId="12" applyFont="1" applyBorder="1"/>
    <xf numFmtId="0" fontId="32" fillId="2" borderId="15" xfId="12" applyFont="1" applyFill="1" applyBorder="1"/>
    <xf numFmtId="0" fontId="0" fillId="0" borderId="16" xfId="0" applyBorder="1"/>
    <xf numFmtId="0" fontId="17" fillId="0" borderId="16" xfId="12" applyFont="1" applyBorder="1"/>
    <xf numFmtId="0" fontId="0" fillId="0" borderId="0" xfId="0" applyFill="1" applyBorder="1"/>
    <xf numFmtId="0" fontId="0" fillId="0" borderId="14" xfId="0" applyBorder="1"/>
    <xf numFmtId="0" fontId="30" fillId="3" borderId="0" xfId="0" applyFont="1" applyFill="1" applyBorder="1" applyAlignment="1">
      <alignment horizontal="center" textRotation="90"/>
    </xf>
    <xf numFmtId="0" fontId="16" fillId="3" borderId="0" xfId="0" applyFont="1" applyFill="1" applyBorder="1" applyAlignment="1">
      <alignment horizontal="center" textRotation="90"/>
    </xf>
    <xf numFmtId="0" fontId="32" fillId="2" borderId="2" xfId="12" applyNumberFormat="1" applyFont="1" applyFill="1" applyBorder="1"/>
    <xf numFmtId="0" fontId="17" fillId="3" borderId="8" xfId="12" applyNumberFormat="1" applyFont="1" applyFill="1" applyBorder="1"/>
    <xf numFmtId="49" fontId="29" fillId="0" borderId="0" xfId="16" applyNumberFormat="1" applyFill="1" applyBorder="1" applyAlignment="1">
      <alignment horizontal="center"/>
    </xf>
    <xf numFmtId="49" fontId="27" fillId="0" borderId="2" xfId="17" applyNumberFormat="1" applyFont="1" applyFill="1" applyBorder="1" applyAlignment="1">
      <alignment horizontal="right" vertical="top"/>
    </xf>
    <xf numFmtId="0" fontId="8" fillId="0" borderId="2" xfId="12" applyBorder="1"/>
    <xf numFmtId="49" fontId="8" fillId="0" borderId="2" xfId="12" applyNumberFormat="1" applyBorder="1"/>
    <xf numFmtId="49" fontId="8" fillId="0" borderId="0" xfId="12" applyNumberFormat="1"/>
    <xf numFmtId="0" fontId="27" fillId="6" borderId="2" xfId="18" applyNumberFormat="1" applyFont="1" applyFill="1" applyBorder="1" applyAlignment="1">
      <alignment horizontal="left" vertical="top"/>
    </xf>
    <xf numFmtId="0" fontId="8" fillId="0" borderId="0" xfId="12" applyAlignment="1">
      <alignment horizontal="left" vertical="center"/>
    </xf>
    <xf numFmtId="0" fontId="8" fillId="0" borderId="2" xfId="12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27" fillId="6" borderId="2" xfId="24" applyNumberFormat="1" applyFont="1" applyFill="1" applyBorder="1" applyAlignment="1">
      <alignment horizontal="left" vertical="center"/>
    </xf>
    <xf numFmtId="3" fontId="27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9" fillId="0" borderId="0" xfId="16" applyNumberFormat="1" applyFill="1" applyBorder="1"/>
    <xf numFmtId="49" fontId="27" fillId="0" borderId="2" xfId="17" applyNumberFormat="1" applyFont="1" applyFill="1" applyBorder="1" applyAlignment="1">
      <alignment horizontal="left" vertical="top"/>
    </xf>
    <xf numFmtId="0" fontId="2" fillId="0" borderId="2" xfId="12" applyFont="1" applyBorder="1" applyAlignment="1">
      <alignment horizontal="left" vertical="center"/>
    </xf>
    <xf numFmtId="0" fontId="34" fillId="6" borderId="2" xfId="23" applyNumberFormat="1" applyFont="1" applyFill="1" applyBorder="1" applyAlignment="1">
      <alignment horizontal="left" vertical="center"/>
    </xf>
    <xf numFmtId="0" fontId="27" fillId="6" borderId="2" xfId="21" applyNumberFormat="1" applyFont="1" applyFill="1" applyBorder="1" applyAlignment="1">
      <alignment horizontal="left" vertical="center"/>
    </xf>
    <xf numFmtId="1" fontId="27" fillId="6" borderId="2" xfId="21" applyNumberFormat="1" applyFont="1" applyFill="1" applyBorder="1" applyAlignment="1">
      <alignment horizontal="left" vertical="center"/>
    </xf>
    <xf numFmtId="0" fontId="27" fillId="6" borderId="2" xfId="22" applyNumberFormat="1" applyFont="1" applyFill="1" applyBorder="1" applyAlignment="1">
      <alignment horizontal="left" vertical="center"/>
    </xf>
    <xf numFmtId="0" fontId="35" fillId="6" borderId="2" xfId="20" applyNumberFormat="1" applyFont="1" applyFill="1" applyBorder="1" applyAlignment="1">
      <alignment horizontal="left" vertical="center"/>
    </xf>
    <xf numFmtId="0" fontId="28" fillId="0" borderId="2" xfId="12" applyFont="1" applyBorder="1" applyAlignment="1">
      <alignment horizontal="left" vertical="center"/>
    </xf>
    <xf numFmtId="0" fontId="33" fillId="0" borderId="2" xfId="12" applyFont="1" applyBorder="1" applyAlignment="1">
      <alignment horizontal="left" vertical="center"/>
    </xf>
    <xf numFmtId="0" fontId="5" fillId="0" borderId="2" xfId="12" applyFont="1" applyBorder="1" applyAlignment="1">
      <alignment horizontal="left" vertical="center"/>
    </xf>
    <xf numFmtId="0" fontId="17" fillId="0" borderId="2" xfId="12" applyFont="1" applyBorder="1" applyAlignment="1">
      <alignment horizontal="left" vertical="center"/>
    </xf>
    <xf numFmtId="49" fontId="20" fillId="0" borderId="2" xfId="16" applyNumberFormat="1" applyFont="1" applyFill="1" applyBorder="1"/>
    <xf numFmtId="49" fontId="20" fillId="0" borderId="0" xfId="16" applyNumberFormat="1" applyFont="1" applyFill="1" applyBorder="1"/>
    <xf numFmtId="49" fontId="20" fillId="0" borderId="2" xfId="16" applyNumberFormat="1" applyFont="1" applyFill="1" applyBorder="1" applyAlignment="1">
      <alignment horizontal="center"/>
    </xf>
    <xf numFmtId="0" fontId="1" fillId="0" borderId="2" xfId="12" applyFont="1" applyBorder="1" applyAlignment="1">
      <alignment horizontal="left" vertical="center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73"/>
  <sheetViews>
    <sheetView tabSelected="1" topLeftCell="AK1" zoomScaleNormal="100" workbookViewId="0">
      <pane ySplit="1" topLeftCell="A2" activePane="bottomLeft" state="frozen"/>
      <selection pane="bottomLeft" activeCell="Y57" sqref="Y57"/>
    </sheetView>
  </sheetViews>
  <sheetFormatPr defaultColWidth="18.7109375" defaultRowHeight="15" outlineLevelCol="1" x14ac:dyDescent="0.25"/>
  <cols>
    <col min="1" max="1" width="10.85546875" style="111" customWidth="1"/>
    <col min="2" max="2" width="23.71093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16.28515625" style="92" bestFit="1" customWidth="1"/>
    <col min="10" max="10" width="49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2" style="91" bestFit="1" customWidth="1"/>
    <col min="17" max="17" width="51" style="89" customWidth="1"/>
    <col min="18" max="18" width="10.85546875" style="92" customWidth="1"/>
    <col min="19" max="19" width="7.140625" style="93" bestFit="1" customWidth="1"/>
    <col min="20" max="20" width="10.5703125" style="14" customWidth="1"/>
    <col min="21" max="21" width="78.42578125" style="101" customWidth="1"/>
    <col min="22" max="22" width="83.5703125" style="100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7" customWidth="1" collapsed="1"/>
    <col min="26" max="26" width="26.85546875" style="73" bestFit="1" customWidth="1"/>
    <col min="27" max="27" width="16.5703125" style="76" bestFit="1" customWidth="1" collapsed="1"/>
    <col min="28" max="28" width="17" style="97" bestFit="1" customWidth="1"/>
    <col min="29" max="29" width="15" style="97" bestFit="1" customWidth="1"/>
    <col min="30" max="30" width="20.5703125" style="97" bestFit="1" customWidth="1"/>
    <col min="31" max="31" width="17.28515625" style="97" bestFit="1" customWidth="1"/>
    <col min="32" max="32" width="18.5703125" style="97" customWidth="1"/>
    <col min="33" max="33" width="29.5703125" style="97" bestFit="1" customWidth="1"/>
    <col min="34" max="34" width="26.5703125" style="97" bestFit="1" customWidth="1"/>
    <col min="35" max="35" width="29.85546875" style="97" bestFit="1" customWidth="1"/>
    <col min="36" max="36" width="32.5703125" style="97" bestFit="1" customWidth="1"/>
    <col min="37" max="37" width="27" style="97" bestFit="1" customWidth="1"/>
    <col min="38" max="38" width="19" style="97" bestFit="1" customWidth="1"/>
    <col min="39" max="39" width="20.140625" style="97" bestFit="1" customWidth="1"/>
    <col min="40" max="40" width="22.28515625" style="97" bestFit="1" customWidth="1"/>
    <col min="41" max="41" width="14.5703125" style="97" bestFit="1" customWidth="1"/>
    <col min="42" max="42" width="13.5703125" style="97" bestFit="1" customWidth="1"/>
    <col min="43" max="43" width="15.85546875" style="97" bestFit="1" customWidth="1"/>
    <col min="44" max="44" width="16.7109375" style="97" bestFit="1" customWidth="1"/>
    <col min="45" max="45" width="27.5703125" style="64" customWidth="1"/>
    <col min="46" max="46" width="26" style="65" customWidth="1"/>
    <col min="47" max="47" width="30" style="96" customWidth="1"/>
    <col min="48" max="48" width="108.42578125" style="94" bestFit="1" customWidth="1"/>
    <col min="49" max="16384" width="18.7109375" style="14"/>
  </cols>
  <sheetData>
    <row r="1" spans="1:48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28416</v>
      </c>
      <c r="O1" s="87" t="s">
        <v>28417</v>
      </c>
      <c r="P1" s="72" t="s">
        <v>7</v>
      </c>
      <c r="Q1" s="69" t="s">
        <v>89</v>
      </c>
      <c r="R1" s="69" t="s">
        <v>3</v>
      </c>
      <c r="S1" s="69" t="s">
        <v>245</v>
      </c>
      <c r="T1" s="88" t="s">
        <v>246</v>
      </c>
      <c r="U1" s="78" t="s">
        <v>248</v>
      </c>
      <c r="V1" s="69" t="s">
        <v>85</v>
      </c>
      <c r="W1" s="99" t="s">
        <v>27570</v>
      </c>
      <c r="X1" s="77" t="s">
        <v>27777</v>
      </c>
      <c r="Y1" s="116" t="s">
        <v>2</v>
      </c>
      <c r="Z1" s="98" t="str" cm="1">
        <f t="array" aca="1" ref="Z1:Z73" ca="1">_xlfn._xlws.SORT(INDIRECT("Строчный!R1:R"&amp;COUNTA(Строчный!R:R)),1,-1,FALSE)</f>
        <v>Артикул характеристики</v>
      </c>
      <c r="AA1" s="74" t="s">
        <v>247</v>
      </c>
      <c r="AB1" s="70" t="s">
        <v>27573</v>
      </c>
      <c r="AC1" s="70" t="s">
        <v>27574</v>
      </c>
      <c r="AD1" s="70" t="s">
        <v>27575</v>
      </c>
      <c r="AE1" s="70" t="s">
        <v>27572</v>
      </c>
      <c r="AF1" s="70" t="s">
        <v>27571</v>
      </c>
      <c r="AG1" s="70" t="s">
        <v>253</v>
      </c>
      <c r="AH1" s="70" t="s">
        <v>254</v>
      </c>
      <c r="AI1" s="70" t="s">
        <v>255</v>
      </c>
      <c r="AJ1" s="70" t="s">
        <v>256</v>
      </c>
      <c r="AK1" s="70" t="s">
        <v>27577</v>
      </c>
      <c r="AL1" s="70" t="s">
        <v>27578</v>
      </c>
      <c r="AM1" s="70" t="s">
        <v>27579</v>
      </c>
      <c r="AN1" s="70" t="s">
        <v>27580</v>
      </c>
      <c r="AO1" s="70" t="s">
        <v>27581</v>
      </c>
      <c r="AP1" s="70" t="s">
        <v>27582</v>
      </c>
      <c r="AQ1" s="70" t="s">
        <v>27583</v>
      </c>
      <c r="AR1" s="70" t="s">
        <v>27584</v>
      </c>
      <c r="AS1" s="70" t="s">
        <v>260</v>
      </c>
      <c r="AT1" s="70" t="s">
        <v>261</v>
      </c>
      <c r="AU1" s="71" t="s">
        <v>262</v>
      </c>
      <c r="AV1" s="95" t="s">
        <v>263</v>
      </c>
    </row>
    <row r="2" spans="1:48" ht="14.45" customHeight="1" x14ac:dyDescent="0.25">
      <c r="A2" s="110" t="str">
        <f ca="1">LEFT(Z2,9)</f>
        <v>02-695-02</v>
      </c>
      <c r="B2" s="107" t="str">
        <f ca="1">_xlfn.LET(_xlpm.CAPS,1,_xlpm.Style,TRIM(_xlfn.XLOOKUP($A2,Строчный!$A:$A,Строчный!B:B,"ERR",0)),IF(_xlpm.CAPS=0,_xlpm.Style,UPPER(_xlpm.Style)))</f>
        <v>2541801 TRAVELLER COTTON</v>
      </c>
      <c r="C2" s="81" t="str">
        <f ca="1">TRIM(PROPER(_xlfn.XLOOKUP($A2,Строчный!$A:$A,Строчный!C:C,"ERR",0)))</f>
        <v>Шляпы</v>
      </c>
      <c r="D2" s="81" t="str">
        <f ca="1">_xlfn.LET(_xlpm.DATA,TRIM(_xlfn.XLOOKUP($A2,Строчный!$A:$A,Строчный!D:D,"ERR",0)),UPPER(MID(_xlpm.DATA,1,1))&amp;LOWER(MID(_xlpm.DATA,2,LEN(_xlpm.DATA)-1)))</f>
        <v>Шляпа федора</v>
      </c>
      <c r="E2" s="81" t="str">
        <f ca="1">PROPER(TRIM(_xlfn.XLOOKUP($A2,Строчный!$A:$A,Строчный!E:E,"ERR",0)))</f>
        <v>Stetson</v>
      </c>
      <c r="F2" s="81" t="str">
        <f ca="1">LOWER(TRIM(_xlfn.XLOOKUP($A2,Строчный!$A:$A,Строчный!F:F,"ERR",0)))</f>
        <v>летний</v>
      </c>
      <c r="G2" s="81" t="str">
        <f ca="1">UPPER(TRIM(_xlfn.XLOOKUP($A2,Строчный!$A:$A,Строчный!G:G,"ERR",0)))</f>
        <v>STETSON</v>
      </c>
      <c r="H2" s="81" t="str">
        <f ca="1">LOWER(TRIM(_xlfn.XLOOKUP($A2,Строчный!$A:$A,Строчный!H:H,"ERR",0)))</f>
        <v>7</v>
      </c>
      <c r="I2" s="81" t="str">
        <f ca="1">LOWER(TRIM(_xlfn.XLOOKUP($A2,Строчный!$A:$A,Строчный!I:I,"ERR",0)))</f>
        <v>бежевый</v>
      </c>
      <c r="J2" s="81" t="str">
        <f ca="1">SUBSTITUTE(LOWER(TRIM(_xlfn.XLOOKUP($A2,Строчный!$A:$A,Строчный!J:J,"ERR",0))),"подклад","Подклад")</f>
        <v>100% хлопок / Подклад: 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7" t="str">
        <f ca="1">PROPER(TRIM(_xlfn.XLOOKUP($A2,Строчный!$A:$A,Строчный!P:P,"ERR",0)))</f>
        <v/>
      </c>
      <c r="P2" s="90">
        <f ca="1">VALUE(_xlfn.XLOOKUP($A2,Строчный!$A:$A,Строчный!N:N,"ERR",0))</f>
        <v>2998.6479999999997</v>
      </c>
      <c r="Q2" s="89" t="str">
        <f ca="1">_xlfn.XLOOKUP($G2,Фабрика!A:A,Фабрика!B:B,"ERR",0)</f>
        <v>Friedrich W. Schneider GmbH &amp; Co. KG; Oskar-Schindler-Str. 11, D 50769 Köln, Germany</v>
      </c>
      <c r="R2" s="80" t="str">
        <f ca="1">_xlfn.XLOOKUP(RIGHT(Z2,2),Размеры!D:D,Размеры!A:A,"ERR",0)</f>
        <v>59</v>
      </c>
      <c r="S2" s="80">
        <f ca="1">VALUE(_xlfn.XLOOKUP($Z2,Строчный!$R:$R,Строчный!T:T,"ERR",0))</f>
        <v>4</v>
      </c>
      <c r="T2" s="14" t="s">
        <v>265</v>
      </c>
      <c r="U2" s="101" t="str">
        <f ca="1">TRIM(CONCATENATE(AA2," ",G2," арт. ",B2," (",I2,")"))</f>
        <v>Шляпа STETSON арт. 2541801 TRAVELLER COTTON (бежевый)</v>
      </c>
      <c r="V2" s="100" t="str">
        <f ca="1">TRIM(CONCATENATE(AA2," ",G2," арт. ",B2," (",I2,") {",H2,"}"))</f>
        <v>Шляпа STETSON арт. 2541801 TRAVELLER COTTON (бежевый) {7}</v>
      </c>
      <c r="W2" s="18" t="str">
        <f t="shared" ref="W2:W33" ca="1" si="0">IFERROR(MID(I2,FIND("-",I2)+1,LEN(I2)),IFERROR(MID(I2,1,FIND("/",I2)-2),I2))</f>
        <v>бежевый</v>
      </c>
      <c r="X2" s="18" t="str">
        <f t="shared" ref="X2:X33" ca="1" si="1">IFERROR(MID(I2,FIND("-",I2)+1,LEN(I2)),IFERROR(MID(I2,FIND("/",I2)+2,LEN(I2)),I2))</f>
        <v>бежевый</v>
      </c>
      <c r="Y2" s="117" t="str">
        <f ca="1">_xlfn.LET(_xlpm.FormColors,_xlfn.XLOOKUP(A2,Строчный!A:A,Строчный!Q:Q,"",0),IF(_xlpm.FormColors=0,IFERROR(MID(I2,FIND("-",I2)+1,LEN(I2)),IFERROR(MID(I2,1,FIND("/",I2)-2),I2)),_xlpm.FormColors))</f>
        <v>бежевый</v>
      </c>
      <c r="Z2" s="73" t="str">
        <f ca="1"/>
        <v>02-695-02-59</v>
      </c>
      <c r="AA2" s="75" t="str">
        <f ca="1">VLOOKUP(C2,Группа!A:B,2,FALSE)</f>
        <v>Шляпа</v>
      </c>
      <c r="AB2" s="97" t="str">
        <f ca="1">IFERROR(VLOOKUP(R2,Размеры!A:C,3,FALSE),"")</f>
        <v>59 L</v>
      </c>
      <c r="AC2" s="97" t="str">
        <f ca="1">VLOOKUP(I2,ЦветПолный!A:B,2,FALSE)</f>
        <v>02</v>
      </c>
      <c r="AD2" s="97" t="str">
        <f ca="1">IFERROR(VLOOKUP(R2,Размеры!A:D,4,FALSE),"")</f>
        <v>59</v>
      </c>
      <c r="AE2" s="97">
        <f ca="1">IF(LEFT(IFERROR(VLOOKUP(LOOKUP(2,1/SEARCH(B2,Товары!A:A),Товары!A:A),Товары!A:B,2,0),""),6)=MID(Z2,1,6),1,0)</f>
        <v>0</v>
      </c>
      <c r="AG2" s="97">
        <f ca="1">SUMIF(Группа!A:A,C2,Группа!C:C)</f>
        <v>1</v>
      </c>
      <c r="AH2" s="97">
        <f ca="1">SUMIF(Группа!B:B,AA2,Группа!C:C)</f>
        <v>1</v>
      </c>
      <c r="AI2" s="97">
        <f ca="1">SUMIF(Формы!A:A,D2,Формы!B:B)</f>
        <v>1</v>
      </c>
      <c r="AJ2" s="97">
        <f ca="1">SUMIF(Материал!A:A,K2,Материал!B:B)</f>
        <v>1</v>
      </c>
      <c r="AK2" s="97">
        <f ca="1">SUMIF(Размеры!A:A,R2,Размеры!E:E)</f>
        <v>1</v>
      </c>
      <c r="AL2" s="97">
        <f ca="1">SUMIF(Сезон!A:A,F2,Сезон!B:B)</f>
        <v>1</v>
      </c>
      <c r="AM2" s="97">
        <f ca="1">SUMIF(Состав!A:A,J2,Состав!B:B)</f>
        <v>0</v>
      </c>
      <c r="AN2" s="97">
        <f ca="1">VLOOKUP(I2,ЦветПолный!A:C,3,0)</f>
        <v>1</v>
      </c>
      <c r="AO2" s="97">
        <f ca="1">SUMIF(Цвет!A:A,Y2,Цвет!B:B)</f>
        <v>1</v>
      </c>
      <c r="AP2" s="97">
        <f ca="1">_xlfn.XLOOKUP(L2,Пол!A:A,Пол!B:B,0,0)</f>
        <v>1</v>
      </c>
      <c r="AQ2" s="97">
        <f ca="1">SUMIF(Марка!A:A,G2,Марка!B:B)</f>
        <v>1</v>
      </c>
      <c r="AR2" s="97">
        <f ca="1">SUMIF(Страна!A:A,M2,Страна!B:B)</f>
        <v>1</v>
      </c>
      <c r="AS2" s="64" t="e">
        <f ca="1">IF(VLOOKUP(V2,Товары!A:B,2,FALSE)=A2,"Есть в 1С","ERR")</f>
        <v>#N/A</v>
      </c>
      <c r="AT2" s="65" t="e">
        <f ca="1">IF(VLOOKUP(A2,Товары!B:B,1,FALSE)=A2,"Есть в 1С","ERR")</f>
        <v>#N/A</v>
      </c>
      <c r="AU2" s="96" t="e">
        <f ca="1">VLOOKUP(V2,Товары!A:B,2,FALSE)</f>
        <v>#N/A</v>
      </c>
      <c r="AV2" s="94" t="e">
        <f ca="1">VLOOKUP(V2,Товары!A:B,1,FALSE)</f>
        <v>#N/A</v>
      </c>
    </row>
    <row r="3" spans="1:48" ht="14.45" customHeight="1" x14ac:dyDescent="0.25">
      <c r="A3" s="110" t="str">
        <f t="shared" ref="A3:A66" ca="1" si="2">LEFT(Z3,9)</f>
        <v>02-695-02</v>
      </c>
      <c r="B3" s="107" t="str">
        <f ca="1">_xlfn.LET(_xlpm.CAPS,1,_xlpm.Style,TRIM(_xlfn.XLOOKUP($A3,Строчный!$A:$A,Строчный!B:B,"ERR",0)),IF(_xlpm.CAPS=0,_xlpm.Style,UPPER(_xlpm.Style)))</f>
        <v>2541801 TRAVELLER COTTON</v>
      </c>
      <c r="C3" s="81" t="str">
        <f ca="1">TRIM(PROPER(_xlfn.XLOOKUP($A3,Строчный!$A:$A,Строчный!C:C,"ERR",0)))</f>
        <v>Шляпы</v>
      </c>
      <c r="D3" s="81" t="str">
        <f ca="1">_xlfn.LET(_xlpm.DATA,TRIM(_xlfn.XLOOKUP($A3,Строчный!$A:$A,Строчный!D:D,"ERR",0)),UPPER(MID(_xlpm.DATA,1,1))&amp;LOWER(MID(_xlpm.DATA,2,LEN(_xlpm.DATA)-1)))</f>
        <v>Шляпа федора</v>
      </c>
      <c r="E3" s="81" t="str">
        <f ca="1">PROPER(TRIM(_xlfn.XLOOKUP($A3,Строчный!$A:$A,Строчный!E:E,"ERR",0)))</f>
        <v>Stetson</v>
      </c>
      <c r="F3" s="81" t="str">
        <f ca="1">LOWER(TRIM(_xlfn.XLOOKUP($A3,Строчный!$A:$A,Строчный!F:F,"ERR",0)))</f>
        <v>летний</v>
      </c>
      <c r="G3" s="81" t="str">
        <f ca="1">UPPER(TRIM(_xlfn.XLOOKUP($A3,Строчный!$A:$A,Строчный!G:G,"ERR",0)))</f>
        <v>STETSON</v>
      </c>
      <c r="H3" s="81" t="str">
        <f ca="1">LOWER(TRIM(_xlfn.XLOOKUP($A3,Строчный!$A:$A,Строчный!H:H,"ERR",0)))</f>
        <v>7</v>
      </c>
      <c r="I3" s="81" t="str">
        <f ca="1">LOWER(TRIM(_xlfn.XLOOKUP($A3,Строчный!$A:$A,Строчный!I:I,"ERR",0)))</f>
        <v>бежевый</v>
      </c>
      <c r="J3" s="81" t="str">
        <f ca="1">SUBSTITUTE(LOWER(TRIM(_xlfn.XLOOKUP($A3,Строчный!$A:$A,Строчный!J:J,"ERR",0))),"подклад","Подклад")</f>
        <v>100% хлопок / Подклад: 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7" t="str">
        <f ca="1">PROPER(TRIM(_xlfn.XLOOKUP($A3,Строчный!$A:$A,Строчный!P:P,"ERR",0)))</f>
        <v/>
      </c>
      <c r="P3" s="90">
        <f ca="1">VALUE(_xlfn.XLOOKUP($A3,Строчный!$A:$A,Строчный!N:N,"ERR",0))</f>
        <v>2998.6479999999997</v>
      </c>
      <c r="Q3" s="89" t="str">
        <f ca="1">_xlfn.XLOOKUP($G3,Фабрика!A:A,Фабрика!B:B,"ERR",0)</f>
        <v>Friedrich W. Schneider GmbH &amp; Co. KG; Oskar-Schindler-Str. 11, D 50769 Köln, Germany</v>
      </c>
      <c r="R3" s="80" t="str">
        <f ca="1">_xlfn.XLOOKUP(RIGHT(Z3,2),Размеры!D:D,Размеры!A:A,"ERR",0)</f>
        <v>57</v>
      </c>
      <c r="S3" s="80">
        <f ca="1">VALUE(_xlfn.XLOOKUP($Z3,Строчный!$R:$R,Строчный!T:T,"ERR",0))</f>
        <v>2</v>
      </c>
      <c r="T3" s="14" t="s">
        <v>265</v>
      </c>
      <c r="U3" s="101" t="str">
        <f t="shared" ref="U3:U66" ca="1" si="3">TRIM(CONCATENATE(AA3," ",G3," арт. ",B3," (",I3,")"))</f>
        <v>Шляпа STETSON арт. 2541801 TRAVELLER COTTON (бежевый)</v>
      </c>
      <c r="V3" s="100" t="str">
        <f t="shared" ref="V3:V66" ca="1" si="4">TRIM(CONCATENATE(AA3," ",G3," арт. ",B3," (",I3,") {",H3,"}"))</f>
        <v>Шляпа STETSON арт. 2541801 TRAVELLER COTTON (бежевый) {7}</v>
      </c>
      <c r="W3" s="18" t="str">
        <f t="shared" ca="1" si="0"/>
        <v>бежевый</v>
      </c>
      <c r="X3" s="18" t="str">
        <f t="shared" ca="1" si="1"/>
        <v>бежевый</v>
      </c>
      <c r="Y3" s="117" t="str">
        <f ca="1">_xlfn.LET(_xlpm.FormColors,_xlfn.XLOOKUP(A3,Строчный!A:A,Строчный!Q:Q,"",0),IF(_xlpm.FormColors=0,IFERROR(MID(I3,FIND("-",I3)+1,LEN(I3)),IFERROR(MID(I3,1,FIND("/",I3)-2),I3)),_xlpm.FormColors))</f>
        <v>бежевый</v>
      </c>
      <c r="Z3" s="73" t="str">
        <f ca="1"/>
        <v>02-695-02-57</v>
      </c>
      <c r="AA3" s="75" t="str">
        <f ca="1">VLOOKUP(C3,Группа!A:B,2,FALSE)</f>
        <v>Шляпа</v>
      </c>
      <c r="AB3" s="97" t="str">
        <f ca="1">IFERROR(VLOOKUP(R3,Размеры!A:C,3,FALSE),"")</f>
        <v>57 M</v>
      </c>
      <c r="AC3" s="97" t="str">
        <f ca="1">VLOOKUP(I3,ЦветПолный!A:B,2,FALSE)</f>
        <v>02</v>
      </c>
      <c r="AD3" s="97" t="str">
        <f ca="1">IFERROR(VLOOKUP(R3,Размеры!A:D,4,FALSE),"")</f>
        <v>57</v>
      </c>
      <c r="AE3" s="97">
        <f ca="1">IF(LEFT(IFERROR(VLOOKUP(LOOKUP(2,1/SEARCH(B3,Товары!A:A),Товары!A:A),Товары!A:B,2,0),""),6)=MID(Z3,1,6),1,0)</f>
        <v>0</v>
      </c>
      <c r="AG3" s="97">
        <f ca="1">SUMIF(Группа!A:A,C3,Группа!C:C)</f>
        <v>1</v>
      </c>
      <c r="AH3" s="97">
        <f ca="1">SUMIF(Группа!B:B,AA3,Группа!C:C)</f>
        <v>1</v>
      </c>
      <c r="AI3" s="97">
        <f ca="1">SUMIF(Формы!A:A,D3,Формы!B:B)</f>
        <v>1</v>
      </c>
      <c r="AJ3" s="97">
        <f ca="1">SUMIF(Материал!A:A,K3,Материал!B:B)</f>
        <v>1</v>
      </c>
      <c r="AK3" s="97">
        <f ca="1">SUMIF(Размеры!A:A,R3,Размеры!E:E)</f>
        <v>1</v>
      </c>
      <c r="AL3" s="97">
        <f ca="1">SUMIF(Сезон!A:A,F3,Сезон!B:B)</f>
        <v>1</v>
      </c>
      <c r="AM3" s="97">
        <f ca="1">SUMIF(Состав!A:A,J3,Состав!B:B)</f>
        <v>0</v>
      </c>
      <c r="AN3" s="97">
        <f ca="1">VLOOKUP(I3,ЦветПолный!A:C,3,0)</f>
        <v>1</v>
      </c>
      <c r="AO3" s="97">
        <f ca="1">SUMIF(Цвет!A:A,Y3,Цвет!B:B)</f>
        <v>1</v>
      </c>
      <c r="AP3" s="97">
        <f ca="1">_xlfn.XLOOKUP(L3,Пол!A:A,Пол!B:B,0,0)</f>
        <v>1</v>
      </c>
      <c r="AQ3" s="97">
        <f ca="1">SUMIF(Марка!A:A,G3,Марка!B:B)</f>
        <v>1</v>
      </c>
      <c r="AR3" s="97">
        <f ca="1">SUMIF(Страна!A:A,M3,Страна!B:B)</f>
        <v>1</v>
      </c>
      <c r="AS3" s="64" t="e">
        <f ca="1">IF(VLOOKUP(V3,Товары!A:B,2,FALSE)=A3,"Есть в 1С","ERR")</f>
        <v>#N/A</v>
      </c>
      <c r="AT3" s="65" t="e">
        <f ca="1">IF(VLOOKUP(A3,Товары!B:B,1,FALSE)=A3,"Есть в 1С","ERR")</f>
        <v>#N/A</v>
      </c>
      <c r="AU3" s="96" t="e">
        <f ca="1">VLOOKUP(V3,Товары!A:B,2,FALSE)</f>
        <v>#N/A</v>
      </c>
      <c r="AV3" s="94" t="e">
        <f ca="1">VLOOKUP(V3,Товары!A:B,1,FALSE)</f>
        <v>#N/A</v>
      </c>
    </row>
    <row r="4" spans="1:48" ht="14.45" customHeight="1" x14ac:dyDescent="0.25">
      <c r="A4" s="110" t="str">
        <f t="shared" ca="1" si="2"/>
        <v>02-694-05</v>
      </c>
      <c r="B4" s="107" t="str">
        <f ca="1">_xlfn.LET(_xlpm.CAPS,1,_xlpm.Style,TRIM(_xlfn.XLOOKUP($A4,Строчный!$A:$A,Строчный!B:B,"ERR",0)),IF(_xlpm.CAPS=0,_xlpm.Style,UPPER(_xlpm.Style)))</f>
        <v>7785802 BASEBALL CAP OUTDOOR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Stetson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STETSON</v>
      </c>
      <c r="H4" s="81" t="str">
        <f ca="1">LOWER(TRIM(_xlfn.XLOOKUP($A4,Строчный!$A:$A,Строчный!H:H,"ERR",0)))</f>
        <v>15</v>
      </c>
      <c r="I4" s="81" t="str">
        <f ca="1">LOWER(TRIM(_xlfn.XLOOKUP($A4,Строчный!$A:$A,Строчный!I:I,"ERR",0)))</f>
        <v>темно-серый</v>
      </c>
      <c r="J4" s="81" t="str">
        <f ca="1">SUBSTITUTE(LOWER(TRIM(_xlfn.XLOOKUP($A4,Строчный!$A:$A,Строчный!J:J,"ERR",0))),"подклад","Подклад")</f>
        <v>54% полиамид - 46% полиэстер / Подклад: 100% хлопок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7" t="str">
        <f ca="1">PROPER(TRIM(_xlfn.XLOOKUP($A4,Строчный!$A:$A,Строчный!P:P,"ERR",0)))</f>
        <v/>
      </c>
      <c r="P4" s="90">
        <f ca="1">VALUE(_xlfn.XLOOKUP($A4,Строчный!$A:$A,Строчный!N:N,"ERR",0))</f>
        <v>1178.8879999999997</v>
      </c>
      <c r="Q4" s="89" t="str">
        <f ca="1">_xlfn.XLOOKUP($G4,Фабрика!A:A,Фабрика!B:B,"ERR",0)</f>
        <v>Friedrich W. Schneider GmbH &amp; Co. KG; Oskar-Schindler-Str. 11, D 50769 Köln, Germany</v>
      </c>
      <c r="R4" s="80" t="str">
        <f ca="1">_xlfn.XLOOKUP(RIGHT(Z4,2),Размеры!D:D,Размеры!A:A,"ERR",0)</f>
        <v>ONE</v>
      </c>
      <c r="S4" s="80">
        <f ca="1">VALUE(_xlfn.XLOOKUP($Z4,Строчный!$R:$R,Строчный!T:T,"ERR",0))</f>
        <v>17</v>
      </c>
      <c r="T4" s="14" t="s">
        <v>265</v>
      </c>
      <c r="U4" s="101" t="str">
        <f t="shared" ca="1" si="3"/>
        <v>Бейсболка STETSON арт. 7785802 BASEBALL CAP OUTDOOR (темно-серый)</v>
      </c>
      <c r="V4" s="100" t="str">
        <f t="shared" ca="1" si="4"/>
        <v>Бейсболка STETSON арт. 7785802 BASEBALL CAP OUTDOOR (темно-серый) {15}</v>
      </c>
      <c r="W4" s="18" t="str">
        <f t="shared" ca="1" si="0"/>
        <v>серый</v>
      </c>
      <c r="X4" s="18" t="str">
        <f t="shared" ca="1" si="1"/>
        <v>серый</v>
      </c>
      <c r="Y4" s="117" t="str">
        <f ca="1">_xlfn.LET(_xlpm.FormColors,_xlfn.XLOOKUP(A4,Строчный!A:A,Строчный!Q:Q,"",0),IF(_xlpm.FormColors=0,IFERROR(MID(I4,FIND("-",I4)+1,LEN(I4)),IFERROR(MID(I4,1,FIND("/",I4)-2),I4)),_xlpm.FormColors))</f>
        <v>серый</v>
      </c>
      <c r="Z4" s="73" t="str">
        <f ca="1"/>
        <v>02-694-05-00</v>
      </c>
      <c r="AA4" s="75" t="str">
        <f ca="1">VLOOKUP(C4,Группа!A:B,2,FALSE)</f>
        <v>Бейсболка</v>
      </c>
      <c r="AB4" s="97" t="str">
        <f ca="1">IFERROR(VLOOKUP(R4,Размеры!A:C,3,FALSE),"")</f>
        <v>ONE</v>
      </c>
      <c r="AC4" s="97" t="str">
        <f ca="1">VLOOKUP(I4,ЦветПолный!A:B,2,FALSE)</f>
        <v>05</v>
      </c>
      <c r="AD4" s="97" t="str">
        <f ca="1">IFERROR(VLOOKUP(R4,Размеры!A:D,4,FALSE),"")</f>
        <v>00</v>
      </c>
      <c r="AE4" s="97">
        <f ca="1">IF(LEFT(IFERROR(VLOOKUP(LOOKUP(2,1/SEARCH(B4,Товары!A:A),Товары!A:A),Товары!A:B,2,0),""),6)=MID(Z4,1,6),1,0)</f>
        <v>0</v>
      </c>
      <c r="AG4" s="97">
        <f ca="1">SUMIF(Группа!A:A,C4,Группа!C:C)</f>
        <v>1</v>
      </c>
      <c r="AH4" s="97">
        <f ca="1">SUMIF(Группа!B:B,AA4,Группа!C:C)</f>
        <v>1</v>
      </c>
      <c r="AI4" s="97">
        <f ca="1">SUMIF(Формы!A:A,D4,Формы!B:B)</f>
        <v>1</v>
      </c>
      <c r="AJ4" s="97">
        <f ca="1">SUMIF(Материал!A:A,K4,Материал!B:B)</f>
        <v>0</v>
      </c>
      <c r="AK4" s="97">
        <f ca="1">SUMIF(Размеры!A:A,R4,Размеры!E:E)</f>
        <v>1</v>
      </c>
      <c r="AL4" s="97">
        <f ca="1">SUMIF(Сезон!A:A,F4,Сезон!B:B)</f>
        <v>1</v>
      </c>
      <c r="AM4" s="97">
        <f ca="1">SUMIF(Состав!A:A,J4,Состав!B:B)</f>
        <v>0</v>
      </c>
      <c r="AN4" s="97">
        <f ca="1">VLOOKUP(I4,ЦветПолный!A:C,3,0)</f>
        <v>1</v>
      </c>
      <c r="AO4" s="97">
        <f ca="1">SUMIF(Цвет!A:A,Y4,Цвет!B:B)</f>
        <v>1</v>
      </c>
      <c r="AP4" s="97">
        <f ca="1">_xlfn.XLOOKUP(L4,Пол!A:A,Пол!B:B,0,0)</f>
        <v>1</v>
      </c>
      <c r="AQ4" s="97">
        <f ca="1">SUMIF(Марка!A:A,G4,Марка!B:B)</f>
        <v>1</v>
      </c>
      <c r="AR4" s="97">
        <f ca="1">SUMIF(Страна!A:A,M4,Страна!B:B)</f>
        <v>1</v>
      </c>
      <c r="AS4" s="64" t="e">
        <f ca="1">IF(VLOOKUP(V4,Товары!A:B,2,FALSE)=A4,"Есть в 1С","ERR")</f>
        <v>#N/A</v>
      </c>
      <c r="AT4" s="65" t="e">
        <f ca="1">IF(VLOOKUP(A4,Товары!B:B,1,FALSE)=A4,"Есть в 1С","ERR")</f>
        <v>#N/A</v>
      </c>
      <c r="AU4" s="96" t="e">
        <f ca="1">VLOOKUP(V4,Товары!A:B,2,FALSE)</f>
        <v>#N/A</v>
      </c>
      <c r="AV4" s="94" t="e">
        <f ca="1">VLOOKUP(V4,Товары!A:B,1,FALSE)</f>
        <v>#N/A</v>
      </c>
    </row>
    <row r="5" spans="1:48" ht="14.45" customHeight="1" x14ac:dyDescent="0.25">
      <c r="A5" s="110" t="str">
        <f t="shared" ca="1" si="2"/>
        <v>02-693-05</v>
      </c>
      <c r="B5" s="107" t="str">
        <f ca="1">_xlfn.LET(_xlpm.CAPS,1,_xlpm.Style,TRIM(_xlfn.XLOOKUP($A5,Строчный!$A:$A,Строчный!B:B,"ERR",0)),IF(_xlpm.CAPS=0,_xlpm.Style,UPPER(_xlpm.Style)))</f>
        <v>6845802 HATTERAS OUTDOOR WR</v>
      </c>
      <c r="C5" s="81" t="str">
        <f ca="1">TRIM(PROPER(_xlfn.XLOOKUP($A5,Строчный!$A:$A,Строчный!C:C,"ERR",0)))</f>
        <v>Кепки</v>
      </c>
      <c r="D5" s="81" t="str">
        <f ca="1">_xlfn.LET(_xlpm.DATA,TRIM(_xlfn.XLOOKUP($A5,Строчный!$A:$A,Строчный!D:D,"ERR",0)),UPPER(MID(_xlpm.DATA,1,1))&amp;LOWER(MID(_xlpm.DATA,2,LEN(_xlpm.DATA)-1)))</f>
        <v>Кепка восьмиклинка</v>
      </c>
      <c r="E5" s="81" t="str">
        <f ca="1">PROPER(TRIM(_xlfn.XLOOKUP($A5,Строчный!$A:$A,Строчный!E:E,"ERR",0)))</f>
        <v>Stetson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STETSON</v>
      </c>
      <c r="H5" s="81" t="str">
        <f ca="1">LOWER(TRIM(_xlfn.XLOOKUP($A5,Строчный!$A:$A,Строчный!H:H,"ERR",0)))</f>
        <v>15</v>
      </c>
      <c r="I5" s="81" t="str">
        <f ca="1">LOWER(TRIM(_xlfn.XLOOKUP($A5,Строчный!$A:$A,Строчный!I:I,"ERR",0)))</f>
        <v>темно-серый</v>
      </c>
      <c r="J5" s="81" t="str">
        <f ca="1">SUBSTITUTE(LOWER(TRIM(_xlfn.XLOOKUP($A5,Строчный!$A:$A,Строчный!J:J,"ERR",0))),"подклад","Подклад")</f>
        <v>54% полиамид - 46% полиэстер / Подклад: 100% полиэстер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7" t="str">
        <f ca="1">PROPER(TRIM(_xlfn.XLOOKUP($A5,Строчный!$A:$A,Строчный!P:P,"ERR",0)))</f>
        <v/>
      </c>
      <c r="P5" s="90">
        <f ca="1">VALUE(_xlfn.XLOOKUP($A5,Строчный!$A:$A,Строчный!N:N,"ERR",0))</f>
        <v>2682.1680000000001</v>
      </c>
      <c r="Q5" s="89" t="str">
        <f ca="1">_xlfn.XLOOKUP($G5,Фабрика!A:A,Фабрика!B:B,"ERR",0)</f>
        <v>Friedrich W. Schneider GmbH &amp; Co. KG; Oskar-Schindler-Str. 11, D 50769 Köln, Germany</v>
      </c>
      <c r="R5" s="80" t="str">
        <f ca="1">_xlfn.XLOOKUP(RIGHT(Z5,2),Размеры!D:D,Размеры!A:A,"ERR",0)</f>
        <v>57</v>
      </c>
      <c r="S5" s="80">
        <f ca="1">VALUE(_xlfn.XLOOKUP($Z5,Строчный!$R:$R,Строчный!T:T,"ERR",0))</f>
        <v>2</v>
      </c>
      <c r="T5" s="14" t="s">
        <v>265</v>
      </c>
      <c r="U5" s="101" t="str">
        <f t="shared" ca="1" si="3"/>
        <v>Кепка STETSON арт. 6845802 HATTERAS OUTDOOR WR (темно-серый)</v>
      </c>
      <c r="V5" s="100" t="str">
        <f t="shared" ca="1" si="4"/>
        <v>Кепка STETSON арт. 6845802 HATTERAS OUTDOOR WR (темно-серый) {15}</v>
      </c>
      <c r="W5" s="18" t="str">
        <f t="shared" ca="1" si="0"/>
        <v>серый</v>
      </c>
      <c r="X5" s="18" t="str">
        <f t="shared" ca="1" si="1"/>
        <v>серый</v>
      </c>
      <c r="Y5" s="117" t="str">
        <f ca="1">_xlfn.LET(_xlpm.FormColors,_xlfn.XLOOKUP(A5,Строчный!A:A,Строчный!Q:Q,"",0),IF(_xlpm.FormColors=0,IFERROR(MID(I5,FIND("-",I5)+1,LEN(I5)),IFERROR(MID(I5,1,FIND("/",I5)-2),I5)),_xlpm.FormColors))</f>
        <v>серый</v>
      </c>
      <c r="Z5" s="73" t="str">
        <f ca="1"/>
        <v>02-693-05-57</v>
      </c>
      <c r="AA5" s="75" t="str">
        <f ca="1">VLOOKUP(C5,Группа!A:B,2,FALSE)</f>
        <v>Кепка</v>
      </c>
      <c r="AB5" s="97" t="str">
        <f ca="1">IFERROR(VLOOKUP(R5,Размеры!A:C,3,FALSE),"")</f>
        <v>57 M</v>
      </c>
      <c r="AC5" s="97" t="str">
        <f ca="1">VLOOKUP(I5,ЦветПолный!A:B,2,FALSE)</f>
        <v>05</v>
      </c>
      <c r="AD5" s="97" t="str">
        <f ca="1">IFERROR(VLOOKUP(R5,Размеры!A:D,4,FALSE),"")</f>
        <v>57</v>
      </c>
      <c r="AE5" s="97">
        <f ca="1">IF(LEFT(IFERROR(VLOOKUP(LOOKUP(2,1/SEARCH(B5,Товары!A:A),Товары!A:A),Товары!A:B,2,0),""),6)=MID(Z5,1,6),1,0)</f>
        <v>0</v>
      </c>
      <c r="AG5" s="97">
        <f ca="1">SUMIF(Группа!A:A,C5,Группа!C:C)</f>
        <v>1</v>
      </c>
      <c r="AH5" s="97">
        <f ca="1">SUMIF(Группа!B:B,AA5,Группа!C:C)</f>
        <v>1</v>
      </c>
      <c r="AI5" s="97">
        <f ca="1">SUMIF(Формы!A:A,D5,Формы!B:B)</f>
        <v>1</v>
      </c>
      <c r="AJ5" s="97">
        <f ca="1">SUMIF(Материал!A:A,K5,Материал!B:B)</f>
        <v>0</v>
      </c>
      <c r="AK5" s="97">
        <f ca="1">SUMIF(Размеры!A:A,R5,Размеры!E:E)</f>
        <v>1</v>
      </c>
      <c r="AL5" s="97">
        <f ca="1">SUMIF(Сезон!A:A,F5,Сезон!B:B)</f>
        <v>1</v>
      </c>
      <c r="AM5" s="97">
        <f ca="1">SUMIF(Состав!A:A,J5,Состав!B:B)</f>
        <v>0</v>
      </c>
      <c r="AN5" s="97">
        <f ca="1">VLOOKUP(I5,ЦветПолный!A:C,3,0)</f>
        <v>1</v>
      </c>
      <c r="AO5" s="97">
        <f ca="1">SUMIF(Цвет!A:A,Y5,Цвет!B:B)</f>
        <v>1</v>
      </c>
      <c r="AP5" s="97">
        <f ca="1">_xlfn.XLOOKUP(L5,Пол!A:A,Пол!B:B,0,0)</f>
        <v>1</v>
      </c>
      <c r="AQ5" s="97">
        <f ca="1">SUMIF(Марка!A:A,G5,Марка!B:B)</f>
        <v>1</v>
      </c>
      <c r="AR5" s="97">
        <f ca="1">SUMIF(Страна!A:A,M5,Страна!B:B)</f>
        <v>1</v>
      </c>
      <c r="AS5" s="64" t="e">
        <f ca="1">IF(VLOOKUP(V5,Товары!A:B,2,FALSE)=A5,"Есть в 1С","ERR")</f>
        <v>#N/A</v>
      </c>
      <c r="AT5" s="65" t="e">
        <f ca="1">IF(VLOOKUP(A5,Товары!B:B,1,FALSE)=A5,"Есть в 1С","ERR")</f>
        <v>#N/A</v>
      </c>
      <c r="AU5" s="96" t="e">
        <f ca="1">VLOOKUP(V5,Товары!A:B,2,FALSE)</f>
        <v>#N/A</v>
      </c>
      <c r="AV5" s="94" t="e">
        <f ca="1">VLOOKUP(V5,Товары!A:B,1,FALSE)</f>
        <v>#N/A</v>
      </c>
    </row>
    <row r="6" spans="1:48" x14ac:dyDescent="0.25">
      <c r="A6" s="110" t="str">
        <f t="shared" ca="1" si="2"/>
        <v>02-688-18</v>
      </c>
      <c r="B6" s="107" t="str">
        <f ca="1">_xlfn.LET(_xlpm.CAPS,1,_xlpm.Style,TRIM(_xlfn.XLOOKUP($A6,Строчный!$A:$A,Строчный!B:B,"ERR",0)),IF(_xlpm.CAPS=0,_xlpm.Style,UPPER(_xlpm.Style)))</f>
        <v>6613303 TEXAS LINEN</v>
      </c>
      <c r="C6" s="81" t="str">
        <f ca="1">TRIM(PROPER(_xlfn.XLOOKUP($A6,Строчный!$A:$A,Строчный!C:C,"ERR",0)))</f>
        <v>Кепки</v>
      </c>
      <c r="D6" s="81" t="str">
        <f ca="1">_xlfn.LET(_xlpm.DATA,TRIM(_xlfn.XLOOKUP($A6,Строчный!$A:$A,Строчный!D:D,"ERR",0)),UPPER(MID(_xlpm.DATA,1,1))&amp;LOWER(MID(_xlpm.DATA,2,LEN(_xlpm.DATA)-1)))</f>
        <v>Кепка уточка</v>
      </c>
      <c r="E6" s="81" t="str">
        <f ca="1">PROPER(TRIM(_xlfn.XLOOKUP($A6,Строчный!$A:$A,Строчный!E:E,"ERR",0)))</f>
        <v>Stetson</v>
      </c>
      <c r="F6" s="81" t="str">
        <f ca="1">LOWER(TRIM(_xlfn.XLOOKUP($A6,Строчный!$A:$A,Строчный!F:F,"ERR",0)))</f>
        <v>летний</v>
      </c>
      <c r="G6" s="81" t="str">
        <f ca="1">UPPER(TRIM(_xlfn.XLOOKUP($A6,Строчный!$A:$A,Строчный!G:G,"ERR",0)))</f>
        <v>STETSON</v>
      </c>
      <c r="H6" s="81" t="str">
        <f ca="1">LOWER(TRIM(_xlfn.XLOOKUP($A6,Строчный!$A:$A,Строчный!H:H,"ERR",0)))</f>
        <v>229</v>
      </c>
      <c r="I6" s="81" t="str">
        <f ca="1">LOWER(TRIM(_xlfn.XLOOKUP($A6,Строчный!$A:$A,Строчный!I:I,"ERR",0)))</f>
        <v>красный / синий</v>
      </c>
      <c r="J6" s="81" t="str">
        <f ca="1">SUBSTITUTE(LOWER(TRIM(_xlfn.XLOOKUP($A6,Строчный!$A:$A,Строчный!J:J,"ERR",0))),"подклад","Подклад")</f>
        <v>100% лен / Подклад: 68% хлопок - 32% полиэстер</v>
      </c>
      <c r="K6" s="81" t="str">
        <f ca="1">LOWER(TRIM(_xlfn.XLOOKUP($A6,Строчный!$A:$A,Строчный!K:K,"ERR",0)))</f>
        <v>льняные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Болгария</v>
      </c>
      <c r="N6" s="81" t="str">
        <f ca="1">UPPER(TRIM(_xlfn.XLOOKUP($A6,Строчный!$A:$A,Строчный!O:O,"ERR",0)))</f>
        <v/>
      </c>
      <c r="O6" s="107" t="str">
        <f ca="1">PROPER(TRIM(_xlfn.XLOOKUP($A6,Строчный!$A:$A,Строчный!P:P,"ERR",0)))</f>
        <v/>
      </c>
      <c r="P6" s="90">
        <f ca="1">VALUE(_xlfn.XLOOKUP($A6,Строчный!$A:$A,Строчный!N:N,"ERR",0))</f>
        <v>2128.328</v>
      </c>
      <c r="Q6" s="89" t="str">
        <f ca="1">_xlfn.XLOOKUP($G6,Фабрика!A:A,Фабрика!B:B,"ERR",0)</f>
        <v>Friedrich W. Schneider GmbH &amp; Co. KG; Oskar-Schindler-Str. 11, D 50769 Köln, Germany</v>
      </c>
      <c r="R6" s="80" t="str">
        <f ca="1">_xlfn.XLOOKUP(RIGHT(Z6,2),Размеры!D:D,Размеры!A:A,"ERR",0)</f>
        <v>63</v>
      </c>
      <c r="S6" s="80">
        <f ca="1">VALUE(_xlfn.XLOOKUP($Z6,Строчный!$R:$R,Строчный!T:T,"ERR",0))</f>
        <v>2</v>
      </c>
      <c r="T6" s="14" t="s">
        <v>265</v>
      </c>
      <c r="U6" s="101" t="str">
        <f t="shared" ca="1" si="3"/>
        <v>Кепка STETSON арт. 6613303 TEXAS LINEN (красный / синий)</v>
      </c>
      <c r="V6" s="100" t="str">
        <f t="shared" ca="1" si="4"/>
        <v>Кепка STETSON арт. 6613303 TEXAS LINEN (красный / синий) {229}</v>
      </c>
      <c r="W6" s="18" t="str">
        <f t="shared" ca="1" si="0"/>
        <v>красный</v>
      </c>
      <c r="X6" s="18" t="str">
        <f t="shared" ca="1" si="1"/>
        <v>синий</v>
      </c>
      <c r="Y6" s="117" t="str">
        <f ca="1">_xlfn.LET(_xlpm.FormColors,_xlfn.XLOOKUP(A6,Строчный!A:A,Строчный!Q:Q,"",0),IF(_xlpm.FormColors=0,IFERROR(MID(I6,FIND("-",I6)+1,LEN(I6)),IFERROR(MID(I6,1,FIND("/",I6)-2),I6)),_xlpm.FormColors))</f>
        <v>красный</v>
      </c>
      <c r="Z6" s="73" t="str">
        <f ca="1"/>
        <v>02-688-18-63</v>
      </c>
      <c r="AA6" s="75" t="str">
        <f ca="1">VLOOKUP(C6,Группа!A:B,2,FALSE)</f>
        <v>Кепка</v>
      </c>
      <c r="AB6" s="97" t="str">
        <f ca="1">IFERROR(VLOOKUP(R6,Размеры!A:C,3,FALSE),"")</f>
        <v>63 XXL</v>
      </c>
      <c r="AC6" s="97" t="str">
        <f ca="1">VLOOKUP(I6,ЦветПолный!A:B,2,FALSE)</f>
        <v>18</v>
      </c>
      <c r="AD6" s="97" t="str">
        <f ca="1">IFERROR(VLOOKUP(R6,Размеры!A:D,4,FALSE),"")</f>
        <v>63</v>
      </c>
      <c r="AE6" s="97">
        <f ca="1">IF(LEFT(IFERROR(VLOOKUP(LOOKUP(2,1/SEARCH(B6,Товары!A:A),Товары!A:A),Товары!A:B,2,0),""),6)=MID(Z6,1,6),1,0)</f>
        <v>0</v>
      </c>
      <c r="AG6" s="97">
        <f ca="1">SUMIF(Группа!A:A,C6,Группа!C:C)</f>
        <v>1</v>
      </c>
      <c r="AH6" s="97">
        <f ca="1">SUMIF(Группа!B:B,AA6,Группа!C:C)</f>
        <v>1</v>
      </c>
      <c r="AI6" s="97">
        <f ca="1">SUMIF(Формы!A:A,D6,Формы!B:B)</f>
        <v>1</v>
      </c>
      <c r="AJ6" s="97">
        <f ca="1">SUMIF(Материал!A:A,K6,Материал!B:B)</f>
        <v>1</v>
      </c>
      <c r="AK6" s="97">
        <f ca="1">SUMIF(Размеры!A:A,R6,Размеры!E:E)</f>
        <v>1</v>
      </c>
      <c r="AL6" s="97">
        <f ca="1">SUMIF(Сезон!A:A,F6,Сезон!B:B)</f>
        <v>1</v>
      </c>
      <c r="AM6" s="97">
        <f ca="1">SUMIF(Состав!A:A,J6,Состав!B:B)</f>
        <v>0</v>
      </c>
      <c r="AN6" s="97">
        <f ca="1">VLOOKUP(I6,ЦветПолный!A:C,3,0)</f>
        <v>1</v>
      </c>
      <c r="AO6" s="97">
        <f ca="1">SUMIF(Цвет!A:A,Y6,Цвет!B:B)</f>
        <v>1</v>
      </c>
      <c r="AP6" s="97">
        <f ca="1">_xlfn.XLOOKUP(L6,Пол!A:A,Пол!B:B,0,0)</f>
        <v>1</v>
      </c>
      <c r="AQ6" s="97">
        <f ca="1">SUMIF(Марка!A:A,G6,Марка!B:B)</f>
        <v>1</v>
      </c>
      <c r="AR6" s="97">
        <f ca="1">SUMIF(Страна!A:A,M6,Страна!B:B)</f>
        <v>1</v>
      </c>
      <c r="AS6" s="64" t="e">
        <f ca="1">IF(VLOOKUP(V6,Товары!A:B,2,FALSE)=A6,"Есть в 1С","ERR")</f>
        <v>#N/A</v>
      </c>
      <c r="AT6" s="65" t="e">
        <f ca="1">IF(VLOOKUP(A6,Товары!B:B,1,FALSE)=A6,"Есть в 1С","ERR")</f>
        <v>#N/A</v>
      </c>
      <c r="AU6" s="96" t="e">
        <f ca="1">VLOOKUP(V6,Товары!A:B,2,FALSE)</f>
        <v>#N/A</v>
      </c>
      <c r="AV6" s="94" t="e">
        <f ca="1">VLOOKUP(V6,Товары!A:B,1,FALSE)</f>
        <v>#N/A</v>
      </c>
    </row>
    <row r="7" spans="1:48" ht="14.45" customHeight="1" x14ac:dyDescent="0.25">
      <c r="A7" s="110" t="str">
        <f t="shared" ca="1" si="2"/>
        <v>02-688-18</v>
      </c>
      <c r="B7" s="107" t="str">
        <f ca="1">_xlfn.LET(_xlpm.CAPS,1,_xlpm.Style,TRIM(_xlfn.XLOOKUP($A7,Строчный!$A:$A,Строчный!B:B,"ERR",0)),IF(_xlpm.CAPS=0,_xlpm.Style,UPPER(_xlpm.Style)))</f>
        <v>6613303 TEXAS LINEN</v>
      </c>
      <c r="C7" s="81" t="str">
        <f ca="1">TRIM(PROPER(_xlfn.XLOOKUP($A7,Строчный!$A:$A,Строчный!C:C,"ERR",0)))</f>
        <v>Кепки</v>
      </c>
      <c r="D7" s="81" t="str">
        <f ca="1">_xlfn.LET(_xlpm.DATA,TRIM(_xlfn.XLOOKUP($A7,Строчный!$A:$A,Строчный!D:D,"ERR",0)),UPPER(MID(_xlpm.DATA,1,1))&amp;LOWER(MID(_xlpm.DATA,2,LEN(_xlpm.DATA)-1)))</f>
        <v>Кепка уточка</v>
      </c>
      <c r="E7" s="81" t="str">
        <f ca="1">PROPER(TRIM(_xlfn.XLOOKUP($A7,Строчный!$A:$A,Строчный!E:E,"ERR",0)))</f>
        <v>Stetson</v>
      </c>
      <c r="F7" s="81" t="str">
        <f ca="1">LOWER(TRIM(_xlfn.XLOOKUP($A7,Строчный!$A:$A,Строчный!F:F,"ERR",0)))</f>
        <v>летний</v>
      </c>
      <c r="G7" s="81" t="str">
        <f ca="1">UPPER(TRIM(_xlfn.XLOOKUP($A7,Строчный!$A:$A,Строчный!G:G,"ERR",0)))</f>
        <v>STETSON</v>
      </c>
      <c r="H7" s="81" t="str">
        <f ca="1">LOWER(TRIM(_xlfn.XLOOKUP($A7,Строчный!$A:$A,Строчный!H:H,"ERR",0)))</f>
        <v>229</v>
      </c>
      <c r="I7" s="81" t="str">
        <f ca="1">LOWER(TRIM(_xlfn.XLOOKUP($A7,Строчный!$A:$A,Строчный!I:I,"ERR",0)))</f>
        <v>красный / синий</v>
      </c>
      <c r="J7" s="81" t="str">
        <f ca="1">SUBSTITUTE(LOWER(TRIM(_xlfn.XLOOKUP($A7,Строчный!$A:$A,Строчный!J:J,"ERR",0))),"подклад","Подклад")</f>
        <v>100% лен / Подклад: 68% хлопок - 32% полиэстер</v>
      </c>
      <c r="K7" s="81" t="str">
        <f ca="1">LOWER(TRIM(_xlfn.XLOOKUP($A7,Строчный!$A:$A,Строчный!K:K,"ERR",0)))</f>
        <v>льняные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Болгария</v>
      </c>
      <c r="N7" s="81" t="str">
        <f ca="1">UPPER(TRIM(_xlfn.XLOOKUP($A7,Строчный!$A:$A,Строчный!O:O,"ERR",0)))</f>
        <v/>
      </c>
      <c r="O7" s="107" t="str">
        <f ca="1">PROPER(TRIM(_xlfn.XLOOKUP($A7,Строчный!$A:$A,Строчный!P:P,"ERR",0)))</f>
        <v/>
      </c>
      <c r="P7" s="90">
        <f ca="1">VALUE(_xlfn.XLOOKUP($A7,Строчный!$A:$A,Строчный!N:N,"ERR",0))</f>
        <v>2128.328</v>
      </c>
      <c r="Q7" s="89" t="str">
        <f ca="1">_xlfn.XLOOKUP($G7,Фабрика!A:A,Фабрика!B:B,"ERR",0)</f>
        <v>Friedrich W. Schneider GmbH &amp; Co. KG; Oskar-Schindler-Str. 11, D 50769 Köln, Germany</v>
      </c>
      <c r="R7" s="80" t="str">
        <f ca="1">_xlfn.XLOOKUP(RIGHT(Z7,2),Размеры!D:D,Размеры!A:A,"ERR",0)</f>
        <v>61</v>
      </c>
      <c r="S7" s="80">
        <f ca="1">VALUE(_xlfn.XLOOKUP($Z7,Строчный!$R:$R,Строчный!T:T,"ERR",0))</f>
        <v>5</v>
      </c>
      <c r="T7" s="14" t="s">
        <v>265</v>
      </c>
      <c r="U7" s="101" t="str">
        <f t="shared" ca="1" si="3"/>
        <v>Кепка STETSON арт. 6613303 TEXAS LINEN (красный / синий)</v>
      </c>
      <c r="V7" s="100" t="str">
        <f t="shared" ca="1" si="4"/>
        <v>Кепка STETSON арт. 6613303 TEXAS LINEN (красный / синий) {229}</v>
      </c>
      <c r="W7" s="18" t="str">
        <f t="shared" ca="1" si="0"/>
        <v>красный</v>
      </c>
      <c r="X7" s="18" t="str">
        <f t="shared" ca="1" si="1"/>
        <v>синий</v>
      </c>
      <c r="Y7" s="117" t="str">
        <f ca="1">_xlfn.LET(_xlpm.FormColors,_xlfn.XLOOKUP(A7,Строчный!A:A,Строчный!Q:Q,"",0),IF(_xlpm.FormColors=0,IFERROR(MID(I7,FIND("-",I7)+1,LEN(I7)),IFERROR(MID(I7,1,FIND("/",I7)-2),I7)),_xlpm.FormColors))</f>
        <v>красный</v>
      </c>
      <c r="Z7" s="73" t="str">
        <f ca="1"/>
        <v>02-688-18-61</v>
      </c>
      <c r="AA7" s="75" t="str">
        <f ca="1">VLOOKUP(C7,Группа!A:B,2,FALSE)</f>
        <v>Кепка</v>
      </c>
      <c r="AB7" s="97" t="str">
        <f ca="1">IFERROR(VLOOKUP(R7,Размеры!A:C,3,FALSE),"")</f>
        <v>61 XL</v>
      </c>
      <c r="AC7" s="97" t="str">
        <f ca="1">VLOOKUP(I7,ЦветПолный!A:B,2,FALSE)</f>
        <v>18</v>
      </c>
      <c r="AD7" s="97" t="str">
        <f ca="1">IFERROR(VLOOKUP(R7,Размеры!A:D,4,FALSE),"")</f>
        <v>61</v>
      </c>
      <c r="AE7" s="97">
        <f ca="1">IF(LEFT(IFERROR(VLOOKUP(LOOKUP(2,1/SEARCH(B7,Товары!A:A),Товары!A:A),Товары!A:B,2,0),""),6)=MID(Z7,1,6),1,0)</f>
        <v>0</v>
      </c>
      <c r="AG7" s="97">
        <f ca="1">SUMIF(Группа!A:A,C7,Группа!C:C)</f>
        <v>1</v>
      </c>
      <c r="AH7" s="97">
        <f ca="1">SUMIF(Группа!B:B,AA7,Группа!C:C)</f>
        <v>1</v>
      </c>
      <c r="AI7" s="97">
        <f ca="1">SUMIF(Формы!A:A,D7,Формы!B:B)</f>
        <v>1</v>
      </c>
      <c r="AJ7" s="97">
        <f ca="1">SUMIF(Материал!A:A,K7,Материал!B:B)</f>
        <v>1</v>
      </c>
      <c r="AK7" s="97">
        <f ca="1">SUMIF(Размеры!A:A,R7,Размеры!E:E)</f>
        <v>1</v>
      </c>
      <c r="AL7" s="97">
        <f ca="1">SUMIF(Сезон!A:A,F7,Сезон!B:B)</f>
        <v>1</v>
      </c>
      <c r="AM7" s="97">
        <f ca="1">SUMIF(Состав!A:A,J7,Состав!B:B)</f>
        <v>0</v>
      </c>
      <c r="AN7" s="97">
        <f ca="1">VLOOKUP(I7,ЦветПолный!A:C,3,0)</f>
        <v>1</v>
      </c>
      <c r="AO7" s="97">
        <f ca="1">SUMIF(Цвет!A:A,Y7,Цвет!B:B)</f>
        <v>1</v>
      </c>
      <c r="AP7" s="97">
        <f ca="1">_xlfn.XLOOKUP(L7,Пол!A:A,Пол!B:B,0,0)</f>
        <v>1</v>
      </c>
      <c r="AQ7" s="97">
        <f ca="1">SUMIF(Марка!A:A,G7,Марка!B:B)</f>
        <v>1</v>
      </c>
      <c r="AR7" s="97">
        <f ca="1">SUMIF(Страна!A:A,M7,Страна!B:B)</f>
        <v>1</v>
      </c>
      <c r="AS7" s="64" t="e">
        <f ca="1">IF(VLOOKUP(V7,Товары!A:B,2,FALSE)=A7,"Есть в 1С","ERR")</f>
        <v>#N/A</v>
      </c>
      <c r="AT7" s="65" t="e">
        <f ca="1">IF(VLOOKUP(A7,Товары!B:B,1,FALSE)=A7,"Есть в 1С","ERR")</f>
        <v>#N/A</v>
      </c>
      <c r="AU7" s="96" t="e">
        <f ca="1">VLOOKUP(V7,Товары!A:B,2,FALSE)</f>
        <v>#N/A</v>
      </c>
      <c r="AV7" s="94" t="e">
        <f ca="1">VLOOKUP(V7,Товары!A:B,1,FALSE)</f>
        <v>#N/A</v>
      </c>
    </row>
    <row r="8" spans="1:48" ht="14.45" customHeight="1" x14ac:dyDescent="0.25">
      <c r="A8" s="110" t="str">
        <f t="shared" ca="1" si="2"/>
        <v>02-688-18</v>
      </c>
      <c r="B8" s="107" t="str">
        <f ca="1">_xlfn.LET(_xlpm.CAPS,1,_xlpm.Style,TRIM(_xlfn.XLOOKUP($A8,Строчный!$A:$A,Строчный!B:B,"ERR",0)),IF(_xlpm.CAPS=0,_xlpm.Style,UPPER(_xlpm.Style)))</f>
        <v>6613303 TEXAS LINEN</v>
      </c>
      <c r="C8" s="81" t="str">
        <f ca="1">TRIM(PROPER(_xlfn.XLOOKUP($A8,Строчный!$A:$A,Строчный!C:C,"ERR",0)))</f>
        <v>Кепки</v>
      </c>
      <c r="D8" s="81" t="str">
        <f ca="1">_xlfn.LET(_xlpm.DATA,TRIM(_xlfn.XLOOKUP($A8,Строчный!$A:$A,Строчный!D:D,"ERR",0)),UPPER(MID(_xlpm.DATA,1,1))&amp;LOWER(MID(_xlpm.DATA,2,LEN(_xlpm.DATA)-1)))</f>
        <v>Кепка уточка</v>
      </c>
      <c r="E8" s="81" t="str">
        <f ca="1">PROPER(TRIM(_xlfn.XLOOKUP($A8,Строчный!$A:$A,Строчный!E:E,"ERR",0)))</f>
        <v>Stetson</v>
      </c>
      <c r="F8" s="81" t="str">
        <f ca="1">LOWER(TRIM(_xlfn.XLOOKUP($A8,Строчный!$A:$A,Строчный!F:F,"ERR",0)))</f>
        <v>летний</v>
      </c>
      <c r="G8" s="81" t="str">
        <f ca="1">UPPER(TRIM(_xlfn.XLOOKUP($A8,Строчный!$A:$A,Строчный!G:G,"ERR",0)))</f>
        <v>STETSON</v>
      </c>
      <c r="H8" s="81" t="str">
        <f ca="1">LOWER(TRIM(_xlfn.XLOOKUP($A8,Строчный!$A:$A,Строчный!H:H,"ERR",0)))</f>
        <v>229</v>
      </c>
      <c r="I8" s="81" t="str">
        <f ca="1">LOWER(TRIM(_xlfn.XLOOKUP($A8,Строчный!$A:$A,Строчный!I:I,"ERR",0)))</f>
        <v>красный / синий</v>
      </c>
      <c r="J8" s="81" t="str">
        <f ca="1">SUBSTITUTE(LOWER(TRIM(_xlfn.XLOOKUP($A8,Строчный!$A:$A,Строчный!J:J,"ERR",0))),"подклад","Подклад")</f>
        <v>100% лен / Подклад: 68% хлопок - 32% полиэстер</v>
      </c>
      <c r="K8" s="81" t="str">
        <f ca="1">LOWER(TRIM(_xlfn.XLOOKUP($A8,Строчный!$A:$A,Строчный!K:K,"ERR",0)))</f>
        <v>льняные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Болгария</v>
      </c>
      <c r="N8" s="81" t="str">
        <f ca="1">UPPER(TRIM(_xlfn.XLOOKUP($A8,Строчный!$A:$A,Строчный!O:O,"ERR",0)))</f>
        <v/>
      </c>
      <c r="O8" s="107" t="str">
        <f ca="1">PROPER(TRIM(_xlfn.XLOOKUP($A8,Строчный!$A:$A,Строчный!P:P,"ERR",0)))</f>
        <v/>
      </c>
      <c r="P8" s="90">
        <f ca="1">VALUE(_xlfn.XLOOKUP($A8,Строчный!$A:$A,Строчный!N:N,"ERR",0))</f>
        <v>2128.328</v>
      </c>
      <c r="Q8" s="89" t="str">
        <f ca="1">_xlfn.XLOOKUP($G8,Фабрика!A:A,Фабрика!B:B,"ERR",0)</f>
        <v>Friedrich W. Schneider GmbH &amp; Co. KG; Oskar-Schindler-Str. 11, D 50769 Köln, Germany</v>
      </c>
      <c r="R8" s="80" t="str">
        <f ca="1">_xlfn.XLOOKUP(RIGHT(Z8,2),Размеры!D:D,Размеры!A:A,"ERR",0)</f>
        <v>59</v>
      </c>
      <c r="S8" s="80">
        <f ca="1">VALUE(_xlfn.XLOOKUP($Z8,Строчный!$R:$R,Строчный!T:T,"ERR",0))</f>
        <v>8</v>
      </c>
      <c r="T8" s="14" t="s">
        <v>265</v>
      </c>
      <c r="U8" s="101" t="str">
        <f t="shared" ca="1" si="3"/>
        <v>Кепка STETSON арт. 6613303 TEXAS LINEN (красный / синий)</v>
      </c>
      <c r="V8" s="100" t="str">
        <f t="shared" ca="1" si="4"/>
        <v>Кепка STETSON арт. 6613303 TEXAS LINEN (красный / синий) {229}</v>
      </c>
      <c r="W8" s="18" t="str">
        <f t="shared" ca="1" si="0"/>
        <v>красный</v>
      </c>
      <c r="X8" s="18" t="str">
        <f t="shared" ca="1" si="1"/>
        <v>синий</v>
      </c>
      <c r="Y8" s="117" t="str">
        <f ca="1">_xlfn.LET(_xlpm.FormColors,_xlfn.XLOOKUP(A8,Строчный!A:A,Строчный!Q:Q,"",0),IF(_xlpm.FormColors=0,IFERROR(MID(I8,FIND("-",I8)+1,LEN(I8)),IFERROR(MID(I8,1,FIND("/",I8)-2),I8)),_xlpm.FormColors))</f>
        <v>красный</v>
      </c>
      <c r="Z8" s="73" t="str">
        <f ca="1"/>
        <v>02-688-18-59</v>
      </c>
      <c r="AA8" s="75" t="str">
        <f ca="1">VLOOKUP(C8,Группа!A:B,2,FALSE)</f>
        <v>Кепка</v>
      </c>
      <c r="AB8" s="97" t="str">
        <f ca="1">IFERROR(VLOOKUP(R8,Размеры!A:C,3,FALSE),"")</f>
        <v>59 L</v>
      </c>
      <c r="AC8" s="97" t="str">
        <f ca="1">VLOOKUP(I8,ЦветПолный!A:B,2,FALSE)</f>
        <v>18</v>
      </c>
      <c r="AD8" s="97" t="str">
        <f ca="1">IFERROR(VLOOKUP(R8,Размеры!A:D,4,FALSE),"")</f>
        <v>59</v>
      </c>
      <c r="AE8" s="97">
        <f ca="1">IF(LEFT(IFERROR(VLOOKUP(LOOKUP(2,1/SEARCH(B8,Товары!A:A),Товары!A:A),Товары!A:B,2,0),""),6)=MID(Z8,1,6),1,0)</f>
        <v>0</v>
      </c>
      <c r="AG8" s="97">
        <f ca="1">SUMIF(Группа!A:A,C8,Группа!C:C)</f>
        <v>1</v>
      </c>
      <c r="AH8" s="97">
        <f ca="1">SUMIF(Группа!B:B,AA8,Группа!C:C)</f>
        <v>1</v>
      </c>
      <c r="AI8" s="97">
        <f ca="1">SUMIF(Формы!A:A,D8,Формы!B:B)</f>
        <v>1</v>
      </c>
      <c r="AJ8" s="97">
        <f ca="1">SUMIF(Материал!A:A,K8,Материал!B:B)</f>
        <v>1</v>
      </c>
      <c r="AK8" s="97">
        <f ca="1">SUMIF(Размеры!A:A,R8,Размеры!E:E)</f>
        <v>1</v>
      </c>
      <c r="AL8" s="97">
        <f ca="1">SUMIF(Сезон!A:A,F8,Сезон!B:B)</f>
        <v>1</v>
      </c>
      <c r="AM8" s="97">
        <f ca="1">SUMIF(Состав!A:A,J8,Состав!B:B)</f>
        <v>0</v>
      </c>
      <c r="AN8" s="97">
        <f ca="1">VLOOKUP(I8,ЦветПолный!A:C,3,0)</f>
        <v>1</v>
      </c>
      <c r="AO8" s="97">
        <f ca="1">SUMIF(Цвет!A:A,Y8,Цвет!B:B)</f>
        <v>1</v>
      </c>
      <c r="AP8" s="97">
        <f ca="1">_xlfn.XLOOKUP(L8,Пол!A:A,Пол!B:B,0,0)</f>
        <v>1</v>
      </c>
      <c r="AQ8" s="97">
        <f ca="1">SUMIF(Марка!A:A,G8,Марка!B:B)</f>
        <v>1</v>
      </c>
      <c r="AR8" s="97">
        <f ca="1">SUMIF(Страна!A:A,M8,Страна!B:B)</f>
        <v>1</v>
      </c>
      <c r="AS8" s="64" t="e">
        <f ca="1">IF(VLOOKUP(V8,Товары!A:B,2,FALSE)=A8,"Есть в 1С","ERR")</f>
        <v>#N/A</v>
      </c>
      <c r="AT8" s="65" t="e">
        <f ca="1">IF(VLOOKUP(A8,Товары!B:B,1,FALSE)=A8,"Есть в 1С","ERR")</f>
        <v>#N/A</v>
      </c>
      <c r="AU8" s="96" t="e">
        <f ca="1">VLOOKUP(V8,Товары!A:B,2,FALSE)</f>
        <v>#N/A</v>
      </c>
      <c r="AV8" s="94" t="e">
        <f ca="1">VLOOKUP(V8,Товары!A:B,1,FALSE)</f>
        <v>#N/A</v>
      </c>
    </row>
    <row r="9" spans="1:48" ht="14.45" customHeight="1" x14ac:dyDescent="0.25">
      <c r="A9" s="110" t="str">
        <f t="shared" ca="1" si="2"/>
        <v>02-688-18</v>
      </c>
      <c r="B9" s="107" t="str">
        <f ca="1">_xlfn.LET(_xlpm.CAPS,1,_xlpm.Style,TRIM(_xlfn.XLOOKUP($A9,Строчный!$A:$A,Строчный!B:B,"ERR",0)),IF(_xlpm.CAPS=0,_xlpm.Style,UPPER(_xlpm.Style)))</f>
        <v>6613303 TEXAS LINEN</v>
      </c>
      <c r="C9" s="81" t="str">
        <f ca="1">TRIM(PROPER(_xlfn.XLOOKUP($A9,Строчный!$A:$A,Строчный!C:C,"ERR",0)))</f>
        <v>Кепки</v>
      </c>
      <c r="D9" s="81" t="str">
        <f ca="1">_xlfn.LET(_xlpm.DATA,TRIM(_xlfn.XLOOKUP($A9,Строчный!$A:$A,Строчный!D:D,"ERR",0)),UPPER(MID(_xlpm.DATA,1,1))&amp;LOWER(MID(_xlpm.DATA,2,LEN(_xlpm.DATA)-1)))</f>
        <v>Кепка уточка</v>
      </c>
      <c r="E9" s="81" t="str">
        <f ca="1">PROPER(TRIM(_xlfn.XLOOKUP($A9,Строчный!$A:$A,Строчный!E:E,"ERR",0)))</f>
        <v>Stetson</v>
      </c>
      <c r="F9" s="81" t="str">
        <f ca="1">LOWER(TRIM(_xlfn.XLOOKUP($A9,Строчный!$A:$A,Строчный!F:F,"ERR",0)))</f>
        <v>летний</v>
      </c>
      <c r="G9" s="81" t="str">
        <f ca="1">UPPER(TRIM(_xlfn.XLOOKUP($A9,Строчный!$A:$A,Строчный!G:G,"ERR",0)))</f>
        <v>STETSON</v>
      </c>
      <c r="H9" s="81" t="str">
        <f ca="1">LOWER(TRIM(_xlfn.XLOOKUP($A9,Строчный!$A:$A,Строчный!H:H,"ERR",0)))</f>
        <v>229</v>
      </c>
      <c r="I9" s="81" t="str">
        <f ca="1">LOWER(TRIM(_xlfn.XLOOKUP($A9,Строчный!$A:$A,Строчный!I:I,"ERR",0)))</f>
        <v>красный / синий</v>
      </c>
      <c r="J9" s="81" t="str">
        <f ca="1">SUBSTITUTE(LOWER(TRIM(_xlfn.XLOOKUP($A9,Строчный!$A:$A,Строчный!J:J,"ERR",0))),"подклад","Подклад")</f>
        <v>100% лен / Подклад: 68% хлопок - 32% полиэстер</v>
      </c>
      <c r="K9" s="81" t="str">
        <f ca="1">LOWER(TRIM(_xlfn.XLOOKUP($A9,Строчный!$A:$A,Строчный!K:K,"ERR",0)))</f>
        <v>льняные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Болгария</v>
      </c>
      <c r="N9" s="81" t="str">
        <f ca="1">UPPER(TRIM(_xlfn.XLOOKUP($A9,Строчный!$A:$A,Строчный!O:O,"ERR",0)))</f>
        <v/>
      </c>
      <c r="O9" s="107" t="str">
        <f ca="1">PROPER(TRIM(_xlfn.XLOOKUP($A9,Строчный!$A:$A,Строчный!P:P,"ERR",0)))</f>
        <v/>
      </c>
      <c r="P9" s="90">
        <f ca="1">VALUE(_xlfn.XLOOKUP($A9,Строчный!$A:$A,Строчный!N:N,"ERR",0))</f>
        <v>2128.328</v>
      </c>
      <c r="Q9" s="89" t="str">
        <f ca="1">_xlfn.XLOOKUP($G9,Фабрика!A:A,Фабрика!B:B,"ERR",0)</f>
        <v>Friedrich W. Schneider GmbH &amp; Co. KG; Oskar-Schindler-Str. 11, D 50769 Köln, Germany</v>
      </c>
      <c r="R9" s="80" t="str">
        <f ca="1">_xlfn.XLOOKUP(RIGHT(Z9,2),Размеры!D:D,Размеры!A:A,"ERR",0)</f>
        <v>57</v>
      </c>
      <c r="S9" s="80">
        <f ca="1">VALUE(_xlfn.XLOOKUP($Z9,Строчный!$R:$R,Строчный!T:T,"ERR",0))</f>
        <v>5</v>
      </c>
      <c r="T9" s="14" t="s">
        <v>265</v>
      </c>
      <c r="U9" s="101" t="str">
        <f t="shared" ca="1" si="3"/>
        <v>Кепка STETSON арт. 6613303 TEXAS LINEN (красный / синий)</v>
      </c>
      <c r="V9" s="100" t="str">
        <f t="shared" ca="1" si="4"/>
        <v>Кепка STETSON арт. 6613303 TEXAS LINEN (красный / синий) {229}</v>
      </c>
      <c r="W9" s="18" t="str">
        <f t="shared" ca="1" si="0"/>
        <v>красный</v>
      </c>
      <c r="X9" s="18" t="str">
        <f t="shared" ca="1" si="1"/>
        <v>синий</v>
      </c>
      <c r="Y9" s="117" t="str">
        <f ca="1">_xlfn.LET(_xlpm.FormColors,_xlfn.XLOOKUP(A9,Строчный!A:A,Строчный!Q:Q,"",0),IF(_xlpm.FormColors=0,IFERROR(MID(I9,FIND("-",I9)+1,LEN(I9)),IFERROR(MID(I9,1,FIND("/",I9)-2),I9)),_xlpm.FormColors))</f>
        <v>красный</v>
      </c>
      <c r="Z9" s="73" t="str">
        <f ca="1"/>
        <v>02-688-18-57</v>
      </c>
      <c r="AA9" s="75" t="str">
        <f ca="1">VLOOKUP(C9,Группа!A:B,2,FALSE)</f>
        <v>Кепка</v>
      </c>
      <c r="AB9" s="97" t="str">
        <f ca="1">IFERROR(VLOOKUP(R9,Размеры!A:C,3,FALSE),"")</f>
        <v>57 M</v>
      </c>
      <c r="AC9" s="97" t="str">
        <f ca="1">VLOOKUP(I9,ЦветПолный!A:B,2,FALSE)</f>
        <v>18</v>
      </c>
      <c r="AD9" s="97" t="str">
        <f ca="1">IFERROR(VLOOKUP(R9,Размеры!A:D,4,FALSE),"")</f>
        <v>57</v>
      </c>
      <c r="AE9" s="97">
        <f ca="1">IF(LEFT(IFERROR(VLOOKUP(LOOKUP(2,1/SEARCH(B9,Товары!A:A),Товары!A:A),Товары!A:B,2,0),""),6)=MID(Z9,1,6),1,0)</f>
        <v>0</v>
      </c>
      <c r="AG9" s="97">
        <f ca="1">SUMIF(Группа!A:A,C9,Группа!C:C)</f>
        <v>1</v>
      </c>
      <c r="AH9" s="97">
        <f ca="1">SUMIF(Группа!B:B,AA9,Группа!C:C)</f>
        <v>1</v>
      </c>
      <c r="AI9" s="97">
        <f ca="1">SUMIF(Формы!A:A,D9,Формы!B:B)</f>
        <v>1</v>
      </c>
      <c r="AJ9" s="97">
        <f ca="1">SUMIF(Материал!A:A,K9,Материал!B:B)</f>
        <v>1</v>
      </c>
      <c r="AK9" s="97">
        <f ca="1">SUMIF(Размеры!A:A,R9,Размеры!E:E)</f>
        <v>1</v>
      </c>
      <c r="AL9" s="97">
        <f ca="1">SUMIF(Сезон!A:A,F9,Сезон!B:B)</f>
        <v>1</v>
      </c>
      <c r="AM9" s="97">
        <f ca="1">SUMIF(Состав!A:A,J9,Состав!B:B)</f>
        <v>0</v>
      </c>
      <c r="AN9" s="97">
        <f ca="1">VLOOKUP(I9,ЦветПолный!A:C,3,0)</f>
        <v>1</v>
      </c>
      <c r="AO9" s="97">
        <f ca="1">SUMIF(Цвет!A:A,Y9,Цвет!B:B)</f>
        <v>1</v>
      </c>
      <c r="AP9" s="97">
        <f ca="1">_xlfn.XLOOKUP(L9,Пол!A:A,Пол!B:B,0,0)</f>
        <v>1</v>
      </c>
      <c r="AQ9" s="97">
        <f ca="1">SUMIF(Марка!A:A,G9,Марка!B:B)</f>
        <v>1</v>
      </c>
      <c r="AR9" s="97">
        <f ca="1">SUMIF(Страна!A:A,M9,Страна!B:B)</f>
        <v>1</v>
      </c>
      <c r="AS9" s="64" t="e">
        <f ca="1">IF(VLOOKUP(V9,Товары!A:B,2,FALSE)=A9,"Есть в 1С","ERR")</f>
        <v>#N/A</v>
      </c>
      <c r="AT9" s="65" t="e">
        <f ca="1">IF(VLOOKUP(A9,Товары!B:B,1,FALSE)=A9,"Есть в 1С","ERR")</f>
        <v>#N/A</v>
      </c>
      <c r="AU9" s="96" t="e">
        <f ca="1">VLOOKUP(V9,Товары!A:B,2,FALSE)</f>
        <v>#N/A</v>
      </c>
      <c r="AV9" s="94" t="e">
        <f ca="1">VLOOKUP(V9,Товары!A:B,1,FALSE)</f>
        <v>#N/A</v>
      </c>
    </row>
    <row r="10" spans="1:48" x14ac:dyDescent="0.25">
      <c r="A10" s="110" t="str">
        <f t="shared" ca="1" si="2"/>
        <v>02-688-18</v>
      </c>
      <c r="B10" s="107" t="str">
        <f ca="1">_xlfn.LET(_xlpm.CAPS,1,_xlpm.Style,TRIM(_xlfn.XLOOKUP($A10,Строчный!$A:$A,Строчный!B:B,"ERR",0)),IF(_xlpm.CAPS=0,_xlpm.Style,UPPER(_xlpm.Style)))</f>
        <v>6613303 TEXAS LINEN</v>
      </c>
      <c r="C10" s="81" t="str">
        <f ca="1">TRIM(PROPER(_xlfn.XLOOKUP($A10,Строчный!$A:$A,Строчный!C:C,"ERR",0)))</f>
        <v>Кепки</v>
      </c>
      <c r="D10" s="81" t="str">
        <f ca="1">_xlfn.LET(_xlpm.DATA,TRIM(_xlfn.XLOOKUP($A10,Строчный!$A:$A,Строчный!D:D,"ERR",0)),UPPER(MID(_xlpm.DATA,1,1))&amp;LOWER(MID(_xlpm.DATA,2,LEN(_xlpm.DATA)-1)))</f>
        <v>Кепка уточка</v>
      </c>
      <c r="E10" s="81" t="str">
        <f ca="1">PROPER(TRIM(_xlfn.XLOOKUP($A10,Строчный!$A:$A,Строчный!E:E,"ERR",0)))</f>
        <v>Stetson</v>
      </c>
      <c r="F10" s="81" t="str">
        <f ca="1">LOWER(TRIM(_xlfn.XLOOKUP($A10,Строчный!$A:$A,Строчный!F:F,"ERR",0)))</f>
        <v>летний</v>
      </c>
      <c r="G10" s="81" t="str">
        <f ca="1">UPPER(TRIM(_xlfn.XLOOKUP($A10,Строчный!$A:$A,Строчный!G:G,"ERR",0)))</f>
        <v>STETSON</v>
      </c>
      <c r="H10" s="81" t="str">
        <f ca="1">LOWER(TRIM(_xlfn.XLOOKUP($A10,Строчный!$A:$A,Строчный!H:H,"ERR",0)))</f>
        <v>229</v>
      </c>
      <c r="I10" s="81" t="str">
        <f ca="1">LOWER(TRIM(_xlfn.XLOOKUP($A10,Строчный!$A:$A,Строчный!I:I,"ERR",0)))</f>
        <v>красный / синий</v>
      </c>
      <c r="J10" s="81" t="str">
        <f ca="1">SUBSTITUTE(LOWER(TRIM(_xlfn.XLOOKUP($A10,Строчный!$A:$A,Строчный!J:J,"ERR",0))),"подклад","Подклад")</f>
        <v>100% лен / Подклад: 68% хлопок - 32% полиэстер</v>
      </c>
      <c r="K10" s="81" t="str">
        <f ca="1">LOWER(TRIM(_xlfn.XLOOKUP($A10,Строчный!$A:$A,Строчный!K:K,"ERR",0)))</f>
        <v>льняные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Болгария</v>
      </c>
      <c r="N10" s="81" t="str">
        <f ca="1">UPPER(TRIM(_xlfn.XLOOKUP($A10,Строчный!$A:$A,Строчный!O:O,"ERR",0)))</f>
        <v/>
      </c>
      <c r="O10" s="107" t="str">
        <f ca="1">PROPER(TRIM(_xlfn.XLOOKUP($A10,Строчный!$A:$A,Строчный!P:P,"ERR",0)))</f>
        <v/>
      </c>
      <c r="P10" s="90">
        <f ca="1">VALUE(_xlfn.XLOOKUP($A10,Строчный!$A:$A,Строчный!N:N,"ERR",0))</f>
        <v>2128.328</v>
      </c>
      <c r="Q10" s="89" t="str">
        <f ca="1">_xlfn.XLOOKUP($G10,Фабрика!A:A,Фабрика!B:B,"ERR",0)</f>
        <v>Friedrich W. Schneider GmbH &amp; Co. KG; Oskar-Schindler-Str. 11, D 50769 Köln, Germany</v>
      </c>
      <c r="R10" s="80" t="str">
        <f ca="1">_xlfn.XLOOKUP(RIGHT(Z10,2),Размеры!D:D,Размеры!A:A,"ERR",0)</f>
        <v>55</v>
      </c>
      <c r="S10" s="80">
        <f ca="1">VALUE(_xlfn.XLOOKUP($Z10,Строчный!$R:$R,Строчный!T:T,"ERR",0))</f>
        <v>1</v>
      </c>
      <c r="T10" s="14" t="s">
        <v>265</v>
      </c>
      <c r="U10" s="101" t="str">
        <f t="shared" ca="1" si="3"/>
        <v>Кепка STETSON арт. 6613303 TEXAS LINEN (красный / синий)</v>
      </c>
      <c r="V10" s="100" t="str">
        <f t="shared" ca="1" si="4"/>
        <v>Кепка STETSON арт. 6613303 TEXAS LINEN (красный / синий) {229}</v>
      </c>
      <c r="W10" s="18" t="str">
        <f t="shared" ca="1" si="0"/>
        <v>красный</v>
      </c>
      <c r="X10" s="18" t="str">
        <f t="shared" ca="1" si="1"/>
        <v>синий</v>
      </c>
      <c r="Y10" s="117" t="str">
        <f ca="1">_xlfn.LET(_xlpm.FormColors,_xlfn.XLOOKUP(A10,Строчный!A:A,Строчный!Q:Q,"",0),IF(_xlpm.FormColors=0,IFERROR(MID(I10,FIND("-",I10)+1,LEN(I10)),IFERROR(MID(I10,1,FIND("/",I10)-2),I10)),_xlpm.FormColors))</f>
        <v>красный</v>
      </c>
      <c r="Z10" s="73" t="str">
        <f ca="1"/>
        <v>02-688-18-55</v>
      </c>
      <c r="AA10" s="75" t="str">
        <f ca="1">VLOOKUP(C10,Группа!A:B,2,FALSE)</f>
        <v>Кепка</v>
      </c>
      <c r="AB10" s="97" t="str">
        <f ca="1">IFERROR(VLOOKUP(R10,Размеры!A:C,3,FALSE),"")</f>
        <v>55 S</v>
      </c>
      <c r="AC10" s="97" t="str">
        <f ca="1">VLOOKUP(I10,ЦветПолный!A:B,2,FALSE)</f>
        <v>18</v>
      </c>
      <c r="AD10" s="97" t="str">
        <f ca="1">IFERROR(VLOOKUP(R10,Размеры!A:D,4,FALSE),"")</f>
        <v>55</v>
      </c>
      <c r="AE10" s="97">
        <f ca="1">IF(LEFT(IFERROR(VLOOKUP(LOOKUP(2,1/SEARCH(B10,Товары!A:A),Товары!A:A),Товары!A:B,2,0),""),6)=MID(Z10,1,6),1,0)</f>
        <v>0</v>
      </c>
      <c r="AG10" s="97">
        <f ca="1">SUMIF(Группа!A:A,C10,Группа!C:C)</f>
        <v>1</v>
      </c>
      <c r="AH10" s="97">
        <f ca="1">SUMIF(Группа!B:B,AA10,Группа!C:C)</f>
        <v>1</v>
      </c>
      <c r="AI10" s="97">
        <f ca="1">SUMIF(Формы!A:A,D10,Формы!B:B)</f>
        <v>1</v>
      </c>
      <c r="AJ10" s="97">
        <f ca="1">SUMIF(Материал!A:A,K10,Материал!B:B)</f>
        <v>1</v>
      </c>
      <c r="AK10" s="97">
        <f ca="1">SUMIF(Размеры!A:A,R10,Размеры!E:E)</f>
        <v>1</v>
      </c>
      <c r="AL10" s="97">
        <f ca="1">SUMIF(Сезон!A:A,F10,Сезон!B:B)</f>
        <v>1</v>
      </c>
      <c r="AM10" s="97">
        <f ca="1">SUMIF(Состав!A:A,J10,Состав!B:B)</f>
        <v>0</v>
      </c>
      <c r="AN10" s="97">
        <f ca="1">VLOOKUP(I10,ЦветПолный!A:C,3,0)</f>
        <v>1</v>
      </c>
      <c r="AO10" s="97">
        <f ca="1">SUMIF(Цвет!A:A,Y10,Цвет!B:B)</f>
        <v>1</v>
      </c>
      <c r="AP10" s="97">
        <f ca="1">_xlfn.XLOOKUP(L10,Пол!A:A,Пол!B:B,0,0)</f>
        <v>1</v>
      </c>
      <c r="AQ10" s="97">
        <f ca="1">SUMIF(Марка!A:A,G10,Марка!B:B)</f>
        <v>1</v>
      </c>
      <c r="AR10" s="97">
        <f ca="1">SUMIF(Страна!A:A,M10,Страна!B:B)</f>
        <v>1</v>
      </c>
      <c r="AS10" s="64" t="e">
        <f ca="1">IF(VLOOKUP(V10,Товары!A:B,2,FALSE)=A10,"Есть в 1С","ERR")</f>
        <v>#N/A</v>
      </c>
      <c r="AT10" s="65" t="e">
        <f ca="1">IF(VLOOKUP(A10,Товары!B:B,1,FALSE)=A10,"Есть в 1С","ERR")</f>
        <v>#N/A</v>
      </c>
      <c r="AU10" s="96" t="e">
        <f ca="1">VLOOKUP(V10,Товары!A:B,2,FALSE)</f>
        <v>#N/A</v>
      </c>
      <c r="AV10" s="94" t="e">
        <f ca="1">VLOOKUP(V10,Товары!A:B,1,FALSE)</f>
        <v>#N/A</v>
      </c>
    </row>
    <row r="11" spans="1:48" x14ac:dyDescent="0.25">
      <c r="A11" s="110" t="str">
        <f t="shared" ca="1" si="2"/>
        <v>02-688-02</v>
      </c>
      <c r="B11" s="107" t="str">
        <f ca="1">_xlfn.LET(_xlpm.CAPS,1,_xlpm.Style,TRIM(_xlfn.XLOOKUP($A11,Строчный!$A:$A,Строчный!B:B,"ERR",0)),IF(_xlpm.CAPS=0,_xlpm.Style,UPPER(_xlpm.Style)))</f>
        <v>6613303 TEXAS LINEN</v>
      </c>
      <c r="C11" s="81" t="str">
        <f ca="1">TRIM(PROPER(_xlfn.XLOOKUP($A11,Строчный!$A:$A,Строчный!C:C,"ERR",0)))</f>
        <v>Кепки</v>
      </c>
      <c r="D11" s="81" t="str">
        <f ca="1">_xlfn.LET(_xlpm.DATA,TRIM(_xlfn.XLOOKUP($A11,Строчный!$A:$A,Строчный!D:D,"ERR",0)),UPPER(MID(_xlpm.DATA,1,1))&amp;LOWER(MID(_xlpm.DATA,2,LEN(_xlpm.DATA)-1)))</f>
        <v>Кепка уточка</v>
      </c>
      <c r="E11" s="81" t="str">
        <f ca="1">PROPER(TRIM(_xlfn.XLOOKUP($A11,Строчный!$A:$A,Строчный!E:E,"ERR",0)))</f>
        <v>Stetson</v>
      </c>
      <c r="F11" s="81" t="str">
        <f ca="1">LOWER(TRIM(_xlfn.XLOOKUP($A11,Строчный!$A:$A,Строчный!F:F,"ERR",0)))</f>
        <v>летний</v>
      </c>
      <c r="G11" s="81" t="str">
        <f ca="1">UPPER(TRIM(_xlfn.XLOOKUP($A11,Строчный!$A:$A,Строчный!G:G,"ERR",0)))</f>
        <v>STETSON</v>
      </c>
      <c r="H11" s="81" t="str">
        <f ca="1">LOWER(TRIM(_xlfn.XLOOKUP($A11,Строчный!$A:$A,Строчный!H:H,"ERR",0)))</f>
        <v>268</v>
      </c>
      <c r="I11" s="81" t="str">
        <f ca="1">LOWER(TRIM(_xlfn.XLOOKUP($A11,Строчный!$A:$A,Строчный!I:I,"ERR",0)))</f>
        <v>бежевый</v>
      </c>
      <c r="J11" s="81" t="str">
        <f ca="1">SUBSTITUTE(LOWER(TRIM(_xlfn.XLOOKUP($A11,Строчный!$A:$A,Строчный!J:J,"ERR",0))),"подклад","Подклад")</f>
        <v>100% лен / Подклад: 68% хлопок - 32% полиэстер</v>
      </c>
      <c r="K11" s="81" t="str">
        <f ca="1">LOWER(TRIM(_xlfn.XLOOKUP($A11,Строчный!$A:$A,Строчный!K:K,"ERR",0)))</f>
        <v>льняные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Болгария</v>
      </c>
      <c r="N11" s="81" t="str">
        <f ca="1">UPPER(TRIM(_xlfn.XLOOKUP($A11,Строчный!$A:$A,Строчный!O:O,"ERR",0)))</f>
        <v/>
      </c>
      <c r="O11" s="107" t="str">
        <f ca="1">PROPER(TRIM(_xlfn.XLOOKUP($A11,Строчный!$A:$A,Строчный!P:P,"ERR",0)))</f>
        <v/>
      </c>
      <c r="P11" s="90">
        <f ca="1">VALUE(_xlfn.XLOOKUP($A11,Строчный!$A:$A,Строчный!N:N,"ERR",0))</f>
        <v>2128.328</v>
      </c>
      <c r="Q11" s="89" t="str">
        <f ca="1">_xlfn.XLOOKUP($G11,Фабрика!A:A,Фабрика!B:B,"ERR",0)</f>
        <v>Friedrich W. Schneider GmbH &amp; Co. KG; Oskar-Schindler-Str. 11, D 50769 Köln, Germany</v>
      </c>
      <c r="R11" s="80" t="str">
        <f ca="1">_xlfn.XLOOKUP(RIGHT(Z11,2),Размеры!D:D,Размеры!A:A,"ERR",0)</f>
        <v>63</v>
      </c>
      <c r="S11" s="80">
        <f ca="1">VALUE(_xlfn.XLOOKUP($Z11,Строчный!$R:$R,Строчный!T:T,"ERR",0))</f>
        <v>2</v>
      </c>
      <c r="T11" s="14" t="s">
        <v>265</v>
      </c>
      <c r="U11" s="101" t="str">
        <f t="shared" ca="1" si="3"/>
        <v>Кепка STETSON арт. 6613303 TEXAS LINEN (бежевый)</v>
      </c>
      <c r="V11" s="100" t="str">
        <f t="shared" ca="1" si="4"/>
        <v>Кепка STETSON арт. 6613303 TEXAS LINEN (бежевый) {268}</v>
      </c>
      <c r="W11" s="18" t="str">
        <f t="shared" ca="1" si="0"/>
        <v>бежевый</v>
      </c>
      <c r="X11" s="18" t="str">
        <f t="shared" ca="1" si="1"/>
        <v>бежевый</v>
      </c>
      <c r="Y11" s="117" t="str">
        <f ca="1">_xlfn.LET(_xlpm.FormColors,_xlfn.XLOOKUP(A11,Строчный!A:A,Строчный!Q:Q,"",0),IF(_xlpm.FormColors=0,IFERROR(MID(I11,FIND("-",I11)+1,LEN(I11)),IFERROR(MID(I11,1,FIND("/",I11)-2),I11)),_xlpm.FormColors))</f>
        <v>бежевый</v>
      </c>
      <c r="Z11" s="73" t="str">
        <f ca="1"/>
        <v>02-688-02-63</v>
      </c>
      <c r="AA11" s="75" t="str">
        <f ca="1">VLOOKUP(C11,Группа!A:B,2,FALSE)</f>
        <v>Кепка</v>
      </c>
      <c r="AB11" s="97" t="str">
        <f ca="1">IFERROR(VLOOKUP(R11,Размеры!A:C,3,FALSE),"")</f>
        <v>63 XXL</v>
      </c>
      <c r="AC11" s="97" t="str">
        <f ca="1">VLOOKUP(I11,ЦветПолный!A:B,2,FALSE)</f>
        <v>02</v>
      </c>
      <c r="AD11" s="97" t="str">
        <f ca="1">IFERROR(VLOOKUP(R11,Размеры!A:D,4,FALSE),"")</f>
        <v>63</v>
      </c>
      <c r="AE11" s="97">
        <f ca="1">IF(LEFT(IFERROR(VLOOKUP(LOOKUP(2,1/SEARCH(B11,Товары!A:A),Товары!A:A),Товары!A:B,2,0),""),6)=MID(Z11,1,6),1,0)</f>
        <v>0</v>
      </c>
      <c r="AG11" s="97">
        <f ca="1">SUMIF(Группа!A:A,C11,Группа!C:C)</f>
        <v>1</v>
      </c>
      <c r="AH11" s="97">
        <f ca="1">SUMIF(Группа!B:B,AA11,Группа!C:C)</f>
        <v>1</v>
      </c>
      <c r="AI11" s="97">
        <f ca="1">SUMIF(Формы!A:A,D11,Формы!B:B)</f>
        <v>1</v>
      </c>
      <c r="AJ11" s="97">
        <f ca="1">SUMIF(Материал!A:A,K11,Материал!B:B)</f>
        <v>1</v>
      </c>
      <c r="AK11" s="97">
        <f ca="1">SUMIF(Размеры!A:A,R11,Размеры!E:E)</f>
        <v>1</v>
      </c>
      <c r="AL11" s="97">
        <f ca="1">SUMIF(Сезон!A:A,F11,Сезон!B:B)</f>
        <v>1</v>
      </c>
      <c r="AM11" s="97">
        <f ca="1">SUMIF(Состав!A:A,J11,Состав!B:B)</f>
        <v>0</v>
      </c>
      <c r="AN11" s="97">
        <f ca="1">VLOOKUP(I11,ЦветПолный!A:C,3,0)</f>
        <v>1</v>
      </c>
      <c r="AO11" s="97">
        <f ca="1">SUMIF(Цвет!A:A,Y11,Цвет!B:B)</f>
        <v>1</v>
      </c>
      <c r="AP11" s="97">
        <f ca="1">_xlfn.XLOOKUP(L11,Пол!A:A,Пол!B:B,0,0)</f>
        <v>1</v>
      </c>
      <c r="AQ11" s="97">
        <f ca="1">SUMIF(Марка!A:A,G11,Марка!B:B)</f>
        <v>1</v>
      </c>
      <c r="AR11" s="97">
        <f ca="1">SUMIF(Страна!A:A,M11,Страна!B:B)</f>
        <v>1</v>
      </c>
      <c r="AS11" s="64" t="e">
        <f ca="1">IF(VLOOKUP(V11,Товары!A:B,2,FALSE)=A11,"Есть в 1С","ERR")</f>
        <v>#N/A</v>
      </c>
      <c r="AT11" s="65" t="e">
        <f ca="1">IF(VLOOKUP(A11,Товары!B:B,1,FALSE)=A11,"Есть в 1С","ERR")</f>
        <v>#N/A</v>
      </c>
      <c r="AU11" s="96" t="e">
        <f ca="1">VLOOKUP(V11,Товары!A:B,2,FALSE)</f>
        <v>#N/A</v>
      </c>
      <c r="AV11" s="94" t="e">
        <f ca="1">VLOOKUP(V11,Товары!A:B,1,FALSE)</f>
        <v>#N/A</v>
      </c>
    </row>
    <row r="12" spans="1:48" x14ac:dyDescent="0.25">
      <c r="A12" s="110" t="str">
        <f t="shared" ca="1" si="2"/>
        <v>02-688-02</v>
      </c>
      <c r="B12" s="107" t="str">
        <f ca="1">_xlfn.LET(_xlpm.CAPS,1,_xlpm.Style,TRIM(_xlfn.XLOOKUP($A12,Строчный!$A:$A,Строчный!B:B,"ERR",0)),IF(_xlpm.CAPS=0,_xlpm.Style,UPPER(_xlpm.Style)))</f>
        <v>6613303 TEXAS LINEN</v>
      </c>
      <c r="C12" s="81" t="str">
        <f ca="1">TRIM(PROPER(_xlfn.XLOOKUP($A12,Строчный!$A:$A,Строчный!C:C,"ERR",0)))</f>
        <v>Кепки</v>
      </c>
      <c r="D12" s="81" t="str">
        <f ca="1">_xlfn.LET(_xlpm.DATA,TRIM(_xlfn.XLOOKUP($A12,Строчный!$A:$A,Строчный!D:D,"ERR",0)),UPPER(MID(_xlpm.DATA,1,1))&amp;LOWER(MID(_xlpm.DATA,2,LEN(_xlpm.DATA)-1)))</f>
        <v>Кепка уточка</v>
      </c>
      <c r="E12" s="81" t="str">
        <f ca="1">PROPER(TRIM(_xlfn.XLOOKUP($A12,Строчный!$A:$A,Строчный!E:E,"ERR",0)))</f>
        <v>Stetson</v>
      </c>
      <c r="F12" s="81" t="str">
        <f ca="1">LOWER(TRIM(_xlfn.XLOOKUP($A12,Строчный!$A:$A,Строчный!F:F,"ERR",0)))</f>
        <v>летний</v>
      </c>
      <c r="G12" s="81" t="str">
        <f ca="1">UPPER(TRIM(_xlfn.XLOOKUP($A12,Строчный!$A:$A,Строчный!G:G,"ERR",0)))</f>
        <v>STETSON</v>
      </c>
      <c r="H12" s="81" t="str">
        <f ca="1">LOWER(TRIM(_xlfn.XLOOKUP($A12,Строчный!$A:$A,Строчный!H:H,"ERR",0)))</f>
        <v>268</v>
      </c>
      <c r="I12" s="81" t="str">
        <f ca="1">LOWER(TRIM(_xlfn.XLOOKUP($A12,Строчный!$A:$A,Строчный!I:I,"ERR",0)))</f>
        <v>бежевый</v>
      </c>
      <c r="J12" s="81" t="str">
        <f ca="1">SUBSTITUTE(LOWER(TRIM(_xlfn.XLOOKUP($A12,Строчный!$A:$A,Строчный!J:J,"ERR",0))),"подклад","Подклад")</f>
        <v>100% лен / Подклад: 68% хлопок - 32% полиэстер</v>
      </c>
      <c r="K12" s="81" t="str">
        <f ca="1">LOWER(TRIM(_xlfn.XLOOKUP($A12,Строчный!$A:$A,Строчный!K:K,"ERR",0)))</f>
        <v>льняные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Болгария</v>
      </c>
      <c r="N12" s="81" t="str">
        <f ca="1">UPPER(TRIM(_xlfn.XLOOKUP($A12,Строчный!$A:$A,Строчный!O:O,"ERR",0)))</f>
        <v/>
      </c>
      <c r="O12" s="107" t="str">
        <f ca="1">PROPER(TRIM(_xlfn.XLOOKUP($A12,Строчный!$A:$A,Строчный!P:P,"ERR",0)))</f>
        <v/>
      </c>
      <c r="P12" s="90">
        <f ca="1">VALUE(_xlfn.XLOOKUP($A12,Строчный!$A:$A,Строчный!N:N,"ERR",0))</f>
        <v>2128.328</v>
      </c>
      <c r="Q12" s="89" t="str">
        <f ca="1">_xlfn.XLOOKUP($G12,Фабрика!A:A,Фабрика!B:B,"ERR",0)</f>
        <v>Friedrich W. Schneider GmbH &amp; Co. KG; Oskar-Schindler-Str. 11, D 50769 Köln, Germany</v>
      </c>
      <c r="R12" s="80" t="str">
        <f ca="1">_xlfn.XLOOKUP(RIGHT(Z12,2),Размеры!D:D,Размеры!A:A,"ERR",0)</f>
        <v>61</v>
      </c>
      <c r="S12" s="80">
        <f ca="1">VALUE(_xlfn.XLOOKUP($Z12,Строчный!$R:$R,Строчный!T:T,"ERR",0))</f>
        <v>5</v>
      </c>
      <c r="T12" s="14" t="s">
        <v>265</v>
      </c>
      <c r="U12" s="101" t="str">
        <f t="shared" ca="1" si="3"/>
        <v>Кепка STETSON арт. 6613303 TEXAS LINEN (бежевый)</v>
      </c>
      <c r="V12" s="100" t="str">
        <f t="shared" ca="1" si="4"/>
        <v>Кепка STETSON арт. 6613303 TEXAS LINEN (бежевый) {268}</v>
      </c>
      <c r="W12" s="18" t="str">
        <f t="shared" ca="1" si="0"/>
        <v>бежевый</v>
      </c>
      <c r="X12" s="18" t="str">
        <f t="shared" ca="1" si="1"/>
        <v>бежевый</v>
      </c>
      <c r="Y12" s="117" t="str">
        <f ca="1">_xlfn.LET(_xlpm.FormColors,_xlfn.XLOOKUP(A12,Строчный!A:A,Строчный!Q:Q,"",0),IF(_xlpm.FormColors=0,IFERROR(MID(I12,FIND("-",I12)+1,LEN(I12)),IFERROR(MID(I12,1,FIND("/",I12)-2),I12)),_xlpm.FormColors))</f>
        <v>бежевый</v>
      </c>
      <c r="Z12" s="73" t="str">
        <f ca="1"/>
        <v>02-688-02-61</v>
      </c>
      <c r="AA12" s="75" t="str">
        <f ca="1">VLOOKUP(C12,Группа!A:B,2,FALSE)</f>
        <v>Кепка</v>
      </c>
      <c r="AB12" s="97" t="str">
        <f ca="1">IFERROR(VLOOKUP(R12,Размеры!A:C,3,FALSE),"")</f>
        <v>61 XL</v>
      </c>
      <c r="AC12" s="97" t="str">
        <f ca="1">VLOOKUP(I12,ЦветПолный!A:B,2,FALSE)</f>
        <v>02</v>
      </c>
      <c r="AD12" s="97" t="str">
        <f ca="1">IFERROR(VLOOKUP(R12,Размеры!A:D,4,FALSE),"")</f>
        <v>61</v>
      </c>
      <c r="AE12" s="97">
        <f ca="1">IF(LEFT(IFERROR(VLOOKUP(LOOKUP(2,1/SEARCH(B12,Товары!A:A),Товары!A:A),Товары!A:B,2,0),""),6)=MID(Z12,1,6),1,0)</f>
        <v>0</v>
      </c>
      <c r="AG12" s="97">
        <f ca="1">SUMIF(Группа!A:A,C12,Группа!C:C)</f>
        <v>1</v>
      </c>
      <c r="AH12" s="97">
        <f ca="1">SUMIF(Группа!B:B,AA12,Группа!C:C)</f>
        <v>1</v>
      </c>
      <c r="AI12" s="97">
        <f ca="1">SUMIF(Формы!A:A,D12,Формы!B:B)</f>
        <v>1</v>
      </c>
      <c r="AJ12" s="97">
        <f ca="1">SUMIF(Материал!A:A,K12,Материал!B:B)</f>
        <v>1</v>
      </c>
      <c r="AK12" s="97">
        <f ca="1">SUMIF(Размеры!A:A,R12,Размеры!E:E)</f>
        <v>1</v>
      </c>
      <c r="AL12" s="97">
        <f ca="1">SUMIF(Сезон!A:A,F12,Сезон!B:B)</f>
        <v>1</v>
      </c>
      <c r="AM12" s="97">
        <f ca="1">SUMIF(Состав!A:A,J12,Состав!B:B)</f>
        <v>0</v>
      </c>
      <c r="AN12" s="97">
        <f ca="1">VLOOKUP(I12,ЦветПолный!A:C,3,0)</f>
        <v>1</v>
      </c>
      <c r="AO12" s="97">
        <f ca="1">SUMIF(Цвет!A:A,Y12,Цвет!B:B)</f>
        <v>1</v>
      </c>
      <c r="AP12" s="97">
        <f ca="1">_xlfn.XLOOKUP(L12,Пол!A:A,Пол!B:B,0,0)</f>
        <v>1</v>
      </c>
      <c r="AQ12" s="97">
        <f ca="1">SUMIF(Марка!A:A,G12,Марка!B:B)</f>
        <v>1</v>
      </c>
      <c r="AR12" s="97">
        <f ca="1">SUMIF(Страна!A:A,M12,Страна!B:B)</f>
        <v>1</v>
      </c>
      <c r="AS12" s="64" t="e">
        <f ca="1">IF(VLOOKUP(V12,Товары!A:B,2,FALSE)=A12,"Есть в 1С","ERR")</f>
        <v>#N/A</v>
      </c>
      <c r="AT12" s="65" t="e">
        <f ca="1">IF(VLOOKUP(A12,Товары!B:B,1,FALSE)=A12,"Есть в 1С","ERR")</f>
        <v>#N/A</v>
      </c>
      <c r="AU12" s="96" t="e">
        <f ca="1">VLOOKUP(V12,Товары!A:B,2,FALSE)</f>
        <v>#N/A</v>
      </c>
      <c r="AV12" s="94" t="e">
        <f ca="1">VLOOKUP(V12,Товары!A:B,1,FALSE)</f>
        <v>#N/A</v>
      </c>
    </row>
    <row r="13" spans="1:48" x14ac:dyDescent="0.25">
      <c r="A13" s="110" t="str">
        <f t="shared" ca="1" si="2"/>
        <v>02-688-02</v>
      </c>
      <c r="B13" s="107" t="str">
        <f ca="1">_xlfn.LET(_xlpm.CAPS,1,_xlpm.Style,TRIM(_xlfn.XLOOKUP($A13,Строчный!$A:$A,Строчный!B:B,"ERR",0)),IF(_xlpm.CAPS=0,_xlpm.Style,UPPER(_xlpm.Style)))</f>
        <v>6613303 TEXAS LINEN</v>
      </c>
      <c r="C13" s="81" t="str">
        <f ca="1">TRIM(PROPER(_xlfn.XLOOKUP($A13,Строчный!$A:$A,Строчный!C:C,"ERR",0)))</f>
        <v>Кепки</v>
      </c>
      <c r="D13" s="81" t="str">
        <f ca="1">_xlfn.LET(_xlpm.DATA,TRIM(_xlfn.XLOOKUP($A13,Строчный!$A:$A,Строчный!D:D,"ERR",0)),UPPER(MID(_xlpm.DATA,1,1))&amp;LOWER(MID(_xlpm.DATA,2,LEN(_xlpm.DATA)-1)))</f>
        <v>Кепка уточка</v>
      </c>
      <c r="E13" s="81" t="str">
        <f ca="1">PROPER(TRIM(_xlfn.XLOOKUP($A13,Строчный!$A:$A,Строчный!E:E,"ERR",0)))</f>
        <v>Stetson</v>
      </c>
      <c r="F13" s="81" t="str">
        <f ca="1">LOWER(TRIM(_xlfn.XLOOKUP($A13,Строчный!$A:$A,Строчный!F:F,"ERR",0)))</f>
        <v>летний</v>
      </c>
      <c r="G13" s="81" t="str">
        <f ca="1">UPPER(TRIM(_xlfn.XLOOKUP($A13,Строчный!$A:$A,Строчный!G:G,"ERR",0)))</f>
        <v>STETSON</v>
      </c>
      <c r="H13" s="81" t="str">
        <f ca="1">LOWER(TRIM(_xlfn.XLOOKUP($A13,Строчный!$A:$A,Строчный!H:H,"ERR",0)))</f>
        <v>268</v>
      </c>
      <c r="I13" s="81" t="str">
        <f ca="1">LOWER(TRIM(_xlfn.XLOOKUP($A13,Строчный!$A:$A,Строчный!I:I,"ERR",0)))</f>
        <v>бежевый</v>
      </c>
      <c r="J13" s="81" t="str">
        <f ca="1">SUBSTITUTE(LOWER(TRIM(_xlfn.XLOOKUP($A13,Строчный!$A:$A,Строчный!J:J,"ERR",0))),"подклад","Подклад")</f>
        <v>100% лен / Подклад: 68% хлопок - 32% полиэстер</v>
      </c>
      <c r="K13" s="81" t="str">
        <f ca="1">LOWER(TRIM(_xlfn.XLOOKUP($A13,Строчный!$A:$A,Строчный!K:K,"ERR",0)))</f>
        <v>льняные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Болгария</v>
      </c>
      <c r="N13" s="81" t="str">
        <f ca="1">UPPER(TRIM(_xlfn.XLOOKUP($A13,Строчный!$A:$A,Строчный!O:O,"ERR",0)))</f>
        <v/>
      </c>
      <c r="O13" s="107" t="str">
        <f ca="1">PROPER(TRIM(_xlfn.XLOOKUP($A13,Строчный!$A:$A,Строчный!P:P,"ERR",0)))</f>
        <v/>
      </c>
      <c r="P13" s="90">
        <f ca="1">VALUE(_xlfn.XLOOKUP($A13,Строчный!$A:$A,Строчный!N:N,"ERR",0))</f>
        <v>2128.328</v>
      </c>
      <c r="Q13" s="89" t="str">
        <f ca="1">_xlfn.XLOOKUP($G13,Фабрика!A:A,Фабрика!B:B,"ERR",0)</f>
        <v>Friedrich W. Schneider GmbH &amp; Co. KG; Oskar-Schindler-Str. 11, D 50769 Köln, Germany</v>
      </c>
      <c r="R13" s="80" t="str">
        <f ca="1">_xlfn.XLOOKUP(RIGHT(Z13,2),Размеры!D:D,Размеры!A:A,"ERR",0)</f>
        <v>59</v>
      </c>
      <c r="S13" s="80">
        <f ca="1">VALUE(_xlfn.XLOOKUP($Z13,Строчный!$R:$R,Строчный!T:T,"ERR",0))</f>
        <v>8</v>
      </c>
      <c r="T13" s="14" t="s">
        <v>265</v>
      </c>
      <c r="U13" s="101" t="str">
        <f t="shared" ca="1" si="3"/>
        <v>Кепка STETSON арт. 6613303 TEXAS LINEN (бежевый)</v>
      </c>
      <c r="V13" s="100" t="str">
        <f t="shared" ca="1" si="4"/>
        <v>Кепка STETSON арт. 6613303 TEXAS LINEN (бежевый) {268}</v>
      </c>
      <c r="W13" s="18" t="str">
        <f t="shared" ca="1" si="0"/>
        <v>бежевый</v>
      </c>
      <c r="X13" s="18" t="str">
        <f t="shared" ca="1" si="1"/>
        <v>бежевый</v>
      </c>
      <c r="Y13" s="117" t="str">
        <f ca="1">_xlfn.LET(_xlpm.FormColors,_xlfn.XLOOKUP(A13,Строчный!A:A,Строчный!Q:Q,"",0),IF(_xlpm.FormColors=0,IFERROR(MID(I13,FIND("-",I13)+1,LEN(I13)),IFERROR(MID(I13,1,FIND("/",I13)-2),I13)),_xlpm.FormColors))</f>
        <v>бежевый</v>
      </c>
      <c r="Z13" s="73" t="str">
        <f ca="1"/>
        <v>02-688-02-59</v>
      </c>
      <c r="AA13" s="75" t="str">
        <f ca="1">VLOOKUP(C13,Группа!A:B,2,FALSE)</f>
        <v>Кепка</v>
      </c>
      <c r="AB13" s="97" t="str">
        <f ca="1">IFERROR(VLOOKUP(R13,Размеры!A:C,3,FALSE),"")</f>
        <v>59 L</v>
      </c>
      <c r="AC13" s="97" t="str">
        <f ca="1">VLOOKUP(I13,ЦветПолный!A:B,2,FALSE)</f>
        <v>02</v>
      </c>
      <c r="AD13" s="97" t="str">
        <f ca="1">IFERROR(VLOOKUP(R13,Размеры!A:D,4,FALSE),"")</f>
        <v>59</v>
      </c>
      <c r="AE13" s="97">
        <f ca="1">IF(LEFT(IFERROR(VLOOKUP(LOOKUP(2,1/SEARCH(B13,Товары!A:A),Товары!A:A),Товары!A:B,2,0),""),6)=MID(Z13,1,6),1,0)</f>
        <v>0</v>
      </c>
      <c r="AG13" s="97">
        <f ca="1">SUMIF(Группа!A:A,C13,Группа!C:C)</f>
        <v>1</v>
      </c>
      <c r="AH13" s="97">
        <f ca="1">SUMIF(Группа!B:B,AA13,Группа!C:C)</f>
        <v>1</v>
      </c>
      <c r="AI13" s="97">
        <f ca="1">SUMIF(Формы!A:A,D13,Формы!B:B)</f>
        <v>1</v>
      </c>
      <c r="AJ13" s="97">
        <f ca="1">SUMIF(Материал!A:A,K13,Материал!B:B)</f>
        <v>1</v>
      </c>
      <c r="AK13" s="97">
        <f ca="1">SUMIF(Размеры!A:A,R13,Размеры!E:E)</f>
        <v>1</v>
      </c>
      <c r="AL13" s="97">
        <f ca="1">SUMIF(Сезон!A:A,F13,Сезон!B:B)</f>
        <v>1</v>
      </c>
      <c r="AM13" s="97">
        <f ca="1">SUMIF(Состав!A:A,J13,Состав!B:B)</f>
        <v>0</v>
      </c>
      <c r="AN13" s="97">
        <f ca="1">VLOOKUP(I13,ЦветПолный!A:C,3,0)</f>
        <v>1</v>
      </c>
      <c r="AO13" s="97">
        <f ca="1">SUMIF(Цвет!A:A,Y13,Цвет!B:B)</f>
        <v>1</v>
      </c>
      <c r="AP13" s="97">
        <f ca="1">_xlfn.XLOOKUP(L13,Пол!A:A,Пол!B:B,0,0)</f>
        <v>1</v>
      </c>
      <c r="AQ13" s="97">
        <f ca="1">SUMIF(Марка!A:A,G13,Марка!B:B)</f>
        <v>1</v>
      </c>
      <c r="AR13" s="97">
        <f ca="1">SUMIF(Страна!A:A,M13,Страна!B:B)</f>
        <v>1</v>
      </c>
      <c r="AS13" s="64" t="e">
        <f ca="1">IF(VLOOKUP(V13,Товары!A:B,2,FALSE)=A13,"Есть в 1С","ERR")</f>
        <v>#N/A</v>
      </c>
      <c r="AT13" s="65" t="e">
        <f ca="1">IF(VLOOKUP(A13,Товары!B:B,1,FALSE)=A13,"Есть в 1С","ERR")</f>
        <v>#N/A</v>
      </c>
      <c r="AU13" s="96" t="e">
        <f ca="1">VLOOKUP(V13,Товары!A:B,2,FALSE)</f>
        <v>#N/A</v>
      </c>
      <c r="AV13" s="94" t="e">
        <f ca="1">VLOOKUP(V13,Товары!A:B,1,FALSE)</f>
        <v>#N/A</v>
      </c>
    </row>
    <row r="14" spans="1:48" x14ac:dyDescent="0.25">
      <c r="A14" s="110" t="str">
        <f t="shared" ca="1" si="2"/>
        <v>02-688-02</v>
      </c>
      <c r="B14" s="107" t="str">
        <f ca="1">_xlfn.LET(_xlpm.CAPS,1,_xlpm.Style,TRIM(_xlfn.XLOOKUP($A14,Строчный!$A:$A,Строчный!B:B,"ERR",0)),IF(_xlpm.CAPS=0,_xlpm.Style,UPPER(_xlpm.Style)))</f>
        <v>6613303 TEXAS LINEN</v>
      </c>
      <c r="C14" s="81" t="str">
        <f ca="1">TRIM(PROPER(_xlfn.XLOOKUP($A14,Строчный!$A:$A,Строчный!C:C,"ERR",0)))</f>
        <v>Кепки</v>
      </c>
      <c r="D14" s="81" t="str">
        <f ca="1">_xlfn.LET(_xlpm.DATA,TRIM(_xlfn.XLOOKUP($A14,Строчный!$A:$A,Строчный!D:D,"ERR",0)),UPPER(MID(_xlpm.DATA,1,1))&amp;LOWER(MID(_xlpm.DATA,2,LEN(_xlpm.DATA)-1)))</f>
        <v>Кепка уточка</v>
      </c>
      <c r="E14" s="81" t="str">
        <f ca="1">PROPER(TRIM(_xlfn.XLOOKUP($A14,Строчный!$A:$A,Строчный!E:E,"ERR",0)))</f>
        <v>Stetson</v>
      </c>
      <c r="F14" s="81" t="str">
        <f ca="1">LOWER(TRIM(_xlfn.XLOOKUP($A14,Строчный!$A:$A,Строчный!F:F,"ERR",0)))</f>
        <v>летний</v>
      </c>
      <c r="G14" s="81" t="str">
        <f ca="1">UPPER(TRIM(_xlfn.XLOOKUP($A14,Строчный!$A:$A,Строчный!G:G,"ERR",0)))</f>
        <v>STETSON</v>
      </c>
      <c r="H14" s="81" t="str">
        <f ca="1">LOWER(TRIM(_xlfn.XLOOKUP($A14,Строчный!$A:$A,Строчный!H:H,"ERR",0)))</f>
        <v>268</v>
      </c>
      <c r="I14" s="81" t="str">
        <f ca="1">LOWER(TRIM(_xlfn.XLOOKUP($A14,Строчный!$A:$A,Строчный!I:I,"ERR",0)))</f>
        <v>бежевый</v>
      </c>
      <c r="J14" s="81" t="str">
        <f ca="1">SUBSTITUTE(LOWER(TRIM(_xlfn.XLOOKUP($A14,Строчный!$A:$A,Строчный!J:J,"ERR",0))),"подклад","Подклад")</f>
        <v>100% лен / Подклад: 68% хлопок - 32% полиэстер</v>
      </c>
      <c r="K14" s="81" t="str">
        <f ca="1">LOWER(TRIM(_xlfn.XLOOKUP($A14,Строчный!$A:$A,Строчный!K:K,"ERR",0)))</f>
        <v>льняные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Болгария</v>
      </c>
      <c r="N14" s="81" t="str">
        <f ca="1">UPPER(TRIM(_xlfn.XLOOKUP($A14,Строчный!$A:$A,Строчный!O:O,"ERR",0)))</f>
        <v/>
      </c>
      <c r="O14" s="107" t="str">
        <f ca="1">PROPER(TRIM(_xlfn.XLOOKUP($A14,Строчный!$A:$A,Строчный!P:P,"ERR",0)))</f>
        <v/>
      </c>
      <c r="P14" s="90">
        <f ca="1">VALUE(_xlfn.XLOOKUP($A14,Строчный!$A:$A,Строчный!N:N,"ERR",0))</f>
        <v>2128.328</v>
      </c>
      <c r="Q14" s="89" t="str">
        <f ca="1">_xlfn.XLOOKUP($G14,Фабрика!A:A,Фабрика!B:B,"ERR",0)</f>
        <v>Friedrich W. Schneider GmbH &amp; Co. KG; Oskar-Schindler-Str. 11, D 50769 Köln, Germany</v>
      </c>
      <c r="R14" s="80" t="str">
        <f ca="1">_xlfn.XLOOKUP(RIGHT(Z14,2),Размеры!D:D,Размеры!A:A,"ERR",0)</f>
        <v>57</v>
      </c>
      <c r="S14" s="80">
        <f ca="1">VALUE(_xlfn.XLOOKUP($Z14,Строчный!$R:$R,Строчный!T:T,"ERR",0))</f>
        <v>5</v>
      </c>
      <c r="T14" s="14" t="s">
        <v>265</v>
      </c>
      <c r="U14" s="101" t="str">
        <f t="shared" ca="1" si="3"/>
        <v>Кепка STETSON арт. 6613303 TEXAS LINEN (бежевый)</v>
      </c>
      <c r="V14" s="100" t="str">
        <f t="shared" ca="1" si="4"/>
        <v>Кепка STETSON арт. 6613303 TEXAS LINEN (бежевый) {268}</v>
      </c>
      <c r="W14" s="18" t="str">
        <f t="shared" ca="1" si="0"/>
        <v>бежевый</v>
      </c>
      <c r="X14" s="18" t="str">
        <f t="shared" ca="1" si="1"/>
        <v>бежевый</v>
      </c>
      <c r="Y14" s="117" t="str">
        <f ca="1">_xlfn.LET(_xlpm.FormColors,_xlfn.XLOOKUP(A14,Строчный!A:A,Строчный!Q:Q,"",0),IF(_xlpm.FormColors=0,IFERROR(MID(I14,FIND("-",I14)+1,LEN(I14)),IFERROR(MID(I14,1,FIND("/",I14)-2),I14)),_xlpm.FormColors))</f>
        <v>бежевый</v>
      </c>
      <c r="Z14" s="73" t="str">
        <f ca="1"/>
        <v>02-688-02-57</v>
      </c>
      <c r="AA14" s="75" t="str">
        <f ca="1">VLOOKUP(C14,Группа!A:B,2,FALSE)</f>
        <v>Кепка</v>
      </c>
      <c r="AB14" s="97" t="str">
        <f ca="1">IFERROR(VLOOKUP(R14,Размеры!A:C,3,FALSE),"")</f>
        <v>57 M</v>
      </c>
      <c r="AC14" s="97" t="str">
        <f ca="1">VLOOKUP(I14,ЦветПолный!A:B,2,FALSE)</f>
        <v>02</v>
      </c>
      <c r="AD14" s="97" t="str">
        <f ca="1">IFERROR(VLOOKUP(R14,Размеры!A:D,4,FALSE),"")</f>
        <v>57</v>
      </c>
      <c r="AE14" s="97">
        <f ca="1">IF(LEFT(IFERROR(VLOOKUP(LOOKUP(2,1/SEARCH(B14,Товары!A:A),Товары!A:A),Товары!A:B,2,0),""),6)=MID(Z14,1,6),1,0)</f>
        <v>0</v>
      </c>
      <c r="AG14" s="97">
        <f ca="1">SUMIF(Группа!A:A,C14,Группа!C:C)</f>
        <v>1</v>
      </c>
      <c r="AH14" s="97">
        <f ca="1">SUMIF(Группа!B:B,AA14,Группа!C:C)</f>
        <v>1</v>
      </c>
      <c r="AI14" s="97">
        <f ca="1">SUMIF(Формы!A:A,D14,Формы!B:B)</f>
        <v>1</v>
      </c>
      <c r="AJ14" s="97">
        <f ca="1">SUMIF(Материал!A:A,K14,Материал!B:B)</f>
        <v>1</v>
      </c>
      <c r="AK14" s="97">
        <f ca="1">SUMIF(Размеры!A:A,R14,Размеры!E:E)</f>
        <v>1</v>
      </c>
      <c r="AL14" s="97">
        <f ca="1">SUMIF(Сезон!A:A,F14,Сезон!B:B)</f>
        <v>1</v>
      </c>
      <c r="AM14" s="97">
        <f ca="1">SUMIF(Состав!A:A,J14,Состав!B:B)</f>
        <v>0</v>
      </c>
      <c r="AN14" s="97">
        <f ca="1">VLOOKUP(I14,ЦветПолный!A:C,3,0)</f>
        <v>1</v>
      </c>
      <c r="AO14" s="97">
        <f ca="1">SUMIF(Цвет!A:A,Y14,Цвет!B:B)</f>
        <v>1</v>
      </c>
      <c r="AP14" s="97">
        <f ca="1">_xlfn.XLOOKUP(L14,Пол!A:A,Пол!B:B,0,0)</f>
        <v>1</v>
      </c>
      <c r="AQ14" s="97">
        <f ca="1">SUMIF(Марка!A:A,G14,Марка!B:B)</f>
        <v>1</v>
      </c>
      <c r="AR14" s="97">
        <f ca="1">SUMIF(Страна!A:A,M14,Страна!B:B)</f>
        <v>1</v>
      </c>
      <c r="AS14" s="64" t="e">
        <f ca="1">IF(VLOOKUP(V14,Товары!A:B,2,FALSE)=A14,"Есть в 1С","ERR")</f>
        <v>#N/A</v>
      </c>
      <c r="AT14" s="65" t="e">
        <f ca="1">IF(VLOOKUP(A14,Товары!B:B,1,FALSE)=A14,"Есть в 1С","ERR")</f>
        <v>#N/A</v>
      </c>
      <c r="AU14" s="96" t="e">
        <f ca="1">VLOOKUP(V14,Товары!A:B,2,FALSE)</f>
        <v>#N/A</v>
      </c>
      <c r="AV14" s="94" t="e">
        <f ca="1">VLOOKUP(V14,Товары!A:B,1,FALSE)</f>
        <v>#N/A</v>
      </c>
    </row>
    <row r="15" spans="1:48" x14ac:dyDescent="0.25">
      <c r="A15" s="110" t="str">
        <f t="shared" ca="1" si="2"/>
        <v>02-688-02</v>
      </c>
      <c r="B15" s="107" t="str">
        <f ca="1">_xlfn.LET(_xlpm.CAPS,1,_xlpm.Style,TRIM(_xlfn.XLOOKUP($A15,Строчный!$A:$A,Строчный!B:B,"ERR",0)),IF(_xlpm.CAPS=0,_xlpm.Style,UPPER(_xlpm.Style)))</f>
        <v>6613303 TEXAS LINEN</v>
      </c>
      <c r="C15" s="81" t="str">
        <f ca="1">TRIM(PROPER(_xlfn.XLOOKUP($A15,Строчный!$A:$A,Строчный!C:C,"ERR",0)))</f>
        <v>Кепки</v>
      </c>
      <c r="D15" s="81" t="str">
        <f ca="1">_xlfn.LET(_xlpm.DATA,TRIM(_xlfn.XLOOKUP($A15,Строчный!$A:$A,Строчный!D:D,"ERR",0)),UPPER(MID(_xlpm.DATA,1,1))&amp;LOWER(MID(_xlpm.DATA,2,LEN(_xlpm.DATA)-1)))</f>
        <v>Кепка уточка</v>
      </c>
      <c r="E15" s="81" t="str">
        <f ca="1">PROPER(TRIM(_xlfn.XLOOKUP($A15,Строчный!$A:$A,Строчный!E:E,"ERR",0)))</f>
        <v>Stetson</v>
      </c>
      <c r="F15" s="81" t="str">
        <f ca="1">LOWER(TRIM(_xlfn.XLOOKUP($A15,Строчный!$A:$A,Строчный!F:F,"ERR",0)))</f>
        <v>летний</v>
      </c>
      <c r="G15" s="81" t="str">
        <f ca="1">UPPER(TRIM(_xlfn.XLOOKUP($A15,Строчный!$A:$A,Строчный!G:G,"ERR",0)))</f>
        <v>STETSON</v>
      </c>
      <c r="H15" s="81" t="str">
        <f ca="1">LOWER(TRIM(_xlfn.XLOOKUP($A15,Строчный!$A:$A,Строчный!H:H,"ERR",0)))</f>
        <v>268</v>
      </c>
      <c r="I15" s="81" t="str">
        <f ca="1">LOWER(TRIM(_xlfn.XLOOKUP($A15,Строчный!$A:$A,Строчный!I:I,"ERR",0)))</f>
        <v>бежевый</v>
      </c>
      <c r="J15" s="81" t="str">
        <f ca="1">SUBSTITUTE(LOWER(TRIM(_xlfn.XLOOKUP($A15,Строчный!$A:$A,Строчный!J:J,"ERR",0))),"подклад","Подклад")</f>
        <v>100% лен / Подклад: 68% хлопок - 32% полиэстер</v>
      </c>
      <c r="K15" s="81" t="str">
        <f ca="1">LOWER(TRIM(_xlfn.XLOOKUP($A15,Строчный!$A:$A,Строчный!K:K,"ERR",0)))</f>
        <v>льняные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Болгария</v>
      </c>
      <c r="N15" s="81" t="str">
        <f ca="1">UPPER(TRIM(_xlfn.XLOOKUP($A15,Строчный!$A:$A,Строчный!O:O,"ERR",0)))</f>
        <v/>
      </c>
      <c r="O15" s="107" t="str">
        <f ca="1">PROPER(TRIM(_xlfn.XLOOKUP($A15,Строчный!$A:$A,Строчный!P:P,"ERR",0)))</f>
        <v/>
      </c>
      <c r="P15" s="90">
        <f ca="1">VALUE(_xlfn.XLOOKUP($A15,Строчный!$A:$A,Строчный!N:N,"ERR",0))</f>
        <v>2128.328</v>
      </c>
      <c r="Q15" s="89" t="str">
        <f ca="1">_xlfn.XLOOKUP($G15,Фабрика!A:A,Фабрика!B:B,"ERR",0)</f>
        <v>Friedrich W. Schneider GmbH &amp; Co. KG; Oskar-Schindler-Str. 11, D 50769 Köln, Germany</v>
      </c>
      <c r="R15" s="80" t="str">
        <f ca="1">_xlfn.XLOOKUP(RIGHT(Z15,2),Размеры!D:D,Размеры!A:A,"ERR",0)</f>
        <v>55</v>
      </c>
      <c r="S15" s="80">
        <f ca="1">VALUE(_xlfn.XLOOKUP($Z15,Строчный!$R:$R,Строчный!T:T,"ERR",0))</f>
        <v>1</v>
      </c>
      <c r="T15" s="14" t="s">
        <v>265</v>
      </c>
      <c r="U15" s="101" t="str">
        <f t="shared" ca="1" si="3"/>
        <v>Кепка STETSON арт. 6613303 TEXAS LINEN (бежевый)</v>
      </c>
      <c r="V15" s="100" t="str">
        <f t="shared" ca="1" si="4"/>
        <v>Кепка STETSON арт. 6613303 TEXAS LINEN (бежевый) {268}</v>
      </c>
      <c r="W15" s="18" t="str">
        <f t="shared" ca="1" si="0"/>
        <v>бежевый</v>
      </c>
      <c r="X15" s="18" t="str">
        <f t="shared" ca="1" si="1"/>
        <v>бежевый</v>
      </c>
      <c r="Y15" s="117" t="str">
        <f ca="1">_xlfn.LET(_xlpm.FormColors,_xlfn.XLOOKUP(A15,Строчный!A:A,Строчный!Q:Q,"",0),IF(_xlpm.FormColors=0,IFERROR(MID(I15,FIND("-",I15)+1,LEN(I15)),IFERROR(MID(I15,1,FIND("/",I15)-2),I15)),_xlpm.FormColors))</f>
        <v>бежевый</v>
      </c>
      <c r="Z15" s="73" t="str">
        <f ca="1"/>
        <v>02-688-02-55</v>
      </c>
      <c r="AA15" s="75" t="str">
        <f ca="1">VLOOKUP(C15,Группа!A:B,2,FALSE)</f>
        <v>Кепка</v>
      </c>
      <c r="AB15" s="97" t="str">
        <f ca="1">IFERROR(VLOOKUP(R15,Размеры!A:C,3,FALSE),"")</f>
        <v>55 S</v>
      </c>
      <c r="AC15" s="97" t="str">
        <f ca="1">VLOOKUP(I15,ЦветПолный!A:B,2,FALSE)</f>
        <v>02</v>
      </c>
      <c r="AD15" s="97" t="str">
        <f ca="1">IFERROR(VLOOKUP(R15,Размеры!A:D,4,FALSE),"")</f>
        <v>55</v>
      </c>
      <c r="AE15" s="97">
        <f ca="1">IF(LEFT(IFERROR(VLOOKUP(LOOKUP(2,1/SEARCH(B15,Товары!A:A),Товары!A:A),Товары!A:B,2,0),""),6)=MID(Z15,1,6),1,0)</f>
        <v>0</v>
      </c>
      <c r="AG15" s="97">
        <f ca="1">SUMIF(Группа!A:A,C15,Группа!C:C)</f>
        <v>1</v>
      </c>
      <c r="AH15" s="97">
        <f ca="1">SUMIF(Группа!B:B,AA15,Группа!C:C)</f>
        <v>1</v>
      </c>
      <c r="AI15" s="97">
        <f ca="1">SUMIF(Формы!A:A,D15,Формы!B:B)</f>
        <v>1</v>
      </c>
      <c r="AJ15" s="97">
        <f ca="1">SUMIF(Материал!A:A,K15,Материал!B:B)</f>
        <v>1</v>
      </c>
      <c r="AK15" s="97">
        <f ca="1">SUMIF(Размеры!A:A,R15,Размеры!E:E)</f>
        <v>1</v>
      </c>
      <c r="AL15" s="97">
        <f ca="1">SUMIF(Сезон!A:A,F15,Сезон!B:B)</f>
        <v>1</v>
      </c>
      <c r="AM15" s="97">
        <f ca="1">SUMIF(Состав!A:A,J15,Состав!B:B)</f>
        <v>0</v>
      </c>
      <c r="AN15" s="97">
        <f ca="1">VLOOKUP(I15,ЦветПолный!A:C,3,0)</f>
        <v>1</v>
      </c>
      <c r="AO15" s="97">
        <f ca="1">SUMIF(Цвет!A:A,Y15,Цвет!B:B)</f>
        <v>1</v>
      </c>
      <c r="AP15" s="97">
        <f ca="1">_xlfn.XLOOKUP(L15,Пол!A:A,Пол!B:B,0,0)</f>
        <v>1</v>
      </c>
      <c r="AQ15" s="97">
        <f ca="1">SUMIF(Марка!A:A,G15,Марка!B:B)</f>
        <v>1</v>
      </c>
      <c r="AR15" s="97">
        <f ca="1">SUMIF(Страна!A:A,M15,Страна!B:B)</f>
        <v>1</v>
      </c>
      <c r="AS15" s="64" t="e">
        <f ca="1">IF(VLOOKUP(V15,Товары!A:B,2,FALSE)=A15,"Есть в 1С","ERR")</f>
        <v>#N/A</v>
      </c>
      <c r="AT15" s="65" t="e">
        <f ca="1">IF(VLOOKUP(A15,Товары!B:B,1,FALSE)=A15,"Есть в 1С","ERR")</f>
        <v>#N/A</v>
      </c>
      <c r="AU15" s="96" t="e">
        <f ca="1">VLOOKUP(V15,Товары!A:B,2,FALSE)</f>
        <v>#N/A</v>
      </c>
      <c r="AV15" s="94" t="e">
        <f ca="1">VLOOKUP(V15,Товары!A:B,1,FALSE)</f>
        <v>#N/A</v>
      </c>
    </row>
    <row r="16" spans="1:48" x14ac:dyDescent="0.25">
      <c r="A16" s="110" t="str">
        <f t="shared" ca="1" si="2"/>
        <v>02-684-08</v>
      </c>
      <c r="B16" s="107" t="str">
        <f ca="1">_xlfn.LET(_xlpm.CAPS,1,_xlpm.Style,TRIM(_xlfn.XLOOKUP($A16,Строчный!$A:$A,Строчный!B:B,"ERR",0)),IF(_xlpm.CAPS=0,_xlpm.Style,UPPER(_xlpm.Style)))</f>
        <v>1113102 TRILBY LINEN</v>
      </c>
      <c r="C16" s="81" t="str">
        <f ca="1">TRIM(PROPER(_xlfn.XLOOKUP($A16,Строчный!$A:$A,Строчный!C:C,"ERR",0)))</f>
        <v>Шляпы</v>
      </c>
      <c r="D16" s="81" t="str">
        <f ca="1">_xlfn.LET(_xlpm.DATA,TRIM(_xlfn.XLOOKUP($A16,Строчный!$A:$A,Строчный!D:D,"ERR",0)),UPPER(MID(_xlpm.DATA,1,1))&amp;LOWER(MID(_xlpm.DATA,2,LEN(_xlpm.DATA)-1)))</f>
        <v>Шляпа трилби</v>
      </c>
      <c r="E16" s="81" t="str">
        <f ca="1">PROPER(TRIM(_xlfn.XLOOKUP($A16,Строчный!$A:$A,Строчный!E:E,"ERR",0)))</f>
        <v>Stetson</v>
      </c>
      <c r="F16" s="81" t="str">
        <f ca="1">LOWER(TRIM(_xlfn.XLOOKUP($A16,Строчный!$A:$A,Строчный!F:F,"ERR",0)))</f>
        <v>летний</v>
      </c>
      <c r="G16" s="81" t="str">
        <f ca="1">UPPER(TRIM(_xlfn.XLOOKUP($A16,Строчный!$A:$A,Строчный!G:G,"ERR",0)))</f>
        <v>STETSON</v>
      </c>
      <c r="H16" s="81" t="str">
        <f ca="1">LOWER(TRIM(_xlfn.XLOOKUP($A16,Строчный!$A:$A,Строчный!H:H,"ERR",0)))</f>
        <v>31</v>
      </c>
      <c r="I16" s="81" t="str">
        <f ca="1">LOWER(TRIM(_xlfn.XLOOKUP($A16,Строчный!$A:$A,Строчный!I:I,"ERR",0)))</f>
        <v>серый</v>
      </c>
      <c r="J16" s="81" t="str">
        <f ca="1">SUBSTITUTE(LOWER(TRIM(_xlfn.XLOOKUP($A16,Строчный!$A:$A,Строчный!J:J,"ERR",0))),"подклад","Подклад")</f>
        <v>100% лен / Подклад: 68% хлопок - 32% полиэстер</v>
      </c>
      <c r="K16" s="81" t="str">
        <f ca="1">LOWER(TRIM(_xlfn.XLOOKUP($A16,Строчный!$A:$A,Строчный!K:K,"ERR",0)))</f>
        <v>льняные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Италия</v>
      </c>
      <c r="N16" s="81" t="str">
        <f ca="1">UPPER(TRIM(_xlfn.XLOOKUP($A16,Строчный!$A:$A,Строчный!O:O,"ERR",0)))</f>
        <v/>
      </c>
      <c r="O16" s="107" t="str">
        <f ca="1">PROPER(TRIM(_xlfn.XLOOKUP($A16,Строчный!$A:$A,Строчный!P:P,"ERR",0)))</f>
        <v/>
      </c>
      <c r="P16" s="90">
        <f ca="1">VALUE(_xlfn.XLOOKUP($A16,Строчный!$A:$A,Строчный!N:N,"ERR",0))</f>
        <v>2365.6880000000001</v>
      </c>
      <c r="Q16" s="89" t="str">
        <f ca="1">_xlfn.XLOOKUP($G16,Фабрика!A:A,Фабрика!B:B,"ERR",0)</f>
        <v>Friedrich W. Schneider GmbH &amp; Co. KG; Oskar-Schindler-Str. 11, D 50769 Köln, Germany</v>
      </c>
      <c r="R16" s="80" t="str">
        <f ca="1">_xlfn.XLOOKUP(RIGHT(Z16,2),Размеры!D:D,Размеры!A:A,"ERR",0)</f>
        <v>63</v>
      </c>
      <c r="S16" s="80">
        <f ca="1">VALUE(_xlfn.XLOOKUP($Z16,Строчный!$R:$R,Строчный!T:T,"ERR",0))</f>
        <v>3</v>
      </c>
      <c r="T16" s="14" t="s">
        <v>265</v>
      </c>
      <c r="U16" s="101" t="str">
        <f t="shared" ca="1" si="3"/>
        <v>Шляпа STETSON арт. 1113102 TRILBY LINEN (серый)</v>
      </c>
      <c r="V16" s="100" t="str">
        <f t="shared" ca="1" si="4"/>
        <v>Шляпа STETSON арт. 1113102 TRILBY LINEN (серый) {31}</v>
      </c>
      <c r="W16" s="18" t="str">
        <f t="shared" ca="1" si="0"/>
        <v>серый</v>
      </c>
      <c r="X16" s="18" t="str">
        <f t="shared" ca="1" si="1"/>
        <v>серый</v>
      </c>
      <c r="Y16" s="117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Z16" s="73" t="str">
        <f ca="1"/>
        <v>02-684-08-63</v>
      </c>
      <c r="AA16" s="75" t="str">
        <f ca="1">VLOOKUP(C16,Группа!A:B,2,FALSE)</f>
        <v>Шляпа</v>
      </c>
      <c r="AB16" s="97" t="str">
        <f ca="1">IFERROR(VLOOKUP(R16,Размеры!A:C,3,FALSE),"")</f>
        <v>63 XXL</v>
      </c>
      <c r="AC16" s="97" t="str">
        <f ca="1">VLOOKUP(I16,ЦветПолный!A:B,2,FALSE)</f>
        <v>08</v>
      </c>
      <c r="AD16" s="97" t="str">
        <f ca="1">IFERROR(VLOOKUP(R16,Размеры!A:D,4,FALSE),"")</f>
        <v>63</v>
      </c>
      <c r="AE16" s="97">
        <f ca="1">IF(LEFT(IFERROR(VLOOKUP(LOOKUP(2,1/SEARCH(B16,Товары!A:A),Товары!A:A),Товары!A:B,2,0),""),6)=MID(Z16,1,6),1,0)</f>
        <v>0</v>
      </c>
      <c r="AG16" s="97">
        <f ca="1">SUMIF(Группа!A:A,C16,Группа!C:C)</f>
        <v>1</v>
      </c>
      <c r="AH16" s="97">
        <f ca="1">SUMIF(Группа!B:B,AA16,Группа!C:C)</f>
        <v>1</v>
      </c>
      <c r="AI16" s="97">
        <f ca="1">SUMIF(Формы!A:A,D16,Формы!B:B)</f>
        <v>1</v>
      </c>
      <c r="AJ16" s="97">
        <f ca="1">SUMIF(Материал!A:A,K16,Материал!B:B)</f>
        <v>1</v>
      </c>
      <c r="AK16" s="97">
        <f ca="1">SUMIF(Размеры!A:A,R16,Размеры!E:E)</f>
        <v>1</v>
      </c>
      <c r="AL16" s="97">
        <f ca="1">SUMIF(Сезон!A:A,F16,Сезон!B:B)</f>
        <v>1</v>
      </c>
      <c r="AM16" s="97">
        <f ca="1">SUMIF(Состав!A:A,J16,Состав!B:B)</f>
        <v>0</v>
      </c>
      <c r="AN16" s="97">
        <f ca="1">VLOOKUP(I16,ЦветПолный!A:C,3,0)</f>
        <v>1</v>
      </c>
      <c r="AO16" s="97">
        <f ca="1">SUMIF(Цвет!A:A,Y16,Цвет!B:B)</f>
        <v>1</v>
      </c>
      <c r="AP16" s="97">
        <f ca="1">_xlfn.XLOOKUP(L16,Пол!A:A,Пол!B:B,0,0)</f>
        <v>1</v>
      </c>
      <c r="AQ16" s="97">
        <f ca="1">SUMIF(Марка!A:A,G16,Марка!B:B)</f>
        <v>1</v>
      </c>
      <c r="AR16" s="97">
        <f ca="1">SUMIF(Страна!A:A,M16,Страна!B:B)</f>
        <v>1</v>
      </c>
      <c r="AS16" s="64" t="e">
        <f ca="1">IF(VLOOKUP(V16,Товары!A:B,2,FALSE)=A16,"Есть в 1С","ERR")</f>
        <v>#N/A</v>
      </c>
      <c r="AT16" s="65" t="e">
        <f ca="1">IF(VLOOKUP(A16,Товары!B:B,1,FALSE)=A16,"Есть в 1С","ERR")</f>
        <v>#N/A</v>
      </c>
      <c r="AU16" s="96" t="e">
        <f ca="1">VLOOKUP(V16,Товары!A:B,2,FALSE)</f>
        <v>#N/A</v>
      </c>
      <c r="AV16" s="94" t="e">
        <f ca="1">VLOOKUP(V16,Товары!A:B,1,FALSE)</f>
        <v>#N/A</v>
      </c>
    </row>
    <row r="17" spans="1:48" x14ac:dyDescent="0.25">
      <c r="A17" s="110" t="str">
        <f t="shared" ca="1" si="2"/>
        <v>02-684-08</v>
      </c>
      <c r="B17" s="107" t="str">
        <f ca="1">_xlfn.LET(_xlpm.CAPS,1,_xlpm.Style,TRIM(_xlfn.XLOOKUP($A17,Строчный!$A:$A,Строчный!B:B,"ERR",0)),IF(_xlpm.CAPS=0,_xlpm.Style,UPPER(_xlpm.Style)))</f>
        <v>1113102 TRILBY LINEN</v>
      </c>
      <c r="C17" s="81" t="str">
        <f ca="1">TRIM(PROPER(_xlfn.XLOOKUP($A17,Строчный!$A:$A,Строчный!C:C,"ERR",0)))</f>
        <v>Шляпы</v>
      </c>
      <c r="D17" s="81" t="str">
        <f ca="1">_xlfn.LET(_xlpm.DATA,TRIM(_xlfn.XLOOKUP($A17,Строчный!$A:$A,Строчный!D:D,"ERR",0)),UPPER(MID(_xlpm.DATA,1,1))&amp;LOWER(MID(_xlpm.DATA,2,LEN(_xlpm.DATA)-1)))</f>
        <v>Шляпа трилби</v>
      </c>
      <c r="E17" s="81" t="str">
        <f ca="1">PROPER(TRIM(_xlfn.XLOOKUP($A17,Строчный!$A:$A,Строчный!E:E,"ERR",0)))</f>
        <v>Stetson</v>
      </c>
      <c r="F17" s="81" t="str">
        <f ca="1">LOWER(TRIM(_xlfn.XLOOKUP($A17,Строчный!$A:$A,Строчный!F:F,"ERR",0)))</f>
        <v>летний</v>
      </c>
      <c r="G17" s="81" t="str">
        <f ca="1">UPPER(TRIM(_xlfn.XLOOKUP($A17,Строчный!$A:$A,Строчный!G:G,"ERR",0)))</f>
        <v>STETSON</v>
      </c>
      <c r="H17" s="81" t="str">
        <f ca="1">LOWER(TRIM(_xlfn.XLOOKUP($A17,Строчный!$A:$A,Строчный!H:H,"ERR",0)))</f>
        <v>31</v>
      </c>
      <c r="I17" s="81" t="str">
        <f ca="1">LOWER(TRIM(_xlfn.XLOOKUP($A17,Строчный!$A:$A,Строчный!I:I,"ERR",0)))</f>
        <v>серый</v>
      </c>
      <c r="J17" s="81" t="str">
        <f ca="1">SUBSTITUTE(LOWER(TRIM(_xlfn.XLOOKUP($A17,Строчный!$A:$A,Строчный!J:J,"ERR",0))),"подклад","Подклад")</f>
        <v>100% лен / Подклад: 68% хлопок - 32% полиэстер</v>
      </c>
      <c r="K17" s="81" t="str">
        <f ca="1">LOWER(TRIM(_xlfn.XLOOKUP($A17,Строчный!$A:$A,Строчный!K:K,"ERR",0)))</f>
        <v>льняные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Италия</v>
      </c>
      <c r="N17" s="81" t="str">
        <f ca="1">UPPER(TRIM(_xlfn.XLOOKUP($A17,Строчный!$A:$A,Строчный!O:O,"ERR",0)))</f>
        <v/>
      </c>
      <c r="O17" s="107" t="str">
        <f ca="1">PROPER(TRIM(_xlfn.XLOOKUP($A17,Строчный!$A:$A,Строчный!P:P,"ERR",0)))</f>
        <v/>
      </c>
      <c r="P17" s="90">
        <f ca="1">VALUE(_xlfn.XLOOKUP($A17,Строчный!$A:$A,Строчный!N:N,"ERR",0))</f>
        <v>2365.6880000000001</v>
      </c>
      <c r="Q17" s="89" t="str">
        <f ca="1">_xlfn.XLOOKUP($G17,Фабрика!A:A,Фабрика!B:B,"ERR",0)</f>
        <v>Friedrich W. Schneider GmbH &amp; Co. KG; Oskar-Schindler-Str. 11, D 50769 Köln, Germany</v>
      </c>
      <c r="R17" s="80" t="str">
        <f ca="1">_xlfn.XLOOKUP(RIGHT(Z17,2),Размеры!D:D,Размеры!A:A,"ERR",0)</f>
        <v>61</v>
      </c>
      <c r="S17" s="80">
        <f ca="1">VALUE(_xlfn.XLOOKUP($Z17,Строчный!$R:$R,Строчный!T:T,"ERR",0))</f>
        <v>6</v>
      </c>
      <c r="T17" s="14" t="s">
        <v>265</v>
      </c>
      <c r="U17" s="101" t="str">
        <f t="shared" ca="1" si="3"/>
        <v>Шляпа STETSON арт. 1113102 TRILBY LINEN (серый)</v>
      </c>
      <c r="V17" s="100" t="str">
        <f t="shared" ca="1" si="4"/>
        <v>Шляпа STETSON арт. 1113102 TRILBY LINEN (серый) {31}</v>
      </c>
      <c r="W17" s="18" t="str">
        <f t="shared" ca="1" si="0"/>
        <v>серый</v>
      </c>
      <c r="X17" s="18" t="str">
        <f t="shared" ca="1" si="1"/>
        <v>серый</v>
      </c>
      <c r="Y17" s="117" t="str">
        <f ca="1">_xlfn.LET(_xlpm.FormColors,_xlfn.XLOOKUP(A17,Строчный!A:A,Строчный!Q:Q,"",0),IF(_xlpm.FormColors=0,IFERROR(MID(I17,FIND("-",I17)+1,LEN(I17)),IFERROR(MID(I17,1,FIND("/",I17)-2),I17)),_xlpm.FormColors))</f>
        <v>серый</v>
      </c>
      <c r="Z17" s="73" t="str">
        <f ca="1"/>
        <v>02-684-08-61</v>
      </c>
      <c r="AA17" s="75" t="str">
        <f ca="1">VLOOKUP(C17,Группа!A:B,2,FALSE)</f>
        <v>Шляпа</v>
      </c>
      <c r="AB17" s="97" t="str">
        <f ca="1">IFERROR(VLOOKUP(R17,Размеры!A:C,3,FALSE),"")</f>
        <v>61 XL</v>
      </c>
      <c r="AC17" s="97" t="str">
        <f ca="1">VLOOKUP(I17,ЦветПолный!A:B,2,FALSE)</f>
        <v>08</v>
      </c>
      <c r="AD17" s="97" t="str">
        <f ca="1">IFERROR(VLOOKUP(R17,Размеры!A:D,4,FALSE),"")</f>
        <v>61</v>
      </c>
      <c r="AE17" s="97">
        <f ca="1">IF(LEFT(IFERROR(VLOOKUP(LOOKUP(2,1/SEARCH(B17,Товары!A:A),Товары!A:A),Товары!A:B,2,0),""),6)=MID(Z17,1,6),1,0)</f>
        <v>0</v>
      </c>
      <c r="AG17" s="97">
        <f ca="1">SUMIF(Группа!A:A,C17,Группа!C:C)</f>
        <v>1</v>
      </c>
      <c r="AH17" s="97">
        <f ca="1">SUMIF(Группа!B:B,AA17,Группа!C:C)</f>
        <v>1</v>
      </c>
      <c r="AI17" s="97">
        <f ca="1">SUMIF(Формы!A:A,D17,Формы!B:B)</f>
        <v>1</v>
      </c>
      <c r="AJ17" s="97">
        <f ca="1">SUMIF(Материал!A:A,K17,Материал!B:B)</f>
        <v>1</v>
      </c>
      <c r="AK17" s="97">
        <f ca="1">SUMIF(Размеры!A:A,R17,Размеры!E:E)</f>
        <v>1</v>
      </c>
      <c r="AL17" s="97">
        <f ca="1">SUMIF(Сезон!A:A,F17,Сезон!B:B)</f>
        <v>1</v>
      </c>
      <c r="AM17" s="97">
        <f ca="1">SUMIF(Состав!A:A,J17,Состав!B:B)</f>
        <v>0</v>
      </c>
      <c r="AN17" s="97">
        <f ca="1">VLOOKUP(I17,ЦветПолный!A:C,3,0)</f>
        <v>1</v>
      </c>
      <c r="AO17" s="97">
        <f ca="1">SUMIF(Цвет!A:A,Y17,Цвет!B:B)</f>
        <v>1</v>
      </c>
      <c r="AP17" s="97">
        <f ca="1">_xlfn.XLOOKUP(L17,Пол!A:A,Пол!B:B,0,0)</f>
        <v>1</v>
      </c>
      <c r="AQ17" s="97">
        <f ca="1">SUMIF(Марка!A:A,G17,Марка!B:B)</f>
        <v>1</v>
      </c>
      <c r="AR17" s="97">
        <f ca="1">SUMIF(Страна!A:A,M17,Страна!B:B)</f>
        <v>1</v>
      </c>
      <c r="AS17" s="64" t="e">
        <f ca="1">IF(VLOOKUP(V17,Товары!A:B,2,FALSE)=A17,"Есть в 1С","ERR")</f>
        <v>#N/A</v>
      </c>
      <c r="AT17" s="65" t="e">
        <f ca="1">IF(VLOOKUP(A17,Товары!B:B,1,FALSE)=A17,"Есть в 1С","ERR")</f>
        <v>#N/A</v>
      </c>
      <c r="AU17" s="96" t="e">
        <f ca="1">VLOOKUP(V17,Товары!A:B,2,FALSE)</f>
        <v>#N/A</v>
      </c>
      <c r="AV17" s="94" t="e">
        <f ca="1">VLOOKUP(V17,Товары!A:B,1,FALSE)</f>
        <v>#N/A</v>
      </c>
    </row>
    <row r="18" spans="1:48" x14ac:dyDescent="0.25">
      <c r="A18" s="110" t="str">
        <f t="shared" ca="1" si="2"/>
        <v>02-684-08</v>
      </c>
      <c r="B18" s="107" t="str">
        <f ca="1">_xlfn.LET(_xlpm.CAPS,1,_xlpm.Style,TRIM(_xlfn.XLOOKUP($A18,Строчный!$A:$A,Строчный!B:B,"ERR",0)),IF(_xlpm.CAPS=0,_xlpm.Style,UPPER(_xlpm.Style)))</f>
        <v>1113102 TRILBY LINEN</v>
      </c>
      <c r="C18" s="81" t="str">
        <f ca="1">TRIM(PROPER(_xlfn.XLOOKUP($A18,Строчный!$A:$A,Строчный!C:C,"ERR",0)))</f>
        <v>Шляпы</v>
      </c>
      <c r="D18" s="81" t="str">
        <f ca="1">_xlfn.LET(_xlpm.DATA,TRIM(_xlfn.XLOOKUP($A18,Строчный!$A:$A,Строчный!D:D,"ERR",0)),UPPER(MID(_xlpm.DATA,1,1))&amp;LOWER(MID(_xlpm.DATA,2,LEN(_xlpm.DATA)-1)))</f>
        <v>Шляпа трилби</v>
      </c>
      <c r="E18" s="81" t="str">
        <f ca="1">PROPER(TRIM(_xlfn.XLOOKUP($A18,Строчный!$A:$A,Строчный!E:E,"ERR",0)))</f>
        <v>Stetson</v>
      </c>
      <c r="F18" s="81" t="str">
        <f ca="1">LOWER(TRIM(_xlfn.XLOOKUP($A18,Строчный!$A:$A,Строчный!F:F,"ERR",0)))</f>
        <v>летний</v>
      </c>
      <c r="G18" s="81" t="str">
        <f ca="1">UPPER(TRIM(_xlfn.XLOOKUP($A18,Строчный!$A:$A,Строчный!G:G,"ERR",0)))</f>
        <v>STETSON</v>
      </c>
      <c r="H18" s="81" t="str">
        <f ca="1">LOWER(TRIM(_xlfn.XLOOKUP($A18,Строчный!$A:$A,Строчный!H:H,"ERR",0)))</f>
        <v>31</v>
      </c>
      <c r="I18" s="81" t="str">
        <f ca="1">LOWER(TRIM(_xlfn.XLOOKUP($A18,Строчный!$A:$A,Строчный!I:I,"ERR",0)))</f>
        <v>серый</v>
      </c>
      <c r="J18" s="81" t="str">
        <f ca="1">SUBSTITUTE(LOWER(TRIM(_xlfn.XLOOKUP($A18,Строчный!$A:$A,Строчный!J:J,"ERR",0))),"подклад","Подклад")</f>
        <v>100% лен / Подклад: 68% хлопок - 32% полиэстер</v>
      </c>
      <c r="K18" s="81" t="str">
        <f ca="1">LOWER(TRIM(_xlfn.XLOOKUP($A18,Строчный!$A:$A,Строчный!K:K,"ERR",0)))</f>
        <v>льняные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Италия</v>
      </c>
      <c r="N18" s="81" t="str">
        <f ca="1">UPPER(TRIM(_xlfn.XLOOKUP($A18,Строчный!$A:$A,Строчный!O:O,"ERR",0)))</f>
        <v/>
      </c>
      <c r="O18" s="107" t="str">
        <f ca="1">PROPER(TRIM(_xlfn.XLOOKUP($A18,Строчный!$A:$A,Строчный!P:P,"ERR",0)))</f>
        <v/>
      </c>
      <c r="P18" s="90">
        <f ca="1">VALUE(_xlfn.XLOOKUP($A18,Строчный!$A:$A,Строчный!N:N,"ERR",0))</f>
        <v>2365.6880000000001</v>
      </c>
      <c r="Q18" s="89" t="str">
        <f ca="1">_xlfn.XLOOKUP($G18,Фабрика!A:A,Фабрика!B:B,"ERR",0)</f>
        <v>Friedrich W. Schneider GmbH &amp; Co. KG; Oskar-Schindler-Str. 11, D 50769 Köln, Germany</v>
      </c>
      <c r="R18" s="80" t="str">
        <f ca="1">_xlfn.XLOOKUP(RIGHT(Z18,2),Размеры!D:D,Размеры!A:A,"ERR",0)</f>
        <v>59</v>
      </c>
      <c r="S18" s="80">
        <f ca="1">VALUE(_xlfn.XLOOKUP($Z18,Строчный!$R:$R,Строчный!T:T,"ERR",0))</f>
        <v>8</v>
      </c>
      <c r="T18" s="14" t="s">
        <v>265</v>
      </c>
      <c r="U18" s="101" t="str">
        <f t="shared" ca="1" si="3"/>
        <v>Шляпа STETSON арт. 1113102 TRILBY LINEN (серый)</v>
      </c>
      <c r="V18" s="100" t="str">
        <f t="shared" ca="1" si="4"/>
        <v>Шляпа STETSON арт. 1113102 TRILBY LINEN (серый) {31}</v>
      </c>
      <c r="W18" s="18" t="str">
        <f t="shared" ca="1" si="0"/>
        <v>серый</v>
      </c>
      <c r="X18" s="18" t="str">
        <f t="shared" ca="1" si="1"/>
        <v>серый</v>
      </c>
      <c r="Y18" s="117" t="str">
        <f ca="1">_xlfn.LET(_xlpm.FormColors,_xlfn.XLOOKUP(A18,Строчный!A:A,Строчный!Q:Q,"",0),IF(_xlpm.FormColors=0,IFERROR(MID(I18,FIND("-",I18)+1,LEN(I18)),IFERROR(MID(I18,1,FIND("/",I18)-2),I18)),_xlpm.FormColors))</f>
        <v>серый</v>
      </c>
      <c r="Z18" s="73" t="str">
        <f ca="1"/>
        <v>02-684-08-59</v>
      </c>
      <c r="AA18" s="75" t="str">
        <f ca="1">VLOOKUP(C18,Группа!A:B,2,FALSE)</f>
        <v>Шляпа</v>
      </c>
      <c r="AB18" s="97" t="str">
        <f ca="1">IFERROR(VLOOKUP(R18,Размеры!A:C,3,FALSE),"")</f>
        <v>59 L</v>
      </c>
      <c r="AC18" s="97" t="str">
        <f ca="1">VLOOKUP(I18,ЦветПолный!A:B,2,FALSE)</f>
        <v>08</v>
      </c>
      <c r="AD18" s="97" t="str">
        <f ca="1">IFERROR(VLOOKUP(R18,Размеры!A:D,4,FALSE),"")</f>
        <v>59</v>
      </c>
      <c r="AE18" s="97">
        <f ca="1">IF(LEFT(IFERROR(VLOOKUP(LOOKUP(2,1/SEARCH(B18,Товары!A:A),Товары!A:A),Товары!A:B,2,0),""),6)=MID(Z18,1,6),1,0)</f>
        <v>0</v>
      </c>
      <c r="AG18" s="97">
        <f ca="1">SUMIF(Группа!A:A,C18,Группа!C:C)</f>
        <v>1</v>
      </c>
      <c r="AH18" s="97">
        <f ca="1">SUMIF(Группа!B:B,AA18,Группа!C:C)</f>
        <v>1</v>
      </c>
      <c r="AI18" s="97">
        <f ca="1">SUMIF(Формы!A:A,D18,Формы!B:B)</f>
        <v>1</v>
      </c>
      <c r="AJ18" s="97">
        <f ca="1">SUMIF(Материал!A:A,K18,Материал!B:B)</f>
        <v>1</v>
      </c>
      <c r="AK18" s="97">
        <f ca="1">SUMIF(Размеры!A:A,R18,Размеры!E:E)</f>
        <v>1</v>
      </c>
      <c r="AL18" s="97">
        <f ca="1">SUMIF(Сезон!A:A,F18,Сезон!B:B)</f>
        <v>1</v>
      </c>
      <c r="AM18" s="97">
        <f ca="1">SUMIF(Состав!A:A,J18,Состав!B:B)</f>
        <v>0</v>
      </c>
      <c r="AN18" s="97">
        <f ca="1">VLOOKUP(I18,ЦветПолный!A:C,3,0)</f>
        <v>1</v>
      </c>
      <c r="AO18" s="97">
        <f ca="1">SUMIF(Цвет!A:A,Y18,Цвет!B:B)</f>
        <v>1</v>
      </c>
      <c r="AP18" s="97">
        <f ca="1">_xlfn.XLOOKUP(L18,Пол!A:A,Пол!B:B,0,0)</f>
        <v>1</v>
      </c>
      <c r="AQ18" s="97">
        <f ca="1">SUMIF(Марка!A:A,G18,Марка!B:B)</f>
        <v>1</v>
      </c>
      <c r="AR18" s="97">
        <f ca="1">SUMIF(Страна!A:A,M18,Страна!B:B)</f>
        <v>1</v>
      </c>
      <c r="AS18" s="64" t="e">
        <f ca="1">IF(VLOOKUP(V18,Товары!A:B,2,FALSE)=A18,"Есть в 1С","ERR")</f>
        <v>#N/A</v>
      </c>
      <c r="AT18" s="65" t="e">
        <f ca="1">IF(VLOOKUP(A18,Товары!B:B,1,FALSE)=A18,"Есть в 1С","ERR")</f>
        <v>#N/A</v>
      </c>
      <c r="AU18" s="96" t="e">
        <f ca="1">VLOOKUP(V18,Товары!A:B,2,FALSE)</f>
        <v>#N/A</v>
      </c>
      <c r="AV18" s="94" t="e">
        <f ca="1">VLOOKUP(V18,Товары!A:B,1,FALSE)</f>
        <v>#N/A</v>
      </c>
    </row>
    <row r="19" spans="1:48" x14ac:dyDescent="0.25">
      <c r="A19" s="110" t="str">
        <f t="shared" ca="1" si="2"/>
        <v>02-684-08</v>
      </c>
      <c r="B19" s="107" t="str">
        <f ca="1">_xlfn.LET(_xlpm.CAPS,1,_xlpm.Style,TRIM(_xlfn.XLOOKUP($A19,Строчный!$A:$A,Строчный!B:B,"ERR",0)),IF(_xlpm.CAPS=0,_xlpm.Style,UPPER(_xlpm.Style)))</f>
        <v>1113102 TRILBY LINEN</v>
      </c>
      <c r="C19" s="81" t="str">
        <f ca="1">TRIM(PROPER(_xlfn.XLOOKUP($A19,Строчный!$A:$A,Строчный!C:C,"ERR",0)))</f>
        <v>Шляпы</v>
      </c>
      <c r="D19" s="81" t="str">
        <f ca="1">_xlfn.LET(_xlpm.DATA,TRIM(_xlfn.XLOOKUP($A19,Строчный!$A:$A,Строчный!D:D,"ERR",0)),UPPER(MID(_xlpm.DATA,1,1))&amp;LOWER(MID(_xlpm.DATA,2,LEN(_xlpm.DATA)-1)))</f>
        <v>Шляпа трилби</v>
      </c>
      <c r="E19" s="81" t="str">
        <f ca="1">PROPER(TRIM(_xlfn.XLOOKUP($A19,Строчный!$A:$A,Строчный!E:E,"ERR",0)))</f>
        <v>Stetson</v>
      </c>
      <c r="F19" s="81" t="str">
        <f ca="1">LOWER(TRIM(_xlfn.XLOOKUP($A19,Строчный!$A:$A,Строчный!F:F,"ERR",0)))</f>
        <v>летний</v>
      </c>
      <c r="G19" s="81" t="str">
        <f ca="1">UPPER(TRIM(_xlfn.XLOOKUP($A19,Строчный!$A:$A,Строчный!G:G,"ERR",0)))</f>
        <v>STETSON</v>
      </c>
      <c r="H19" s="81" t="str">
        <f ca="1">LOWER(TRIM(_xlfn.XLOOKUP($A19,Строчный!$A:$A,Строчный!H:H,"ERR",0)))</f>
        <v>31</v>
      </c>
      <c r="I19" s="81" t="str">
        <f ca="1">LOWER(TRIM(_xlfn.XLOOKUP($A19,Строчный!$A:$A,Строчный!I:I,"ERR",0)))</f>
        <v>серый</v>
      </c>
      <c r="J19" s="81" t="str">
        <f ca="1">SUBSTITUTE(LOWER(TRIM(_xlfn.XLOOKUP($A19,Строчный!$A:$A,Строчный!J:J,"ERR",0))),"подклад","Подклад")</f>
        <v>100% лен / Подклад: 68% хлопок - 32% полиэстер</v>
      </c>
      <c r="K19" s="81" t="str">
        <f ca="1">LOWER(TRIM(_xlfn.XLOOKUP($A19,Строчный!$A:$A,Строчный!K:K,"ERR",0)))</f>
        <v>льняные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Италия</v>
      </c>
      <c r="N19" s="81" t="str">
        <f ca="1">UPPER(TRIM(_xlfn.XLOOKUP($A19,Строчный!$A:$A,Строчный!O:O,"ERR",0)))</f>
        <v/>
      </c>
      <c r="O19" s="107" t="str">
        <f ca="1">PROPER(TRIM(_xlfn.XLOOKUP($A19,Строчный!$A:$A,Строчный!P:P,"ERR",0)))</f>
        <v/>
      </c>
      <c r="P19" s="90">
        <f ca="1">VALUE(_xlfn.XLOOKUP($A19,Строчный!$A:$A,Строчный!N:N,"ERR",0))</f>
        <v>2365.6880000000001</v>
      </c>
      <c r="Q19" s="89" t="str">
        <f ca="1">_xlfn.XLOOKUP($G19,Фабрика!A:A,Фабрика!B:B,"ERR",0)</f>
        <v>Friedrich W. Schneider GmbH &amp; Co. KG; Oskar-Schindler-Str. 11, D 50769 Köln, Germany</v>
      </c>
      <c r="R19" s="80" t="str">
        <f ca="1">_xlfn.XLOOKUP(RIGHT(Z19,2),Размеры!D:D,Размеры!A:A,"ERR",0)</f>
        <v>57</v>
      </c>
      <c r="S19" s="80">
        <f ca="1">VALUE(_xlfn.XLOOKUP($Z19,Строчный!$R:$R,Строчный!T:T,"ERR",0))</f>
        <v>6</v>
      </c>
      <c r="T19" s="14" t="s">
        <v>265</v>
      </c>
      <c r="U19" s="101" t="str">
        <f t="shared" ca="1" si="3"/>
        <v>Шляпа STETSON арт. 1113102 TRILBY LINEN (серый)</v>
      </c>
      <c r="V19" s="100" t="str">
        <f t="shared" ca="1" si="4"/>
        <v>Шляпа STETSON арт. 1113102 TRILBY LINEN (серый) {31}</v>
      </c>
      <c r="W19" s="18" t="str">
        <f t="shared" ca="1" si="0"/>
        <v>серый</v>
      </c>
      <c r="X19" s="18" t="str">
        <f t="shared" ca="1" si="1"/>
        <v>серый</v>
      </c>
      <c r="Y19" s="117" t="str">
        <f ca="1">_xlfn.LET(_xlpm.FormColors,_xlfn.XLOOKUP(A19,Строчный!A:A,Строчный!Q:Q,"",0),IF(_xlpm.FormColors=0,IFERROR(MID(I19,FIND("-",I19)+1,LEN(I19)),IFERROR(MID(I19,1,FIND("/",I19)-2),I19)),_xlpm.FormColors))</f>
        <v>серый</v>
      </c>
      <c r="Z19" s="73" t="str">
        <f ca="1"/>
        <v>02-684-08-57</v>
      </c>
      <c r="AA19" s="75" t="str">
        <f ca="1">VLOOKUP(C19,Группа!A:B,2,FALSE)</f>
        <v>Шляпа</v>
      </c>
      <c r="AB19" s="97" t="str">
        <f ca="1">IFERROR(VLOOKUP(R19,Размеры!A:C,3,FALSE),"")</f>
        <v>57 M</v>
      </c>
      <c r="AC19" s="97" t="str">
        <f ca="1">VLOOKUP(I19,ЦветПолный!A:B,2,FALSE)</f>
        <v>08</v>
      </c>
      <c r="AD19" s="97" t="str">
        <f ca="1">IFERROR(VLOOKUP(R19,Размеры!A:D,4,FALSE),"")</f>
        <v>57</v>
      </c>
      <c r="AE19" s="97">
        <f ca="1">IF(LEFT(IFERROR(VLOOKUP(LOOKUP(2,1/SEARCH(B19,Товары!A:A),Товары!A:A),Товары!A:B,2,0),""),6)=MID(Z19,1,6),1,0)</f>
        <v>0</v>
      </c>
      <c r="AG19" s="97">
        <f ca="1">SUMIF(Группа!A:A,C19,Группа!C:C)</f>
        <v>1</v>
      </c>
      <c r="AH19" s="97">
        <f ca="1">SUMIF(Группа!B:B,AA19,Группа!C:C)</f>
        <v>1</v>
      </c>
      <c r="AI19" s="97">
        <f ca="1">SUMIF(Формы!A:A,D19,Формы!B:B)</f>
        <v>1</v>
      </c>
      <c r="AJ19" s="97">
        <f ca="1">SUMIF(Материал!A:A,K19,Материал!B:B)</f>
        <v>1</v>
      </c>
      <c r="AK19" s="97">
        <f ca="1">SUMIF(Размеры!A:A,R19,Размеры!E:E)</f>
        <v>1</v>
      </c>
      <c r="AL19" s="97">
        <f ca="1">SUMIF(Сезон!A:A,F19,Сезон!B:B)</f>
        <v>1</v>
      </c>
      <c r="AM19" s="97">
        <f ca="1">SUMIF(Состав!A:A,J19,Состав!B:B)</f>
        <v>0</v>
      </c>
      <c r="AN19" s="97">
        <f ca="1">VLOOKUP(I19,ЦветПолный!A:C,3,0)</f>
        <v>1</v>
      </c>
      <c r="AO19" s="97">
        <f ca="1">SUMIF(Цвет!A:A,Y19,Цвет!B:B)</f>
        <v>1</v>
      </c>
      <c r="AP19" s="97">
        <f ca="1">_xlfn.XLOOKUP(L19,Пол!A:A,Пол!B:B,0,0)</f>
        <v>1</v>
      </c>
      <c r="AQ19" s="97">
        <f ca="1">SUMIF(Марка!A:A,G19,Марка!B:B)</f>
        <v>1</v>
      </c>
      <c r="AR19" s="97">
        <f ca="1">SUMIF(Страна!A:A,M19,Страна!B:B)</f>
        <v>1</v>
      </c>
      <c r="AS19" s="64" t="e">
        <f ca="1">IF(VLOOKUP(V19,Товары!A:B,2,FALSE)=A19,"Есть в 1С","ERR")</f>
        <v>#N/A</v>
      </c>
      <c r="AT19" s="65" t="e">
        <f ca="1">IF(VLOOKUP(A19,Товары!B:B,1,FALSE)=A19,"Есть в 1С","ERR")</f>
        <v>#N/A</v>
      </c>
      <c r="AU19" s="96" t="e">
        <f ca="1">VLOOKUP(V19,Товары!A:B,2,FALSE)</f>
        <v>#N/A</v>
      </c>
      <c r="AV19" s="94" t="e">
        <f ca="1">VLOOKUP(V19,Товары!A:B,1,FALSE)</f>
        <v>#N/A</v>
      </c>
    </row>
    <row r="20" spans="1:48" x14ac:dyDescent="0.25">
      <c r="A20" s="110" t="str">
        <f t="shared" ca="1" si="2"/>
        <v>02-684-08</v>
      </c>
      <c r="B20" s="107" t="str">
        <f ca="1">_xlfn.LET(_xlpm.CAPS,1,_xlpm.Style,TRIM(_xlfn.XLOOKUP($A20,Строчный!$A:$A,Строчный!B:B,"ERR",0)),IF(_xlpm.CAPS=0,_xlpm.Style,UPPER(_xlpm.Style)))</f>
        <v>1113102 TRILBY LINEN</v>
      </c>
      <c r="C20" s="81" t="str">
        <f ca="1">TRIM(PROPER(_xlfn.XLOOKUP($A20,Строчный!$A:$A,Строчный!C:C,"ERR",0)))</f>
        <v>Шляпы</v>
      </c>
      <c r="D20" s="81" t="str">
        <f ca="1">_xlfn.LET(_xlpm.DATA,TRIM(_xlfn.XLOOKUP($A20,Строчный!$A:$A,Строчный!D:D,"ERR",0)),UPPER(MID(_xlpm.DATA,1,1))&amp;LOWER(MID(_xlpm.DATA,2,LEN(_xlpm.DATA)-1)))</f>
        <v>Шляпа трилби</v>
      </c>
      <c r="E20" s="81" t="str">
        <f ca="1">PROPER(TRIM(_xlfn.XLOOKUP($A20,Строчный!$A:$A,Строчный!E:E,"ERR",0)))</f>
        <v>Stetson</v>
      </c>
      <c r="F20" s="81" t="str">
        <f ca="1">LOWER(TRIM(_xlfn.XLOOKUP($A20,Строчный!$A:$A,Строчный!F:F,"ERR",0)))</f>
        <v>летний</v>
      </c>
      <c r="G20" s="81" t="str">
        <f ca="1">UPPER(TRIM(_xlfn.XLOOKUP($A20,Строчный!$A:$A,Строчный!G:G,"ERR",0)))</f>
        <v>STETSON</v>
      </c>
      <c r="H20" s="81" t="str">
        <f ca="1">LOWER(TRIM(_xlfn.XLOOKUP($A20,Строчный!$A:$A,Строчный!H:H,"ERR",0)))</f>
        <v>31</v>
      </c>
      <c r="I20" s="81" t="str">
        <f ca="1">LOWER(TRIM(_xlfn.XLOOKUP($A20,Строчный!$A:$A,Строчный!I:I,"ERR",0)))</f>
        <v>серый</v>
      </c>
      <c r="J20" s="81" t="str">
        <f ca="1">SUBSTITUTE(LOWER(TRIM(_xlfn.XLOOKUP($A20,Строчный!$A:$A,Строчный!J:J,"ERR",0))),"подклад","Подклад")</f>
        <v>100% лен / Подклад: 68% хлопок - 32% полиэстер</v>
      </c>
      <c r="K20" s="81" t="str">
        <f ca="1">LOWER(TRIM(_xlfn.XLOOKUP($A20,Строчный!$A:$A,Строчный!K:K,"ERR",0)))</f>
        <v>льняные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Италия</v>
      </c>
      <c r="N20" s="81" t="str">
        <f ca="1">UPPER(TRIM(_xlfn.XLOOKUP($A20,Строчный!$A:$A,Строчный!O:O,"ERR",0)))</f>
        <v/>
      </c>
      <c r="O20" s="107" t="str">
        <f ca="1">PROPER(TRIM(_xlfn.XLOOKUP($A20,Строчный!$A:$A,Строчный!P:P,"ERR",0)))</f>
        <v/>
      </c>
      <c r="P20" s="90">
        <f ca="1">VALUE(_xlfn.XLOOKUP($A20,Строчный!$A:$A,Строчный!N:N,"ERR",0))</f>
        <v>2365.6880000000001</v>
      </c>
      <c r="Q20" s="89" t="str">
        <f ca="1">_xlfn.XLOOKUP($G20,Фабрика!A:A,Фабрика!B:B,"ERR",0)</f>
        <v>Friedrich W. Schneider GmbH &amp; Co. KG; Oskar-Schindler-Str. 11, D 50769 Köln, Germany</v>
      </c>
      <c r="R20" s="80" t="str">
        <f ca="1">_xlfn.XLOOKUP(RIGHT(Z20,2),Размеры!D:D,Размеры!A:A,"ERR",0)</f>
        <v>55</v>
      </c>
      <c r="S20" s="80">
        <f ca="1">VALUE(_xlfn.XLOOKUP($Z20,Строчный!$R:$R,Строчный!T:T,"ERR",0))</f>
        <v>1</v>
      </c>
      <c r="T20" s="14" t="s">
        <v>265</v>
      </c>
      <c r="U20" s="101" t="str">
        <f t="shared" ca="1" si="3"/>
        <v>Шляпа STETSON арт. 1113102 TRILBY LINEN (серый)</v>
      </c>
      <c r="V20" s="100" t="str">
        <f t="shared" ca="1" si="4"/>
        <v>Шляпа STETSON арт. 1113102 TRILBY LINEN (серый) {31}</v>
      </c>
      <c r="W20" s="18" t="str">
        <f t="shared" ca="1" si="0"/>
        <v>серый</v>
      </c>
      <c r="X20" s="18" t="str">
        <f t="shared" ca="1" si="1"/>
        <v>серый</v>
      </c>
      <c r="Y20" s="117" t="str">
        <f ca="1">_xlfn.LET(_xlpm.FormColors,_xlfn.XLOOKUP(A20,Строчный!A:A,Строчный!Q:Q,"",0),IF(_xlpm.FormColors=0,IFERROR(MID(I20,FIND("-",I20)+1,LEN(I20)),IFERROR(MID(I20,1,FIND("/",I20)-2),I20)),_xlpm.FormColors))</f>
        <v>серый</v>
      </c>
      <c r="Z20" s="73" t="str">
        <f ca="1"/>
        <v>02-684-08-55</v>
      </c>
      <c r="AA20" s="75" t="str">
        <f ca="1">VLOOKUP(C20,Группа!A:B,2,FALSE)</f>
        <v>Шляпа</v>
      </c>
      <c r="AB20" s="97" t="str">
        <f ca="1">IFERROR(VLOOKUP(R20,Размеры!A:C,3,FALSE),"")</f>
        <v>55 S</v>
      </c>
      <c r="AC20" s="97" t="str">
        <f ca="1">VLOOKUP(I20,ЦветПолный!A:B,2,FALSE)</f>
        <v>08</v>
      </c>
      <c r="AD20" s="97" t="str">
        <f ca="1">IFERROR(VLOOKUP(R20,Размеры!A:D,4,FALSE),"")</f>
        <v>55</v>
      </c>
      <c r="AE20" s="97">
        <f ca="1">IF(LEFT(IFERROR(VLOOKUP(LOOKUP(2,1/SEARCH(B20,Товары!A:A),Товары!A:A),Товары!A:B,2,0),""),6)=MID(Z20,1,6),1,0)</f>
        <v>0</v>
      </c>
      <c r="AG20" s="97">
        <f ca="1">SUMIF(Группа!A:A,C20,Группа!C:C)</f>
        <v>1</v>
      </c>
      <c r="AH20" s="97">
        <f ca="1">SUMIF(Группа!B:B,AA20,Группа!C:C)</f>
        <v>1</v>
      </c>
      <c r="AI20" s="97">
        <f ca="1">SUMIF(Формы!A:A,D20,Формы!B:B)</f>
        <v>1</v>
      </c>
      <c r="AJ20" s="97">
        <f ca="1">SUMIF(Материал!A:A,K20,Материал!B:B)</f>
        <v>1</v>
      </c>
      <c r="AK20" s="97">
        <f ca="1">SUMIF(Размеры!A:A,R20,Размеры!E:E)</f>
        <v>1</v>
      </c>
      <c r="AL20" s="97">
        <f ca="1">SUMIF(Сезон!A:A,F20,Сезон!B:B)</f>
        <v>1</v>
      </c>
      <c r="AM20" s="97">
        <f ca="1">SUMIF(Состав!A:A,J20,Состав!B:B)</f>
        <v>0</v>
      </c>
      <c r="AN20" s="97">
        <f ca="1">VLOOKUP(I20,ЦветПолный!A:C,3,0)</f>
        <v>1</v>
      </c>
      <c r="AO20" s="97">
        <f ca="1">SUMIF(Цвет!A:A,Y20,Цвет!B:B)</f>
        <v>1</v>
      </c>
      <c r="AP20" s="97">
        <f ca="1">_xlfn.XLOOKUP(L20,Пол!A:A,Пол!B:B,0,0)</f>
        <v>1</v>
      </c>
      <c r="AQ20" s="97">
        <f ca="1">SUMIF(Марка!A:A,G20,Марка!B:B)</f>
        <v>1</v>
      </c>
      <c r="AR20" s="97">
        <f ca="1">SUMIF(Страна!A:A,M20,Страна!B:B)</f>
        <v>1</v>
      </c>
      <c r="AS20" s="64" t="e">
        <f ca="1">IF(VLOOKUP(V20,Товары!A:B,2,FALSE)=A20,"Есть в 1С","ERR")</f>
        <v>#N/A</v>
      </c>
      <c r="AT20" s="65" t="e">
        <f ca="1">IF(VLOOKUP(A20,Товары!B:B,1,FALSE)=A20,"Есть в 1С","ERR")</f>
        <v>#N/A</v>
      </c>
      <c r="AU20" s="96" t="e">
        <f ca="1">VLOOKUP(V20,Товары!A:B,2,FALSE)</f>
        <v>#N/A</v>
      </c>
      <c r="AV20" s="94" t="e">
        <f ca="1">VLOOKUP(V20,Товары!A:B,1,FALSE)</f>
        <v>#N/A</v>
      </c>
    </row>
    <row r="21" spans="1:48" x14ac:dyDescent="0.25">
      <c r="A21" s="110" t="str">
        <f t="shared" ca="1" si="2"/>
        <v>02-682-14</v>
      </c>
      <c r="B21" s="107" t="str">
        <f ca="1">_xlfn.LET(_xlpm.CAPS,1,_xlpm.Style,TRIM(_xlfn.XLOOKUP($A21,Строчный!$A:$A,Строчный!B:B,"ERR",0)),IF(_xlpm.CAPS=0,_xlpm.Style,UPPER(_xlpm.Style)))</f>
        <v>6843905 HATTERAS PATCHWORK</v>
      </c>
      <c r="C21" s="81" t="str">
        <f ca="1">TRIM(PROPER(_xlfn.XLOOKUP($A21,Строчный!$A:$A,Строчный!C:C,"ERR",0)))</f>
        <v>Кепки</v>
      </c>
      <c r="D21" s="81" t="str">
        <f ca="1">_xlfn.LET(_xlpm.DATA,TRIM(_xlfn.XLOOKUP($A21,Строчный!$A:$A,Строчный!D:D,"ERR",0)),UPPER(MID(_xlpm.DATA,1,1))&amp;LOWER(MID(_xlpm.DATA,2,LEN(_xlpm.DATA)-1)))</f>
        <v>Кепка восьмиклинка</v>
      </c>
      <c r="E21" s="81" t="str">
        <f ca="1">PROPER(TRIM(_xlfn.XLOOKUP($A21,Строчный!$A:$A,Строчный!E:E,"ERR",0)))</f>
        <v>Stetson</v>
      </c>
      <c r="F21" s="81" t="str">
        <f ca="1">LOWER(TRIM(_xlfn.XLOOKUP($A21,Строчный!$A:$A,Строчный!F:F,"ERR",0)))</f>
        <v>летний</v>
      </c>
      <c r="G21" s="81" t="str">
        <f ca="1">UPPER(TRIM(_xlfn.XLOOKUP($A21,Строчный!$A:$A,Строчный!G:G,"ERR",0)))</f>
        <v>STETSON</v>
      </c>
      <c r="H21" s="81" t="str">
        <f ca="1">LOWER(TRIM(_xlfn.XLOOKUP($A21,Строчный!$A:$A,Строчный!H:H,"ERR",0)))</f>
        <v>28</v>
      </c>
      <c r="I21" s="81" t="str">
        <f ca="1">LOWER(TRIM(_xlfn.XLOOKUP($A21,Строчный!$A:$A,Строчный!I:I,"ERR",0)))</f>
        <v>коричневый / синий</v>
      </c>
      <c r="J21" s="81" t="str">
        <f ca="1">SUBSTITUTE(LOWER(TRIM(_xlfn.XLOOKUP($A21,Строчный!$A:$A,Строчный!J:J,"ERR",0))),"подклад","Подклад")</f>
        <v>78% лен - 12% шерсть - 10% хлопок / Подклад: 68% хлопок - 32% полиэстер</v>
      </c>
      <c r="K21" s="81" t="str">
        <f ca="1">LOWER(TRIM(_xlfn.XLOOKUP($A21,Строчный!$A:$A,Строчный!K:K,"ERR",0)))</f>
        <v>льняные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Болгария</v>
      </c>
      <c r="N21" s="81" t="str">
        <f ca="1">UPPER(TRIM(_xlfn.XLOOKUP($A21,Строчный!$A:$A,Строчный!O:O,"ERR",0)))</f>
        <v/>
      </c>
      <c r="O21" s="107" t="str">
        <f ca="1">PROPER(TRIM(_xlfn.XLOOKUP($A21,Строчный!$A:$A,Строчный!P:P,"ERR",0)))</f>
        <v/>
      </c>
      <c r="P21" s="90">
        <f ca="1">VALUE(_xlfn.XLOOKUP($A21,Строчный!$A:$A,Строчный!N:N,"ERR",0))</f>
        <v>2365.6880000000001</v>
      </c>
      <c r="Q21" s="89" t="str">
        <f ca="1">_xlfn.XLOOKUP($G21,Фабрика!A:A,Фабрика!B:B,"ERR",0)</f>
        <v>Friedrich W. Schneider GmbH &amp; Co. KG; Oskar-Schindler-Str. 11, D 50769 Köln, Germany</v>
      </c>
      <c r="R21" s="80" t="str">
        <f ca="1">_xlfn.XLOOKUP(RIGHT(Z21,2),Размеры!D:D,Размеры!A:A,"ERR",0)</f>
        <v>63</v>
      </c>
      <c r="S21" s="80">
        <f ca="1">VALUE(_xlfn.XLOOKUP($Z21,Строчный!$R:$R,Строчный!T:T,"ERR",0))</f>
        <v>3</v>
      </c>
      <c r="T21" s="14" t="s">
        <v>265</v>
      </c>
      <c r="U21" s="101" t="str">
        <f t="shared" ca="1" si="3"/>
        <v>Кепка STETSON арт. 6843905 HATTERAS PATCHWORK (коричневый / синий)</v>
      </c>
      <c r="V21" s="100" t="str">
        <f t="shared" ca="1" si="4"/>
        <v>Кепка STETSON арт. 6843905 HATTERAS PATCHWORK (коричневый / синий) {28}</v>
      </c>
      <c r="W21" s="18" t="str">
        <f t="shared" ca="1" si="0"/>
        <v>коричневый</v>
      </c>
      <c r="X21" s="18" t="str">
        <f t="shared" ca="1" si="1"/>
        <v>синий</v>
      </c>
      <c r="Y21" s="117" t="str">
        <f ca="1">_xlfn.LET(_xlpm.FormColors,_xlfn.XLOOKUP(A21,Строчный!A:A,Строчный!Q:Q,"",0),IF(_xlpm.FormColors=0,IFERROR(MID(I21,FIND("-",I21)+1,LEN(I21)),IFERROR(MID(I21,1,FIND("/",I21)-2),I21)),_xlpm.FormColors))</f>
        <v>коричневый</v>
      </c>
      <c r="Z21" s="73" t="str">
        <f ca="1"/>
        <v>02-682-14-63</v>
      </c>
      <c r="AA21" s="75" t="str">
        <f ca="1">VLOOKUP(C21,Группа!A:B,2,FALSE)</f>
        <v>Кепка</v>
      </c>
      <c r="AB21" s="97" t="str">
        <f ca="1">IFERROR(VLOOKUP(R21,Размеры!A:C,3,FALSE),"")</f>
        <v>63 XXL</v>
      </c>
      <c r="AC21" s="97" t="str">
        <f ca="1">VLOOKUP(I21,ЦветПолный!A:B,2,FALSE)</f>
        <v>14</v>
      </c>
      <c r="AD21" s="97" t="str">
        <f ca="1">IFERROR(VLOOKUP(R21,Размеры!A:D,4,FALSE),"")</f>
        <v>63</v>
      </c>
      <c r="AE21" s="97">
        <f ca="1">IF(LEFT(IFERROR(VLOOKUP(LOOKUP(2,1/SEARCH(B21,Товары!A:A),Товары!A:A),Товары!A:B,2,0),""),6)=MID(Z21,1,6),1,0)</f>
        <v>0</v>
      </c>
      <c r="AG21" s="97">
        <f ca="1">SUMIF(Группа!A:A,C21,Группа!C:C)</f>
        <v>1</v>
      </c>
      <c r="AH21" s="97">
        <f ca="1">SUMIF(Группа!B:B,AA21,Группа!C:C)</f>
        <v>1</v>
      </c>
      <c r="AI21" s="97">
        <f ca="1">SUMIF(Формы!A:A,D21,Формы!B:B)</f>
        <v>1</v>
      </c>
      <c r="AJ21" s="97">
        <f ca="1">SUMIF(Материал!A:A,K21,Материал!B:B)</f>
        <v>1</v>
      </c>
      <c r="AK21" s="97">
        <f ca="1">SUMIF(Размеры!A:A,R21,Размеры!E:E)</f>
        <v>1</v>
      </c>
      <c r="AL21" s="97">
        <f ca="1">SUMIF(Сезон!A:A,F21,Сезон!B:B)</f>
        <v>1</v>
      </c>
      <c r="AM21" s="97">
        <f ca="1">SUMIF(Состав!A:A,J21,Состав!B:B)</f>
        <v>0</v>
      </c>
      <c r="AN21" s="97">
        <f ca="1">VLOOKUP(I21,ЦветПолный!A:C,3,0)</f>
        <v>1</v>
      </c>
      <c r="AO21" s="97">
        <f ca="1">SUMIF(Цвет!A:A,Y21,Цвет!B:B)</f>
        <v>1</v>
      </c>
      <c r="AP21" s="97">
        <f ca="1">_xlfn.XLOOKUP(L21,Пол!A:A,Пол!B:B,0,0)</f>
        <v>1</v>
      </c>
      <c r="AQ21" s="97">
        <f ca="1">SUMIF(Марка!A:A,G21,Марка!B:B)</f>
        <v>1</v>
      </c>
      <c r="AR21" s="97">
        <f ca="1">SUMIF(Страна!A:A,M21,Страна!B:B)</f>
        <v>1</v>
      </c>
      <c r="AS21" s="64" t="e">
        <f ca="1">IF(VLOOKUP(V21,Товары!A:B,2,FALSE)=A21,"Есть в 1С","ERR")</f>
        <v>#N/A</v>
      </c>
      <c r="AT21" s="65" t="e">
        <f ca="1">IF(VLOOKUP(A21,Товары!B:B,1,FALSE)=A21,"Есть в 1С","ERR")</f>
        <v>#N/A</v>
      </c>
      <c r="AU21" s="96" t="e">
        <f ca="1">VLOOKUP(V21,Товары!A:B,2,FALSE)</f>
        <v>#N/A</v>
      </c>
      <c r="AV21" s="94" t="e">
        <f ca="1">VLOOKUP(V21,Товары!A:B,1,FALSE)</f>
        <v>#N/A</v>
      </c>
    </row>
    <row r="22" spans="1:48" x14ac:dyDescent="0.25">
      <c r="A22" s="110" t="str">
        <f t="shared" ca="1" si="2"/>
        <v>02-682-14</v>
      </c>
      <c r="B22" s="107" t="str">
        <f ca="1">_xlfn.LET(_xlpm.CAPS,1,_xlpm.Style,TRIM(_xlfn.XLOOKUP($A22,Строчный!$A:$A,Строчный!B:B,"ERR",0)),IF(_xlpm.CAPS=0,_xlpm.Style,UPPER(_xlpm.Style)))</f>
        <v>6843905 HATTERAS PATCHWORK</v>
      </c>
      <c r="C22" s="81" t="str">
        <f ca="1">TRIM(PROPER(_xlfn.XLOOKUP($A22,Строчный!$A:$A,Строчный!C:C,"ERR",0)))</f>
        <v>Кепки</v>
      </c>
      <c r="D22" s="81" t="str">
        <f ca="1">_xlfn.LET(_xlpm.DATA,TRIM(_xlfn.XLOOKUP($A22,Строчный!$A:$A,Строчный!D:D,"ERR",0)),UPPER(MID(_xlpm.DATA,1,1))&amp;LOWER(MID(_xlpm.DATA,2,LEN(_xlpm.DATA)-1)))</f>
        <v>Кепка восьмиклинка</v>
      </c>
      <c r="E22" s="81" t="str">
        <f ca="1">PROPER(TRIM(_xlfn.XLOOKUP($A22,Строчный!$A:$A,Строчный!E:E,"ERR",0)))</f>
        <v>Stetson</v>
      </c>
      <c r="F22" s="81" t="str">
        <f ca="1">LOWER(TRIM(_xlfn.XLOOKUP($A22,Строчный!$A:$A,Строчный!F:F,"ERR",0)))</f>
        <v>летний</v>
      </c>
      <c r="G22" s="81" t="str">
        <f ca="1">UPPER(TRIM(_xlfn.XLOOKUP($A22,Строчный!$A:$A,Строчный!G:G,"ERR",0)))</f>
        <v>STETSON</v>
      </c>
      <c r="H22" s="81" t="str">
        <f ca="1">LOWER(TRIM(_xlfn.XLOOKUP($A22,Строчный!$A:$A,Строчный!H:H,"ERR",0)))</f>
        <v>28</v>
      </c>
      <c r="I22" s="81" t="str">
        <f ca="1">LOWER(TRIM(_xlfn.XLOOKUP($A22,Строчный!$A:$A,Строчный!I:I,"ERR",0)))</f>
        <v>коричневый / синий</v>
      </c>
      <c r="J22" s="81" t="str">
        <f ca="1">SUBSTITUTE(LOWER(TRIM(_xlfn.XLOOKUP($A22,Строчный!$A:$A,Строчный!J:J,"ERR",0))),"подклад","Подклад")</f>
        <v>78% лен - 12% шерсть - 10% хлопок / Подклад: 68% хлопок - 32% полиэстер</v>
      </c>
      <c r="K22" s="81" t="str">
        <f ca="1">LOWER(TRIM(_xlfn.XLOOKUP($A22,Строчный!$A:$A,Строчный!K:K,"ERR",0)))</f>
        <v>льняные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Болгария</v>
      </c>
      <c r="N22" s="81" t="str">
        <f ca="1">UPPER(TRIM(_xlfn.XLOOKUP($A22,Строчный!$A:$A,Строчный!O:O,"ERR",0)))</f>
        <v/>
      </c>
      <c r="O22" s="107" t="str">
        <f ca="1">PROPER(TRIM(_xlfn.XLOOKUP($A22,Строчный!$A:$A,Строчный!P:P,"ERR",0)))</f>
        <v/>
      </c>
      <c r="P22" s="90">
        <f ca="1">VALUE(_xlfn.XLOOKUP($A22,Строчный!$A:$A,Строчный!N:N,"ERR",0))</f>
        <v>2365.6880000000001</v>
      </c>
      <c r="Q22" s="89" t="str">
        <f ca="1">_xlfn.XLOOKUP($G22,Фабрика!A:A,Фабрика!B:B,"ERR",0)</f>
        <v>Friedrich W. Schneider GmbH &amp; Co. KG; Oskar-Schindler-Str. 11, D 50769 Köln, Germany</v>
      </c>
      <c r="R22" s="80" t="str">
        <f ca="1">_xlfn.XLOOKUP(RIGHT(Z22,2),Размеры!D:D,Размеры!A:A,"ERR",0)</f>
        <v>61</v>
      </c>
      <c r="S22" s="80">
        <f ca="1">VALUE(_xlfn.XLOOKUP($Z22,Строчный!$R:$R,Строчный!T:T,"ERR",0))</f>
        <v>7</v>
      </c>
      <c r="T22" s="14" t="s">
        <v>265</v>
      </c>
      <c r="U22" s="101" t="str">
        <f t="shared" ca="1" si="3"/>
        <v>Кепка STETSON арт. 6843905 HATTERAS PATCHWORK (коричневый / синий)</v>
      </c>
      <c r="V22" s="100" t="str">
        <f t="shared" ca="1" si="4"/>
        <v>Кепка STETSON арт. 6843905 HATTERAS PATCHWORK (коричневый / синий) {28}</v>
      </c>
      <c r="W22" s="18" t="str">
        <f t="shared" ca="1" si="0"/>
        <v>коричневый</v>
      </c>
      <c r="X22" s="18" t="str">
        <f t="shared" ca="1" si="1"/>
        <v>синий</v>
      </c>
      <c r="Y22" s="117" t="str">
        <f ca="1">_xlfn.LET(_xlpm.FormColors,_xlfn.XLOOKUP(A22,Строчный!A:A,Строчный!Q:Q,"",0),IF(_xlpm.FormColors=0,IFERROR(MID(I22,FIND("-",I22)+1,LEN(I22)),IFERROR(MID(I22,1,FIND("/",I22)-2),I22)),_xlpm.FormColors))</f>
        <v>коричневый</v>
      </c>
      <c r="Z22" s="73" t="str">
        <f ca="1"/>
        <v>02-682-14-61</v>
      </c>
      <c r="AA22" s="75" t="str">
        <f ca="1">VLOOKUP(C22,Группа!A:B,2,FALSE)</f>
        <v>Кепка</v>
      </c>
      <c r="AB22" s="97" t="str">
        <f ca="1">IFERROR(VLOOKUP(R22,Размеры!A:C,3,FALSE),"")</f>
        <v>61 XL</v>
      </c>
      <c r="AC22" s="97" t="str">
        <f ca="1">VLOOKUP(I22,ЦветПолный!A:B,2,FALSE)</f>
        <v>14</v>
      </c>
      <c r="AD22" s="97" t="str">
        <f ca="1">IFERROR(VLOOKUP(R22,Размеры!A:D,4,FALSE),"")</f>
        <v>61</v>
      </c>
      <c r="AE22" s="97">
        <f ca="1">IF(LEFT(IFERROR(VLOOKUP(LOOKUP(2,1/SEARCH(B22,Товары!A:A),Товары!A:A),Товары!A:B,2,0),""),6)=MID(Z22,1,6),1,0)</f>
        <v>0</v>
      </c>
      <c r="AG22" s="97">
        <f ca="1">SUMIF(Группа!A:A,C22,Группа!C:C)</f>
        <v>1</v>
      </c>
      <c r="AH22" s="97">
        <f ca="1">SUMIF(Группа!B:B,AA22,Группа!C:C)</f>
        <v>1</v>
      </c>
      <c r="AI22" s="97">
        <f ca="1">SUMIF(Формы!A:A,D22,Формы!B:B)</f>
        <v>1</v>
      </c>
      <c r="AJ22" s="97">
        <f ca="1">SUMIF(Материал!A:A,K22,Материал!B:B)</f>
        <v>1</v>
      </c>
      <c r="AK22" s="97">
        <f ca="1">SUMIF(Размеры!A:A,R22,Размеры!E:E)</f>
        <v>1</v>
      </c>
      <c r="AL22" s="97">
        <f ca="1">SUMIF(Сезон!A:A,F22,Сезон!B:B)</f>
        <v>1</v>
      </c>
      <c r="AM22" s="97">
        <f ca="1">SUMIF(Состав!A:A,J22,Состав!B:B)</f>
        <v>0</v>
      </c>
      <c r="AN22" s="97">
        <f ca="1">VLOOKUP(I22,ЦветПолный!A:C,3,0)</f>
        <v>1</v>
      </c>
      <c r="AO22" s="97">
        <f ca="1">SUMIF(Цвет!A:A,Y22,Цвет!B:B)</f>
        <v>1</v>
      </c>
      <c r="AP22" s="97">
        <f ca="1">_xlfn.XLOOKUP(L22,Пол!A:A,Пол!B:B,0,0)</f>
        <v>1</v>
      </c>
      <c r="AQ22" s="97">
        <f ca="1">SUMIF(Марка!A:A,G22,Марка!B:B)</f>
        <v>1</v>
      </c>
      <c r="AR22" s="97">
        <f ca="1">SUMIF(Страна!A:A,M22,Страна!B:B)</f>
        <v>1</v>
      </c>
      <c r="AS22" s="64" t="e">
        <f ca="1">IF(VLOOKUP(V22,Товары!A:B,2,FALSE)=A22,"Есть в 1С","ERR")</f>
        <v>#N/A</v>
      </c>
      <c r="AT22" s="65" t="e">
        <f ca="1">IF(VLOOKUP(A22,Товары!B:B,1,FALSE)=A22,"Есть в 1С","ERR")</f>
        <v>#N/A</v>
      </c>
      <c r="AU22" s="96" t="e">
        <f ca="1">VLOOKUP(V22,Товары!A:B,2,FALSE)</f>
        <v>#N/A</v>
      </c>
      <c r="AV22" s="94" t="e">
        <f ca="1">VLOOKUP(V22,Товары!A:B,1,FALSE)</f>
        <v>#N/A</v>
      </c>
    </row>
    <row r="23" spans="1:48" x14ac:dyDescent="0.25">
      <c r="A23" s="110" t="str">
        <f t="shared" ca="1" si="2"/>
        <v>02-682-14</v>
      </c>
      <c r="B23" s="107" t="str">
        <f ca="1">_xlfn.LET(_xlpm.CAPS,1,_xlpm.Style,TRIM(_xlfn.XLOOKUP($A23,Строчный!$A:$A,Строчный!B:B,"ERR",0)),IF(_xlpm.CAPS=0,_xlpm.Style,UPPER(_xlpm.Style)))</f>
        <v>6843905 HATTERAS PATCHWORK</v>
      </c>
      <c r="C23" s="81" t="str">
        <f ca="1">TRIM(PROPER(_xlfn.XLOOKUP($A23,Строчный!$A:$A,Строчный!C:C,"ERR",0)))</f>
        <v>Кепки</v>
      </c>
      <c r="D23" s="81" t="str">
        <f ca="1">_xlfn.LET(_xlpm.DATA,TRIM(_xlfn.XLOOKUP($A23,Строчный!$A:$A,Строчный!D:D,"ERR",0)),UPPER(MID(_xlpm.DATA,1,1))&amp;LOWER(MID(_xlpm.DATA,2,LEN(_xlpm.DATA)-1)))</f>
        <v>Кепка восьмиклинка</v>
      </c>
      <c r="E23" s="81" t="str">
        <f ca="1">PROPER(TRIM(_xlfn.XLOOKUP($A23,Строчный!$A:$A,Строчный!E:E,"ERR",0)))</f>
        <v>Stetson</v>
      </c>
      <c r="F23" s="81" t="str">
        <f ca="1">LOWER(TRIM(_xlfn.XLOOKUP($A23,Строчный!$A:$A,Строчный!F:F,"ERR",0)))</f>
        <v>летний</v>
      </c>
      <c r="G23" s="81" t="str">
        <f ca="1">UPPER(TRIM(_xlfn.XLOOKUP($A23,Строчный!$A:$A,Строчный!G:G,"ERR",0)))</f>
        <v>STETSON</v>
      </c>
      <c r="H23" s="81" t="str">
        <f ca="1">LOWER(TRIM(_xlfn.XLOOKUP($A23,Строчный!$A:$A,Строчный!H:H,"ERR",0)))</f>
        <v>28</v>
      </c>
      <c r="I23" s="81" t="str">
        <f ca="1">LOWER(TRIM(_xlfn.XLOOKUP($A23,Строчный!$A:$A,Строчный!I:I,"ERR",0)))</f>
        <v>коричневый / синий</v>
      </c>
      <c r="J23" s="81" t="str">
        <f ca="1">SUBSTITUTE(LOWER(TRIM(_xlfn.XLOOKUP($A23,Строчный!$A:$A,Строчный!J:J,"ERR",0))),"подклад","Подклад")</f>
        <v>78% лен - 12% шерсть - 10% хлопок / Подклад: 68% хлопок - 32% полиэстер</v>
      </c>
      <c r="K23" s="81" t="str">
        <f ca="1">LOWER(TRIM(_xlfn.XLOOKUP($A23,Строчный!$A:$A,Строчный!K:K,"ERR",0)))</f>
        <v>льняные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Болгария</v>
      </c>
      <c r="N23" s="81" t="str">
        <f ca="1">UPPER(TRIM(_xlfn.XLOOKUP($A23,Строчный!$A:$A,Строчный!O:O,"ERR",0)))</f>
        <v/>
      </c>
      <c r="O23" s="107" t="str">
        <f ca="1">PROPER(TRIM(_xlfn.XLOOKUP($A23,Строчный!$A:$A,Строчный!P:P,"ERR",0)))</f>
        <v/>
      </c>
      <c r="P23" s="90">
        <f ca="1">VALUE(_xlfn.XLOOKUP($A23,Строчный!$A:$A,Строчный!N:N,"ERR",0))</f>
        <v>2365.6880000000001</v>
      </c>
      <c r="Q23" s="89" t="str">
        <f ca="1">_xlfn.XLOOKUP($G23,Фабрика!A:A,Фабрика!B:B,"ERR",0)</f>
        <v>Friedrich W. Schneider GmbH &amp; Co. KG; Oskar-Schindler-Str. 11, D 50769 Köln, Germany</v>
      </c>
      <c r="R23" s="80" t="str">
        <f ca="1">_xlfn.XLOOKUP(RIGHT(Z23,2),Размеры!D:D,Размеры!A:A,"ERR",0)</f>
        <v>59</v>
      </c>
      <c r="S23" s="80">
        <f ca="1">VALUE(_xlfn.XLOOKUP($Z23,Строчный!$R:$R,Строчный!T:T,"ERR",0))</f>
        <v>9</v>
      </c>
      <c r="T23" s="14" t="s">
        <v>265</v>
      </c>
      <c r="U23" s="101" t="str">
        <f t="shared" ca="1" si="3"/>
        <v>Кепка STETSON арт. 6843905 HATTERAS PATCHWORK (коричневый / синий)</v>
      </c>
      <c r="V23" s="100" t="str">
        <f t="shared" ca="1" si="4"/>
        <v>Кепка STETSON арт. 6843905 HATTERAS PATCHWORK (коричневый / синий) {28}</v>
      </c>
      <c r="W23" s="18" t="str">
        <f t="shared" ca="1" si="0"/>
        <v>коричневый</v>
      </c>
      <c r="X23" s="18" t="str">
        <f t="shared" ca="1" si="1"/>
        <v>синий</v>
      </c>
      <c r="Y23" s="117" t="str">
        <f ca="1">_xlfn.LET(_xlpm.FormColors,_xlfn.XLOOKUP(A23,Строчный!A:A,Строчный!Q:Q,"",0),IF(_xlpm.FormColors=0,IFERROR(MID(I23,FIND("-",I23)+1,LEN(I23)),IFERROR(MID(I23,1,FIND("/",I23)-2),I23)),_xlpm.FormColors))</f>
        <v>коричневый</v>
      </c>
      <c r="Z23" s="73" t="str">
        <f ca="1"/>
        <v>02-682-14-59</v>
      </c>
      <c r="AA23" s="75" t="str">
        <f ca="1">VLOOKUP(C23,Группа!A:B,2,FALSE)</f>
        <v>Кепка</v>
      </c>
      <c r="AB23" s="97" t="str">
        <f ca="1">IFERROR(VLOOKUP(R23,Размеры!A:C,3,FALSE),"")</f>
        <v>59 L</v>
      </c>
      <c r="AC23" s="97" t="str">
        <f ca="1">VLOOKUP(I23,ЦветПолный!A:B,2,FALSE)</f>
        <v>14</v>
      </c>
      <c r="AD23" s="97" t="str">
        <f ca="1">IFERROR(VLOOKUP(R23,Размеры!A:D,4,FALSE),"")</f>
        <v>59</v>
      </c>
      <c r="AE23" s="97">
        <f ca="1">IF(LEFT(IFERROR(VLOOKUP(LOOKUP(2,1/SEARCH(B23,Товары!A:A),Товары!A:A),Товары!A:B,2,0),""),6)=MID(Z23,1,6),1,0)</f>
        <v>0</v>
      </c>
      <c r="AG23" s="97">
        <f ca="1">SUMIF(Группа!A:A,C23,Группа!C:C)</f>
        <v>1</v>
      </c>
      <c r="AH23" s="97">
        <f ca="1">SUMIF(Группа!B:B,AA23,Группа!C:C)</f>
        <v>1</v>
      </c>
      <c r="AI23" s="97">
        <f ca="1">SUMIF(Формы!A:A,D23,Формы!B:B)</f>
        <v>1</v>
      </c>
      <c r="AJ23" s="97">
        <f ca="1">SUMIF(Материал!A:A,K23,Материал!B:B)</f>
        <v>1</v>
      </c>
      <c r="AK23" s="97">
        <f ca="1">SUMIF(Размеры!A:A,R23,Размеры!E:E)</f>
        <v>1</v>
      </c>
      <c r="AL23" s="97">
        <f ca="1">SUMIF(Сезон!A:A,F23,Сезон!B:B)</f>
        <v>1</v>
      </c>
      <c r="AM23" s="97">
        <f ca="1">SUMIF(Состав!A:A,J23,Состав!B:B)</f>
        <v>0</v>
      </c>
      <c r="AN23" s="97">
        <f ca="1">VLOOKUP(I23,ЦветПолный!A:C,3,0)</f>
        <v>1</v>
      </c>
      <c r="AO23" s="97">
        <f ca="1">SUMIF(Цвет!A:A,Y23,Цвет!B:B)</f>
        <v>1</v>
      </c>
      <c r="AP23" s="97">
        <f ca="1">_xlfn.XLOOKUP(L23,Пол!A:A,Пол!B:B,0,0)</f>
        <v>1</v>
      </c>
      <c r="AQ23" s="97">
        <f ca="1">SUMIF(Марка!A:A,G23,Марка!B:B)</f>
        <v>1</v>
      </c>
      <c r="AR23" s="97">
        <f ca="1">SUMIF(Страна!A:A,M23,Страна!B:B)</f>
        <v>1</v>
      </c>
      <c r="AS23" s="64" t="e">
        <f ca="1">IF(VLOOKUP(V23,Товары!A:B,2,FALSE)=A23,"Есть в 1С","ERR")</f>
        <v>#N/A</v>
      </c>
      <c r="AT23" s="65" t="e">
        <f ca="1">IF(VLOOKUP(A23,Товары!B:B,1,FALSE)=A23,"Есть в 1С","ERR")</f>
        <v>#N/A</v>
      </c>
      <c r="AU23" s="96" t="e">
        <f ca="1">VLOOKUP(V23,Товары!A:B,2,FALSE)</f>
        <v>#N/A</v>
      </c>
      <c r="AV23" s="94" t="e">
        <f ca="1">VLOOKUP(V23,Товары!A:B,1,FALSE)</f>
        <v>#N/A</v>
      </c>
    </row>
    <row r="24" spans="1:48" x14ac:dyDescent="0.25">
      <c r="A24" s="110" t="str">
        <f t="shared" ca="1" si="2"/>
        <v>02-682-14</v>
      </c>
      <c r="B24" s="107" t="str">
        <f ca="1">_xlfn.LET(_xlpm.CAPS,1,_xlpm.Style,TRIM(_xlfn.XLOOKUP($A24,Строчный!$A:$A,Строчный!B:B,"ERR",0)),IF(_xlpm.CAPS=0,_xlpm.Style,UPPER(_xlpm.Style)))</f>
        <v>6843905 HATTERAS PATCHWORK</v>
      </c>
      <c r="C24" s="81" t="str">
        <f ca="1">TRIM(PROPER(_xlfn.XLOOKUP($A24,Строчный!$A:$A,Строчный!C:C,"ERR",0)))</f>
        <v>Кепки</v>
      </c>
      <c r="D24" s="81" t="str">
        <f ca="1">_xlfn.LET(_xlpm.DATA,TRIM(_xlfn.XLOOKUP($A24,Строчный!$A:$A,Строчный!D:D,"ERR",0)),UPPER(MID(_xlpm.DATA,1,1))&amp;LOWER(MID(_xlpm.DATA,2,LEN(_xlpm.DATA)-1)))</f>
        <v>Кепка восьмиклинка</v>
      </c>
      <c r="E24" s="81" t="str">
        <f ca="1">PROPER(TRIM(_xlfn.XLOOKUP($A24,Строчный!$A:$A,Строчный!E:E,"ERR",0)))</f>
        <v>Stetson</v>
      </c>
      <c r="F24" s="81" t="str">
        <f ca="1">LOWER(TRIM(_xlfn.XLOOKUP($A24,Строчный!$A:$A,Строчный!F:F,"ERR",0)))</f>
        <v>летний</v>
      </c>
      <c r="G24" s="81" t="str">
        <f ca="1">UPPER(TRIM(_xlfn.XLOOKUP($A24,Строчный!$A:$A,Строчный!G:G,"ERR",0)))</f>
        <v>STETSON</v>
      </c>
      <c r="H24" s="81" t="str">
        <f ca="1">LOWER(TRIM(_xlfn.XLOOKUP($A24,Строчный!$A:$A,Строчный!H:H,"ERR",0)))</f>
        <v>28</v>
      </c>
      <c r="I24" s="81" t="str">
        <f ca="1">LOWER(TRIM(_xlfn.XLOOKUP($A24,Строчный!$A:$A,Строчный!I:I,"ERR",0)))</f>
        <v>коричневый / синий</v>
      </c>
      <c r="J24" s="81" t="str">
        <f ca="1">SUBSTITUTE(LOWER(TRIM(_xlfn.XLOOKUP($A24,Строчный!$A:$A,Строчный!J:J,"ERR",0))),"подклад","Подклад")</f>
        <v>78% лен - 12% шерсть - 10% хлопок / Подклад: 68% хлопок - 32% полиэстер</v>
      </c>
      <c r="K24" s="81" t="str">
        <f ca="1">LOWER(TRIM(_xlfn.XLOOKUP($A24,Строчный!$A:$A,Строчный!K:K,"ERR",0)))</f>
        <v>льняные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Болгария</v>
      </c>
      <c r="N24" s="81" t="str">
        <f ca="1">UPPER(TRIM(_xlfn.XLOOKUP($A24,Строчный!$A:$A,Строчный!O:O,"ERR",0)))</f>
        <v/>
      </c>
      <c r="O24" s="107" t="str">
        <f ca="1">PROPER(TRIM(_xlfn.XLOOKUP($A24,Строчный!$A:$A,Строчный!P:P,"ERR",0)))</f>
        <v/>
      </c>
      <c r="P24" s="90">
        <f ca="1">VALUE(_xlfn.XLOOKUP($A24,Строчный!$A:$A,Строчный!N:N,"ERR",0))</f>
        <v>2365.6880000000001</v>
      </c>
      <c r="Q24" s="89" t="str">
        <f ca="1">_xlfn.XLOOKUP($G24,Фабрика!A:A,Фабрика!B:B,"ERR",0)</f>
        <v>Friedrich W. Schneider GmbH &amp; Co. KG; Oskar-Schindler-Str. 11, D 50769 Köln, Germany</v>
      </c>
      <c r="R24" s="80" t="str">
        <f ca="1">_xlfn.XLOOKUP(RIGHT(Z24,2),Размеры!D:D,Размеры!A:A,"ERR",0)</f>
        <v>57</v>
      </c>
      <c r="S24" s="80">
        <f ca="1">VALUE(_xlfn.XLOOKUP($Z24,Строчный!$R:$R,Строчный!T:T,"ERR",0))</f>
        <v>7</v>
      </c>
      <c r="T24" s="14" t="s">
        <v>265</v>
      </c>
      <c r="U24" s="101" t="str">
        <f t="shared" ca="1" si="3"/>
        <v>Кепка STETSON арт. 6843905 HATTERAS PATCHWORK (коричневый / синий)</v>
      </c>
      <c r="V24" s="100" t="str">
        <f t="shared" ca="1" si="4"/>
        <v>Кепка STETSON арт. 6843905 HATTERAS PATCHWORK (коричневый / синий) {28}</v>
      </c>
      <c r="W24" s="18" t="str">
        <f t="shared" ca="1" si="0"/>
        <v>коричневый</v>
      </c>
      <c r="X24" s="18" t="str">
        <f t="shared" ca="1" si="1"/>
        <v>синий</v>
      </c>
      <c r="Y24" s="117" t="str">
        <f ca="1">_xlfn.LET(_xlpm.FormColors,_xlfn.XLOOKUP(A24,Строчный!A:A,Строчный!Q:Q,"",0),IF(_xlpm.FormColors=0,IFERROR(MID(I24,FIND("-",I24)+1,LEN(I24)),IFERROR(MID(I24,1,FIND("/",I24)-2),I24)),_xlpm.FormColors))</f>
        <v>коричневый</v>
      </c>
      <c r="Z24" s="73" t="str">
        <f ca="1"/>
        <v>02-682-14-57</v>
      </c>
      <c r="AA24" s="75" t="str">
        <f ca="1">VLOOKUP(C24,Группа!A:B,2,FALSE)</f>
        <v>Кепка</v>
      </c>
      <c r="AB24" s="97" t="str">
        <f ca="1">IFERROR(VLOOKUP(R24,Размеры!A:C,3,FALSE),"")</f>
        <v>57 M</v>
      </c>
      <c r="AC24" s="97" t="str">
        <f ca="1">VLOOKUP(I24,ЦветПолный!A:B,2,FALSE)</f>
        <v>14</v>
      </c>
      <c r="AD24" s="97" t="str">
        <f ca="1">IFERROR(VLOOKUP(R24,Размеры!A:D,4,FALSE),"")</f>
        <v>57</v>
      </c>
      <c r="AE24" s="97">
        <f ca="1">IF(LEFT(IFERROR(VLOOKUP(LOOKUP(2,1/SEARCH(B24,Товары!A:A),Товары!A:A),Товары!A:B,2,0),""),6)=MID(Z24,1,6),1,0)</f>
        <v>0</v>
      </c>
      <c r="AG24" s="97">
        <f ca="1">SUMIF(Группа!A:A,C24,Группа!C:C)</f>
        <v>1</v>
      </c>
      <c r="AH24" s="97">
        <f ca="1">SUMIF(Группа!B:B,AA24,Группа!C:C)</f>
        <v>1</v>
      </c>
      <c r="AI24" s="97">
        <f ca="1">SUMIF(Формы!A:A,D24,Формы!B:B)</f>
        <v>1</v>
      </c>
      <c r="AJ24" s="97">
        <f ca="1">SUMIF(Материал!A:A,K24,Материал!B:B)</f>
        <v>1</v>
      </c>
      <c r="AK24" s="97">
        <f ca="1">SUMIF(Размеры!A:A,R24,Размеры!E:E)</f>
        <v>1</v>
      </c>
      <c r="AL24" s="97">
        <f ca="1">SUMIF(Сезон!A:A,F24,Сезон!B:B)</f>
        <v>1</v>
      </c>
      <c r="AM24" s="97">
        <f ca="1">SUMIF(Состав!A:A,J24,Состав!B:B)</f>
        <v>0</v>
      </c>
      <c r="AN24" s="97">
        <f ca="1">VLOOKUP(I24,ЦветПолный!A:C,3,0)</f>
        <v>1</v>
      </c>
      <c r="AO24" s="97">
        <f ca="1">SUMIF(Цвет!A:A,Y24,Цвет!B:B)</f>
        <v>1</v>
      </c>
      <c r="AP24" s="97">
        <f ca="1">_xlfn.XLOOKUP(L24,Пол!A:A,Пол!B:B,0,0)</f>
        <v>1</v>
      </c>
      <c r="AQ24" s="97">
        <f ca="1">SUMIF(Марка!A:A,G24,Марка!B:B)</f>
        <v>1</v>
      </c>
      <c r="AR24" s="97">
        <f ca="1">SUMIF(Страна!A:A,M24,Страна!B:B)</f>
        <v>1</v>
      </c>
      <c r="AS24" s="64" t="e">
        <f ca="1">IF(VLOOKUP(V24,Товары!A:B,2,FALSE)=A24,"Есть в 1С","ERR")</f>
        <v>#N/A</v>
      </c>
      <c r="AT24" s="65" t="e">
        <f ca="1">IF(VLOOKUP(A24,Товары!B:B,1,FALSE)=A24,"Есть в 1С","ERR")</f>
        <v>#N/A</v>
      </c>
      <c r="AU24" s="96" t="e">
        <f ca="1">VLOOKUP(V24,Товары!A:B,2,FALSE)</f>
        <v>#N/A</v>
      </c>
      <c r="AV24" s="94" t="e">
        <f ca="1">VLOOKUP(V24,Товары!A:B,1,FALSE)</f>
        <v>#N/A</v>
      </c>
    </row>
    <row r="25" spans="1:48" x14ac:dyDescent="0.25">
      <c r="A25" s="110" t="str">
        <f t="shared" ca="1" si="2"/>
        <v>02-682-14</v>
      </c>
      <c r="B25" s="107" t="str">
        <f ca="1">_xlfn.LET(_xlpm.CAPS,1,_xlpm.Style,TRIM(_xlfn.XLOOKUP($A25,Строчный!$A:$A,Строчный!B:B,"ERR",0)),IF(_xlpm.CAPS=0,_xlpm.Style,UPPER(_xlpm.Style)))</f>
        <v>6843905 HATTERAS PATCHWORK</v>
      </c>
      <c r="C25" s="81" t="str">
        <f ca="1">TRIM(PROPER(_xlfn.XLOOKUP($A25,Строчный!$A:$A,Строчный!C:C,"ERR",0)))</f>
        <v>Кепки</v>
      </c>
      <c r="D25" s="81" t="str">
        <f ca="1">_xlfn.LET(_xlpm.DATA,TRIM(_xlfn.XLOOKUP($A25,Строчный!$A:$A,Строчный!D:D,"ERR",0)),UPPER(MID(_xlpm.DATA,1,1))&amp;LOWER(MID(_xlpm.DATA,2,LEN(_xlpm.DATA)-1)))</f>
        <v>Кепка восьмиклинка</v>
      </c>
      <c r="E25" s="81" t="str">
        <f ca="1">PROPER(TRIM(_xlfn.XLOOKUP($A25,Строчный!$A:$A,Строчный!E:E,"ERR",0)))</f>
        <v>Stetson</v>
      </c>
      <c r="F25" s="81" t="str">
        <f ca="1">LOWER(TRIM(_xlfn.XLOOKUP($A25,Строчный!$A:$A,Строчный!F:F,"ERR",0)))</f>
        <v>летний</v>
      </c>
      <c r="G25" s="81" t="str">
        <f ca="1">UPPER(TRIM(_xlfn.XLOOKUP($A25,Строчный!$A:$A,Строчный!G:G,"ERR",0)))</f>
        <v>STETSON</v>
      </c>
      <c r="H25" s="81" t="str">
        <f ca="1">LOWER(TRIM(_xlfn.XLOOKUP($A25,Строчный!$A:$A,Строчный!H:H,"ERR",0)))</f>
        <v>28</v>
      </c>
      <c r="I25" s="81" t="str">
        <f ca="1">LOWER(TRIM(_xlfn.XLOOKUP($A25,Строчный!$A:$A,Строчный!I:I,"ERR",0)))</f>
        <v>коричневый / синий</v>
      </c>
      <c r="J25" s="81" t="str">
        <f ca="1">SUBSTITUTE(LOWER(TRIM(_xlfn.XLOOKUP($A25,Строчный!$A:$A,Строчный!J:J,"ERR",0))),"подклад","Подклад")</f>
        <v>78% лен - 12% шерсть - 10% хлопок / Подклад: 68% хлопок - 32% полиэстер</v>
      </c>
      <c r="K25" s="81" t="str">
        <f ca="1">LOWER(TRIM(_xlfn.XLOOKUP($A25,Строчный!$A:$A,Строчный!K:K,"ERR",0)))</f>
        <v>льняные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Болгария</v>
      </c>
      <c r="N25" s="81" t="str">
        <f ca="1">UPPER(TRIM(_xlfn.XLOOKUP($A25,Строчный!$A:$A,Строчный!O:O,"ERR",0)))</f>
        <v/>
      </c>
      <c r="O25" s="107" t="str">
        <f ca="1">PROPER(TRIM(_xlfn.XLOOKUP($A25,Строчный!$A:$A,Строчный!P:P,"ERR",0)))</f>
        <v/>
      </c>
      <c r="P25" s="90">
        <f ca="1">VALUE(_xlfn.XLOOKUP($A25,Строчный!$A:$A,Строчный!N:N,"ERR",0))</f>
        <v>2365.6880000000001</v>
      </c>
      <c r="Q25" s="89" t="str">
        <f ca="1">_xlfn.XLOOKUP($G25,Фабрика!A:A,Фабрика!B:B,"ERR",0)</f>
        <v>Friedrich W. Schneider GmbH &amp; Co. KG; Oskar-Schindler-Str. 11, D 50769 Köln, Germany</v>
      </c>
      <c r="R25" s="80" t="str">
        <f ca="1">_xlfn.XLOOKUP(RIGHT(Z25,2),Размеры!D:D,Размеры!A:A,"ERR",0)</f>
        <v>55</v>
      </c>
      <c r="S25" s="80">
        <f ca="1">VALUE(_xlfn.XLOOKUP($Z25,Строчный!$R:$R,Строчный!T:T,"ERR",0))</f>
        <v>3</v>
      </c>
      <c r="T25" s="14" t="s">
        <v>265</v>
      </c>
      <c r="U25" s="101" t="str">
        <f t="shared" ca="1" si="3"/>
        <v>Кепка STETSON арт. 6843905 HATTERAS PATCHWORK (коричневый / синий)</v>
      </c>
      <c r="V25" s="100" t="str">
        <f t="shared" ca="1" si="4"/>
        <v>Кепка STETSON арт. 6843905 HATTERAS PATCHWORK (коричневый / синий) {28}</v>
      </c>
      <c r="W25" s="18" t="str">
        <f t="shared" ca="1" si="0"/>
        <v>коричневый</v>
      </c>
      <c r="X25" s="18" t="str">
        <f t="shared" ca="1" si="1"/>
        <v>синий</v>
      </c>
      <c r="Y25" s="117" t="str">
        <f ca="1">_xlfn.LET(_xlpm.FormColors,_xlfn.XLOOKUP(A25,Строчный!A:A,Строчный!Q:Q,"",0),IF(_xlpm.FormColors=0,IFERROR(MID(I25,FIND("-",I25)+1,LEN(I25)),IFERROR(MID(I25,1,FIND("/",I25)-2),I25)),_xlpm.FormColors))</f>
        <v>коричневый</v>
      </c>
      <c r="Z25" s="73" t="str">
        <f ca="1"/>
        <v>02-682-14-55</v>
      </c>
      <c r="AA25" s="75" t="str">
        <f ca="1">VLOOKUP(C25,Группа!A:B,2,FALSE)</f>
        <v>Кепка</v>
      </c>
      <c r="AB25" s="97" t="str">
        <f ca="1">IFERROR(VLOOKUP(R25,Размеры!A:C,3,FALSE),"")</f>
        <v>55 S</v>
      </c>
      <c r="AC25" s="97" t="str">
        <f ca="1">VLOOKUP(I25,ЦветПолный!A:B,2,FALSE)</f>
        <v>14</v>
      </c>
      <c r="AD25" s="97" t="str">
        <f ca="1">IFERROR(VLOOKUP(R25,Размеры!A:D,4,FALSE),"")</f>
        <v>55</v>
      </c>
      <c r="AE25" s="97">
        <f ca="1">IF(LEFT(IFERROR(VLOOKUP(LOOKUP(2,1/SEARCH(B25,Товары!A:A),Товары!A:A),Товары!A:B,2,0),""),6)=MID(Z25,1,6),1,0)</f>
        <v>0</v>
      </c>
      <c r="AG25" s="97">
        <f ca="1">SUMIF(Группа!A:A,C25,Группа!C:C)</f>
        <v>1</v>
      </c>
      <c r="AH25" s="97">
        <f ca="1">SUMIF(Группа!B:B,AA25,Группа!C:C)</f>
        <v>1</v>
      </c>
      <c r="AI25" s="97">
        <f ca="1">SUMIF(Формы!A:A,D25,Формы!B:B)</f>
        <v>1</v>
      </c>
      <c r="AJ25" s="97">
        <f ca="1">SUMIF(Материал!A:A,K25,Материал!B:B)</f>
        <v>1</v>
      </c>
      <c r="AK25" s="97">
        <f ca="1">SUMIF(Размеры!A:A,R25,Размеры!E:E)</f>
        <v>1</v>
      </c>
      <c r="AL25" s="97">
        <f ca="1">SUMIF(Сезон!A:A,F25,Сезон!B:B)</f>
        <v>1</v>
      </c>
      <c r="AM25" s="97">
        <f ca="1">SUMIF(Состав!A:A,J25,Состав!B:B)</f>
        <v>0</v>
      </c>
      <c r="AN25" s="97">
        <f ca="1">VLOOKUP(I25,ЦветПолный!A:C,3,0)</f>
        <v>1</v>
      </c>
      <c r="AO25" s="97">
        <f ca="1">SUMIF(Цвет!A:A,Y25,Цвет!B:B)</f>
        <v>1</v>
      </c>
      <c r="AP25" s="97">
        <f ca="1">_xlfn.XLOOKUP(L25,Пол!A:A,Пол!B:B,0,0)</f>
        <v>1</v>
      </c>
      <c r="AQ25" s="97">
        <f ca="1">SUMIF(Марка!A:A,G25,Марка!B:B)</f>
        <v>1</v>
      </c>
      <c r="AR25" s="97">
        <f ca="1">SUMIF(Страна!A:A,M25,Страна!B:B)</f>
        <v>1</v>
      </c>
      <c r="AS25" s="64" t="e">
        <f ca="1">IF(VLOOKUP(V25,Товары!A:B,2,FALSE)=A25,"Есть в 1С","ERR")</f>
        <v>#N/A</v>
      </c>
      <c r="AT25" s="65" t="e">
        <f ca="1">IF(VLOOKUP(A25,Товары!B:B,1,FALSE)=A25,"Есть в 1С","ERR")</f>
        <v>#N/A</v>
      </c>
      <c r="AU25" s="96" t="e">
        <f ca="1">VLOOKUP(V25,Товары!A:B,2,FALSE)</f>
        <v>#N/A</v>
      </c>
      <c r="AV25" s="94" t="e">
        <f ca="1">VLOOKUP(V25,Товары!A:B,1,FALSE)</f>
        <v>#N/A</v>
      </c>
    </row>
    <row r="26" spans="1:48" x14ac:dyDescent="0.25">
      <c r="A26" s="110" t="str">
        <f t="shared" ca="1" si="2"/>
        <v>02-680-16</v>
      </c>
      <c r="B26" s="107" t="str">
        <f ca="1">_xlfn.LET(_xlpm.CAPS,1,_xlpm.Style,TRIM(_xlfn.XLOOKUP($A26,Строчный!$A:$A,Строчный!B:B,"ERR",0)),IF(_xlpm.CAPS=0,_xlpm.Style,UPPER(_xlpm.Style)))</f>
        <v>7491107 ARMY CAP DENIM</v>
      </c>
      <c r="C26" s="81" t="str">
        <f ca="1">TRIM(PROPER(_xlfn.XLOOKUP($A26,Строчный!$A:$A,Строчный!C:C,"ERR",0)))</f>
        <v>Кепки</v>
      </c>
      <c r="D26" s="81" t="str">
        <f ca="1">_xlfn.LET(_xlpm.DATA,TRIM(_xlfn.XLOOKUP($A26,Строчный!$A:$A,Строчный!D:D,"ERR",0)),UPPER(MID(_xlpm.DATA,1,1))&amp;LOWER(MID(_xlpm.DATA,2,LEN(_xlpm.DATA)-1)))</f>
        <v>Кепка кадетка</v>
      </c>
      <c r="E26" s="81" t="str">
        <f ca="1">PROPER(TRIM(_xlfn.XLOOKUP($A26,Строчный!$A:$A,Строчный!E:E,"ERR",0)))</f>
        <v>Stetson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STETSON</v>
      </c>
      <c r="H26" s="81" t="str">
        <f ca="1">LOWER(TRIM(_xlfn.XLOOKUP($A26,Строчный!$A:$A,Строчный!H:H,"ERR",0)))</f>
        <v>2</v>
      </c>
      <c r="I26" s="81" t="str">
        <f ca="1">LOWER(TRIM(_xlfn.XLOOKUP($A26,Строчный!$A:$A,Строчный!I:I,"ERR",0)))</f>
        <v>темно-синий</v>
      </c>
      <c r="J26" s="81" t="str">
        <f ca="1">SUBSTITUTE(LOWER(TRIM(_xlfn.XLOOKUP($A26,Строчный!$A:$A,Строчный!J:J,"ERR",0))),"подклад","Подклад")</f>
        <v>100% хлопок / Подклад: 68% хлопок - 32% полиэстер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Болгария</v>
      </c>
      <c r="N26" s="81" t="str">
        <f ca="1">UPPER(TRIM(_xlfn.XLOOKUP($A26,Строчный!$A:$A,Строчный!O:O,"ERR",0)))</f>
        <v/>
      </c>
      <c r="O26" s="107" t="str">
        <f ca="1">PROPER(TRIM(_xlfn.XLOOKUP($A26,Строчный!$A:$A,Строчный!P:P,"ERR",0)))</f>
        <v/>
      </c>
      <c r="P26" s="90">
        <f ca="1">VALUE(_xlfn.XLOOKUP($A26,Строчный!$A:$A,Строчный!N:N,"ERR",0))</f>
        <v>1811.8479999999997</v>
      </c>
      <c r="Q26" s="89" t="str">
        <f ca="1">_xlfn.XLOOKUP($G26,Фабрика!A:A,Фабрика!B:B,"ERR",0)</f>
        <v>Friedrich W. Schneider GmbH &amp; Co. KG; Oskar-Schindler-Str. 11, D 50769 Köln, Germany</v>
      </c>
      <c r="R26" s="80" t="str">
        <f ca="1">_xlfn.XLOOKUP(RIGHT(Z26,2),Размеры!D:D,Размеры!A:A,"ERR",0)</f>
        <v>62</v>
      </c>
      <c r="S26" s="80">
        <f ca="1">VALUE(_xlfn.XLOOKUP($Z26,Строчный!$R:$R,Строчный!T:T,"ERR",0))</f>
        <v>2</v>
      </c>
      <c r="T26" s="14" t="s">
        <v>265</v>
      </c>
      <c r="U26" s="101" t="str">
        <f t="shared" ca="1" si="3"/>
        <v>Кепка STETSON арт. 7491107 ARMY CAP DENIM (темно-синий)</v>
      </c>
      <c r="V26" s="100" t="str">
        <f t="shared" ca="1" si="4"/>
        <v>Кепка STETSON арт. 7491107 ARMY CAP DENIM (темно-синий) {2}</v>
      </c>
      <c r="W26" s="18" t="str">
        <f t="shared" ca="1" si="0"/>
        <v>синий</v>
      </c>
      <c r="X26" s="18" t="str">
        <f t="shared" ca="1" si="1"/>
        <v>синий</v>
      </c>
      <c r="Y26" s="117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Z26" s="73" t="str">
        <f ca="1"/>
        <v>02-680-16-62</v>
      </c>
      <c r="AA26" s="75" t="str">
        <f ca="1">VLOOKUP(C26,Группа!A:B,2,FALSE)</f>
        <v>Кепка</v>
      </c>
      <c r="AB26" s="97" t="str">
        <f ca="1">IFERROR(VLOOKUP(R26,Размеры!A:C,3,FALSE),"")</f>
        <v>62 XL/XXL</v>
      </c>
      <c r="AC26" s="97" t="str">
        <f ca="1">VLOOKUP(I26,ЦветПолный!A:B,2,FALSE)</f>
        <v>16</v>
      </c>
      <c r="AD26" s="97" t="str">
        <f ca="1">IFERROR(VLOOKUP(R26,Размеры!A:D,4,FALSE),"")</f>
        <v>62</v>
      </c>
      <c r="AE26" s="97">
        <f ca="1">IF(LEFT(IFERROR(VLOOKUP(LOOKUP(2,1/SEARCH(B26,Товары!A:A),Товары!A:A),Товары!A:B,2,0),""),6)=MID(Z26,1,6),1,0)</f>
        <v>0</v>
      </c>
      <c r="AG26" s="97">
        <f ca="1">SUMIF(Группа!A:A,C26,Группа!C:C)</f>
        <v>1</v>
      </c>
      <c r="AH26" s="97">
        <f ca="1">SUMIF(Группа!B:B,AA26,Группа!C:C)</f>
        <v>1</v>
      </c>
      <c r="AI26" s="97">
        <f ca="1">SUMIF(Формы!A:A,D26,Формы!B:B)</f>
        <v>1</v>
      </c>
      <c r="AJ26" s="97">
        <f ca="1">SUMIF(Материал!A:A,K26,Материал!B:B)</f>
        <v>1</v>
      </c>
      <c r="AK26" s="97">
        <f ca="1">SUMIF(Размеры!A:A,R26,Размеры!E:E)</f>
        <v>1</v>
      </c>
      <c r="AL26" s="97">
        <f ca="1">SUMIF(Сезон!A:A,F26,Сезон!B:B)</f>
        <v>1</v>
      </c>
      <c r="AM26" s="97">
        <f ca="1">SUMIF(Состав!A:A,J26,Состав!B:B)</f>
        <v>0</v>
      </c>
      <c r="AN26" s="97">
        <f ca="1">VLOOKUP(I26,ЦветПолный!A:C,3,0)</f>
        <v>1</v>
      </c>
      <c r="AO26" s="97">
        <f ca="1">SUMIF(Цвет!A:A,Y26,Цвет!B:B)</f>
        <v>1</v>
      </c>
      <c r="AP26" s="97">
        <f ca="1">_xlfn.XLOOKUP(L26,Пол!A:A,Пол!B:B,0,0)</f>
        <v>1</v>
      </c>
      <c r="AQ26" s="97">
        <f ca="1">SUMIF(Марка!A:A,G26,Марка!B:B)</f>
        <v>1</v>
      </c>
      <c r="AR26" s="97">
        <f ca="1">SUMIF(Страна!A:A,M26,Страна!B:B)</f>
        <v>1</v>
      </c>
      <c r="AS26" s="64" t="e">
        <f ca="1">IF(VLOOKUP(V26,Товары!A:B,2,FALSE)=A26,"Есть в 1С","ERR")</f>
        <v>#N/A</v>
      </c>
      <c r="AT26" s="65" t="e">
        <f ca="1">IF(VLOOKUP(A26,Товары!B:B,1,FALSE)=A26,"Есть в 1С","ERR")</f>
        <v>#N/A</v>
      </c>
      <c r="AU26" s="96" t="e">
        <f ca="1">VLOOKUP(V26,Товары!A:B,2,FALSE)</f>
        <v>#N/A</v>
      </c>
      <c r="AV26" s="94" t="e">
        <f ca="1">VLOOKUP(V26,Товары!A:B,1,FALSE)</f>
        <v>#N/A</v>
      </c>
    </row>
    <row r="27" spans="1:48" x14ac:dyDescent="0.25">
      <c r="A27" s="110" t="str">
        <f t="shared" ca="1" si="2"/>
        <v>02-680-16</v>
      </c>
      <c r="B27" s="107" t="str">
        <f ca="1">_xlfn.LET(_xlpm.CAPS,1,_xlpm.Style,TRIM(_xlfn.XLOOKUP($A27,Строчный!$A:$A,Строчный!B:B,"ERR",0)),IF(_xlpm.CAPS=0,_xlpm.Style,UPPER(_xlpm.Style)))</f>
        <v>7491107 ARMY CAP DENIM</v>
      </c>
      <c r="C27" s="81" t="str">
        <f ca="1">TRIM(PROPER(_xlfn.XLOOKUP($A27,Строчный!$A:$A,Строчный!C:C,"ERR",0)))</f>
        <v>Кепки</v>
      </c>
      <c r="D27" s="81" t="str">
        <f ca="1">_xlfn.LET(_xlpm.DATA,TRIM(_xlfn.XLOOKUP($A27,Строчный!$A:$A,Строчный!D:D,"ERR",0)),UPPER(MID(_xlpm.DATA,1,1))&amp;LOWER(MID(_xlpm.DATA,2,LEN(_xlpm.DATA)-1)))</f>
        <v>Кепка кадетка</v>
      </c>
      <c r="E27" s="81" t="str">
        <f ca="1">PROPER(TRIM(_xlfn.XLOOKUP($A27,Строчный!$A:$A,Строчный!E:E,"ERR",0)))</f>
        <v>Stetson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STETSON</v>
      </c>
      <c r="H27" s="81" t="str">
        <f ca="1">LOWER(TRIM(_xlfn.XLOOKUP($A27,Строчный!$A:$A,Строчный!H:H,"ERR",0)))</f>
        <v>2</v>
      </c>
      <c r="I27" s="81" t="str">
        <f ca="1">LOWER(TRIM(_xlfn.XLOOKUP($A27,Строчный!$A:$A,Строчный!I:I,"ERR",0)))</f>
        <v>темно-синий</v>
      </c>
      <c r="J27" s="81" t="str">
        <f ca="1">SUBSTITUTE(LOWER(TRIM(_xlfn.XLOOKUP($A27,Строчный!$A:$A,Строчный!J:J,"ERR",0))),"подклад","Подклад")</f>
        <v>100% хлопок / Подклад: 68% хлопок - 32% полиэстер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Болгария</v>
      </c>
      <c r="N27" s="81" t="str">
        <f ca="1">UPPER(TRIM(_xlfn.XLOOKUP($A27,Строчный!$A:$A,Строчный!O:O,"ERR",0)))</f>
        <v/>
      </c>
      <c r="O27" s="107" t="str">
        <f ca="1">PROPER(TRIM(_xlfn.XLOOKUP($A27,Строчный!$A:$A,Строчный!P:P,"ERR",0)))</f>
        <v/>
      </c>
      <c r="P27" s="90">
        <f ca="1">VALUE(_xlfn.XLOOKUP($A27,Строчный!$A:$A,Строчный!N:N,"ERR",0))</f>
        <v>1811.8479999999997</v>
      </c>
      <c r="Q27" s="89" t="str">
        <f ca="1">_xlfn.XLOOKUP($G27,Фабрика!A:A,Фабрика!B:B,"ERR",0)</f>
        <v>Friedrich W. Schneider GmbH &amp; Co. KG; Oskar-Schindler-Str. 11, D 50769 Köln, Germany</v>
      </c>
      <c r="R27" s="80" t="str">
        <f ca="1">_xlfn.XLOOKUP(RIGHT(Z27,2),Размеры!D:D,Размеры!A:A,"ERR",0)</f>
        <v>60</v>
      </c>
      <c r="S27" s="80">
        <f ca="1">VALUE(_xlfn.XLOOKUP($Z27,Строчный!$R:$R,Строчный!T:T,"ERR",0))</f>
        <v>4</v>
      </c>
      <c r="T27" s="14" t="s">
        <v>265</v>
      </c>
      <c r="U27" s="101" t="str">
        <f t="shared" ca="1" si="3"/>
        <v>Кепка STETSON арт. 7491107 ARMY CAP DENIM (темно-синий)</v>
      </c>
      <c r="V27" s="100" t="str">
        <f t="shared" ca="1" si="4"/>
        <v>Кепка STETSON арт. 7491107 ARMY CAP DENIM (темно-синий) {2}</v>
      </c>
      <c r="W27" s="18" t="str">
        <f t="shared" ca="1" si="0"/>
        <v>синий</v>
      </c>
      <c r="X27" s="18" t="str">
        <f t="shared" ca="1" si="1"/>
        <v>синий</v>
      </c>
      <c r="Y27" s="117" t="str">
        <f ca="1">_xlfn.LET(_xlpm.FormColors,_xlfn.XLOOKUP(A27,Строчный!A:A,Строчный!Q:Q,"",0),IF(_xlpm.FormColors=0,IFERROR(MID(I27,FIND("-",I27)+1,LEN(I27)),IFERROR(MID(I27,1,FIND("/",I27)-2),I27)),_xlpm.FormColors))</f>
        <v>синий</v>
      </c>
      <c r="Z27" s="73" t="str">
        <f ca="1"/>
        <v>02-680-16-60</v>
      </c>
      <c r="AA27" s="75" t="str">
        <f ca="1">VLOOKUP(C27,Группа!A:B,2,FALSE)</f>
        <v>Кепка</v>
      </c>
      <c r="AB27" s="97" t="str">
        <f ca="1">IFERROR(VLOOKUP(R27,Размеры!A:C,3,FALSE),"")</f>
        <v>60 L/XL</v>
      </c>
      <c r="AC27" s="97" t="str">
        <f ca="1">VLOOKUP(I27,ЦветПолный!A:B,2,FALSE)</f>
        <v>16</v>
      </c>
      <c r="AD27" s="97" t="str">
        <f ca="1">IFERROR(VLOOKUP(R27,Размеры!A:D,4,FALSE),"")</f>
        <v>60</v>
      </c>
      <c r="AE27" s="97">
        <f ca="1">IF(LEFT(IFERROR(VLOOKUP(LOOKUP(2,1/SEARCH(B27,Товары!A:A),Товары!A:A),Товары!A:B,2,0),""),6)=MID(Z27,1,6),1,0)</f>
        <v>0</v>
      </c>
      <c r="AG27" s="97">
        <f ca="1">SUMIF(Группа!A:A,C27,Группа!C:C)</f>
        <v>1</v>
      </c>
      <c r="AH27" s="97">
        <f ca="1">SUMIF(Группа!B:B,AA27,Группа!C:C)</f>
        <v>1</v>
      </c>
      <c r="AI27" s="97">
        <f ca="1">SUMIF(Формы!A:A,D27,Формы!B:B)</f>
        <v>1</v>
      </c>
      <c r="AJ27" s="97">
        <f ca="1">SUMIF(Материал!A:A,K27,Материал!B:B)</f>
        <v>1</v>
      </c>
      <c r="AK27" s="97">
        <f ca="1">SUMIF(Размеры!A:A,R27,Размеры!E:E)</f>
        <v>1</v>
      </c>
      <c r="AL27" s="97">
        <f ca="1">SUMIF(Сезон!A:A,F27,Сезон!B:B)</f>
        <v>1</v>
      </c>
      <c r="AM27" s="97">
        <f ca="1">SUMIF(Состав!A:A,J27,Состав!B:B)</f>
        <v>0</v>
      </c>
      <c r="AN27" s="97">
        <f ca="1">VLOOKUP(I27,ЦветПолный!A:C,3,0)</f>
        <v>1</v>
      </c>
      <c r="AO27" s="97">
        <f ca="1">SUMIF(Цвет!A:A,Y27,Цвет!B:B)</f>
        <v>1</v>
      </c>
      <c r="AP27" s="97">
        <f ca="1">_xlfn.XLOOKUP(L27,Пол!A:A,Пол!B:B,0,0)</f>
        <v>1</v>
      </c>
      <c r="AQ27" s="97">
        <f ca="1">SUMIF(Марка!A:A,G27,Марка!B:B)</f>
        <v>1</v>
      </c>
      <c r="AR27" s="97">
        <f ca="1">SUMIF(Страна!A:A,M27,Страна!B:B)</f>
        <v>1</v>
      </c>
      <c r="AS27" s="64" t="e">
        <f ca="1">IF(VLOOKUP(V27,Товары!A:B,2,FALSE)=A27,"Есть в 1С","ERR")</f>
        <v>#N/A</v>
      </c>
      <c r="AT27" s="65" t="e">
        <f ca="1">IF(VLOOKUP(A27,Товары!B:B,1,FALSE)=A27,"Есть в 1С","ERR")</f>
        <v>#N/A</v>
      </c>
      <c r="AU27" s="96" t="e">
        <f ca="1">VLOOKUP(V27,Товары!A:B,2,FALSE)</f>
        <v>#N/A</v>
      </c>
      <c r="AV27" s="94" t="e">
        <f ca="1">VLOOKUP(V27,Товары!A:B,1,FALSE)</f>
        <v>#N/A</v>
      </c>
    </row>
    <row r="28" spans="1:48" x14ac:dyDescent="0.25">
      <c r="A28" s="110" t="str">
        <f t="shared" ca="1" si="2"/>
        <v>02-680-16</v>
      </c>
      <c r="B28" s="107" t="str">
        <f ca="1">_xlfn.LET(_xlpm.CAPS,1,_xlpm.Style,TRIM(_xlfn.XLOOKUP($A28,Строчный!$A:$A,Строчный!B:B,"ERR",0)),IF(_xlpm.CAPS=0,_xlpm.Style,UPPER(_xlpm.Style)))</f>
        <v>7491107 ARMY CAP DENIM</v>
      </c>
      <c r="C28" s="81" t="str">
        <f ca="1">TRIM(PROPER(_xlfn.XLOOKUP($A28,Строчный!$A:$A,Строчный!C:C,"ERR",0)))</f>
        <v>Кепки</v>
      </c>
      <c r="D28" s="81" t="str">
        <f ca="1">_xlfn.LET(_xlpm.DATA,TRIM(_xlfn.XLOOKUP($A28,Строчный!$A:$A,Строчный!D:D,"ERR",0)),UPPER(MID(_xlpm.DATA,1,1))&amp;LOWER(MID(_xlpm.DATA,2,LEN(_xlpm.DATA)-1)))</f>
        <v>Кепка кадетка</v>
      </c>
      <c r="E28" s="81" t="str">
        <f ca="1">PROPER(TRIM(_xlfn.XLOOKUP($A28,Строчный!$A:$A,Строчный!E:E,"ERR",0)))</f>
        <v>Stetson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STETSON</v>
      </c>
      <c r="H28" s="81" t="str">
        <f ca="1">LOWER(TRIM(_xlfn.XLOOKUP($A28,Строчный!$A:$A,Строчный!H:H,"ERR",0)))</f>
        <v>2</v>
      </c>
      <c r="I28" s="81" t="str">
        <f ca="1">LOWER(TRIM(_xlfn.XLOOKUP($A28,Строчный!$A:$A,Строчный!I:I,"ERR",0)))</f>
        <v>темно-синий</v>
      </c>
      <c r="J28" s="81" t="str">
        <f ca="1">SUBSTITUTE(LOWER(TRIM(_xlfn.XLOOKUP($A28,Строчный!$A:$A,Строчный!J:J,"ERR",0))),"подклад","Подклад")</f>
        <v>100% хлопок / Подклад: 68% хлопок - 32% полиэстер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Болгария</v>
      </c>
      <c r="N28" s="81" t="str">
        <f ca="1">UPPER(TRIM(_xlfn.XLOOKUP($A28,Строчный!$A:$A,Строчный!O:O,"ERR",0)))</f>
        <v/>
      </c>
      <c r="O28" s="107" t="str">
        <f ca="1">PROPER(TRIM(_xlfn.XLOOKUP($A28,Строчный!$A:$A,Строчный!P:P,"ERR",0)))</f>
        <v/>
      </c>
      <c r="P28" s="90">
        <f ca="1">VALUE(_xlfn.XLOOKUP($A28,Строчный!$A:$A,Строчный!N:N,"ERR",0))</f>
        <v>1811.8479999999997</v>
      </c>
      <c r="Q28" s="89" t="str">
        <f ca="1">_xlfn.XLOOKUP($G28,Фабрика!A:A,Фабрика!B:B,"ERR",0)</f>
        <v>Friedrich W. Schneider GmbH &amp; Co. KG; Oskar-Schindler-Str. 11, D 50769 Köln, Germany</v>
      </c>
      <c r="R28" s="80" t="str">
        <f ca="1">_xlfn.XLOOKUP(RIGHT(Z28,2),Размеры!D:D,Размеры!A:A,"ERR",0)</f>
        <v>58</v>
      </c>
      <c r="S28" s="80">
        <f ca="1">VALUE(_xlfn.XLOOKUP($Z28,Строчный!$R:$R,Строчный!T:T,"ERR",0))</f>
        <v>6</v>
      </c>
      <c r="T28" s="14" t="s">
        <v>265</v>
      </c>
      <c r="U28" s="101" t="str">
        <f t="shared" ca="1" si="3"/>
        <v>Кепка STETSON арт. 7491107 ARMY CAP DENIM (темно-синий)</v>
      </c>
      <c r="V28" s="100" t="str">
        <f t="shared" ca="1" si="4"/>
        <v>Кепка STETSON арт. 7491107 ARMY CAP DENIM (темно-синий) {2}</v>
      </c>
      <c r="W28" s="18" t="str">
        <f t="shared" ca="1" si="0"/>
        <v>синий</v>
      </c>
      <c r="X28" s="18" t="str">
        <f t="shared" ca="1" si="1"/>
        <v>синий</v>
      </c>
      <c r="Y28" s="117" t="str">
        <f ca="1">_xlfn.LET(_xlpm.FormColors,_xlfn.XLOOKUP(A28,Строчный!A:A,Строчный!Q:Q,"",0),IF(_xlpm.FormColors=0,IFERROR(MID(I28,FIND("-",I28)+1,LEN(I28)),IFERROR(MID(I28,1,FIND("/",I28)-2),I28)),_xlpm.FormColors))</f>
        <v>синий</v>
      </c>
      <c r="Z28" s="73" t="str">
        <f ca="1"/>
        <v>02-680-16-58</v>
      </c>
      <c r="AA28" s="75" t="str">
        <f ca="1">VLOOKUP(C28,Группа!A:B,2,FALSE)</f>
        <v>Кепка</v>
      </c>
      <c r="AB28" s="97" t="str">
        <f ca="1">IFERROR(VLOOKUP(R28,Размеры!A:C,3,FALSE),"")</f>
        <v>58 M/L</v>
      </c>
      <c r="AC28" s="97" t="str">
        <f ca="1">VLOOKUP(I28,ЦветПолный!A:B,2,FALSE)</f>
        <v>16</v>
      </c>
      <c r="AD28" s="97" t="str">
        <f ca="1">IFERROR(VLOOKUP(R28,Размеры!A:D,4,FALSE),"")</f>
        <v>58</v>
      </c>
      <c r="AE28" s="97">
        <f ca="1">IF(LEFT(IFERROR(VLOOKUP(LOOKUP(2,1/SEARCH(B28,Товары!A:A),Товары!A:A),Товары!A:B,2,0),""),6)=MID(Z28,1,6),1,0)</f>
        <v>0</v>
      </c>
      <c r="AG28" s="97">
        <f ca="1">SUMIF(Группа!A:A,C28,Группа!C:C)</f>
        <v>1</v>
      </c>
      <c r="AH28" s="97">
        <f ca="1">SUMIF(Группа!B:B,AA28,Группа!C:C)</f>
        <v>1</v>
      </c>
      <c r="AI28" s="97">
        <f ca="1">SUMIF(Формы!A:A,D28,Формы!B:B)</f>
        <v>1</v>
      </c>
      <c r="AJ28" s="97">
        <f ca="1">SUMIF(Материал!A:A,K28,Материал!B:B)</f>
        <v>1</v>
      </c>
      <c r="AK28" s="97">
        <f ca="1">SUMIF(Размеры!A:A,R28,Размеры!E:E)</f>
        <v>1</v>
      </c>
      <c r="AL28" s="97">
        <f ca="1">SUMIF(Сезон!A:A,F28,Сезон!B:B)</f>
        <v>1</v>
      </c>
      <c r="AM28" s="97">
        <f ca="1">SUMIF(Состав!A:A,J28,Состав!B:B)</f>
        <v>0</v>
      </c>
      <c r="AN28" s="97">
        <f ca="1">VLOOKUP(I28,ЦветПолный!A:C,3,0)</f>
        <v>1</v>
      </c>
      <c r="AO28" s="97">
        <f ca="1">SUMIF(Цвет!A:A,Y28,Цвет!B:B)</f>
        <v>1</v>
      </c>
      <c r="AP28" s="97">
        <f ca="1">_xlfn.XLOOKUP(L28,Пол!A:A,Пол!B:B,0,0)</f>
        <v>1</v>
      </c>
      <c r="AQ28" s="97">
        <f ca="1">SUMIF(Марка!A:A,G28,Марка!B:B)</f>
        <v>1</v>
      </c>
      <c r="AR28" s="97">
        <f ca="1">SUMIF(Страна!A:A,M28,Страна!B:B)</f>
        <v>1</v>
      </c>
      <c r="AS28" s="64" t="e">
        <f ca="1">IF(VLOOKUP(V28,Товары!A:B,2,FALSE)=A28,"Есть в 1С","ERR")</f>
        <v>#N/A</v>
      </c>
      <c r="AT28" s="65" t="e">
        <f ca="1">IF(VLOOKUP(A28,Товары!B:B,1,FALSE)=A28,"Есть в 1С","ERR")</f>
        <v>#N/A</v>
      </c>
      <c r="AU28" s="96" t="e">
        <f ca="1">VLOOKUP(V28,Товары!A:B,2,FALSE)</f>
        <v>#N/A</v>
      </c>
      <c r="AV28" s="94" t="e">
        <f ca="1">VLOOKUP(V28,Товары!A:B,1,FALSE)</f>
        <v>#N/A</v>
      </c>
    </row>
    <row r="29" spans="1:48" x14ac:dyDescent="0.25">
      <c r="A29" s="110" t="str">
        <f t="shared" ca="1" si="2"/>
        <v>02-680-16</v>
      </c>
      <c r="B29" s="107" t="str">
        <f ca="1">_xlfn.LET(_xlpm.CAPS,1,_xlpm.Style,TRIM(_xlfn.XLOOKUP($A29,Строчный!$A:$A,Строчный!B:B,"ERR",0)),IF(_xlpm.CAPS=0,_xlpm.Style,UPPER(_xlpm.Style)))</f>
        <v>7491107 ARMY CAP DENIM</v>
      </c>
      <c r="C29" s="81" t="str">
        <f ca="1">TRIM(PROPER(_xlfn.XLOOKUP($A29,Строчный!$A:$A,Строчный!C:C,"ERR",0)))</f>
        <v>Кепки</v>
      </c>
      <c r="D29" s="81" t="str">
        <f ca="1">_xlfn.LET(_xlpm.DATA,TRIM(_xlfn.XLOOKUP($A29,Строчный!$A:$A,Строчный!D:D,"ERR",0)),UPPER(MID(_xlpm.DATA,1,1))&amp;LOWER(MID(_xlpm.DATA,2,LEN(_xlpm.DATA)-1)))</f>
        <v>Кепка кадетка</v>
      </c>
      <c r="E29" s="81" t="str">
        <f ca="1">PROPER(TRIM(_xlfn.XLOOKUP($A29,Строчный!$A:$A,Строчный!E:E,"ERR",0)))</f>
        <v>Stetson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STETSON</v>
      </c>
      <c r="H29" s="81" t="str">
        <f ca="1">LOWER(TRIM(_xlfn.XLOOKUP($A29,Строчный!$A:$A,Строчный!H:H,"ERR",0)))</f>
        <v>2</v>
      </c>
      <c r="I29" s="81" t="str">
        <f ca="1">LOWER(TRIM(_xlfn.XLOOKUP($A29,Строчный!$A:$A,Строчный!I:I,"ERR",0)))</f>
        <v>темно-синий</v>
      </c>
      <c r="J29" s="81" t="str">
        <f ca="1">SUBSTITUTE(LOWER(TRIM(_xlfn.XLOOKUP($A29,Строчный!$A:$A,Строчный!J:J,"ERR",0))),"подклад","Подклад")</f>
        <v>100% хлопок / Подклад: 68% хлопок - 32% полиэстер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Болгария</v>
      </c>
      <c r="N29" s="81" t="str">
        <f ca="1">UPPER(TRIM(_xlfn.XLOOKUP($A29,Строчный!$A:$A,Строчный!O:O,"ERR",0)))</f>
        <v/>
      </c>
      <c r="O29" s="107" t="str">
        <f ca="1">PROPER(TRIM(_xlfn.XLOOKUP($A29,Строчный!$A:$A,Строчный!P:P,"ERR",0)))</f>
        <v/>
      </c>
      <c r="P29" s="90">
        <f ca="1">VALUE(_xlfn.XLOOKUP($A29,Строчный!$A:$A,Строчный!N:N,"ERR",0))</f>
        <v>1811.8479999999997</v>
      </c>
      <c r="Q29" s="89" t="str">
        <f ca="1">_xlfn.XLOOKUP($G29,Фабрика!A:A,Фабрика!B:B,"ERR",0)</f>
        <v>Friedrich W. Schneider GmbH &amp; Co. KG; Oskar-Schindler-Str. 11, D 50769 Köln, Germany</v>
      </c>
      <c r="R29" s="80" t="str">
        <f ca="1">_xlfn.XLOOKUP(RIGHT(Z29,2),Размеры!D:D,Размеры!A:A,"ERR",0)</f>
        <v>56</v>
      </c>
      <c r="S29" s="80">
        <f ca="1">VALUE(_xlfn.XLOOKUP($Z29,Строчный!$R:$R,Строчный!T:T,"ERR",0))</f>
        <v>4</v>
      </c>
      <c r="T29" s="14" t="s">
        <v>265</v>
      </c>
      <c r="U29" s="101" t="str">
        <f t="shared" ca="1" si="3"/>
        <v>Кепка STETSON арт. 7491107 ARMY CAP DENIM (темно-синий)</v>
      </c>
      <c r="V29" s="100" t="str">
        <f t="shared" ca="1" si="4"/>
        <v>Кепка STETSON арт. 7491107 ARMY CAP DENIM (темно-синий) {2}</v>
      </c>
      <c r="W29" s="18" t="str">
        <f t="shared" ca="1" si="0"/>
        <v>синий</v>
      </c>
      <c r="X29" s="18" t="str">
        <f t="shared" ca="1" si="1"/>
        <v>синий</v>
      </c>
      <c r="Y29" s="117" t="str">
        <f ca="1">_xlfn.LET(_xlpm.FormColors,_xlfn.XLOOKUP(A29,Строчный!A:A,Строчный!Q:Q,"",0),IF(_xlpm.FormColors=0,IFERROR(MID(I29,FIND("-",I29)+1,LEN(I29)),IFERROR(MID(I29,1,FIND("/",I29)-2),I29)),_xlpm.FormColors))</f>
        <v>синий</v>
      </c>
      <c r="Z29" s="73" t="str">
        <f ca="1"/>
        <v>02-680-16-56</v>
      </c>
      <c r="AA29" s="75" t="str">
        <f ca="1">VLOOKUP(C29,Группа!A:B,2,FALSE)</f>
        <v>Кепка</v>
      </c>
      <c r="AB29" s="97" t="str">
        <f ca="1">IFERROR(VLOOKUP(R29,Размеры!A:C,3,FALSE),"")</f>
        <v>56 S/M</v>
      </c>
      <c r="AC29" s="97" t="str">
        <f ca="1">VLOOKUP(I29,ЦветПолный!A:B,2,FALSE)</f>
        <v>16</v>
      </c>
      <c r="AD29" s="97" t="str">
        <f ca="1">IFERROR(VLOOKUP(R29,Размеры!A:D,4,FALSE),"")</f>
        <v>56</v>
      </c>
      <c r="AE29" s="97">
        <f ca="1">IF(LEFT(IFERROR(VLOOKUP(LOOKUP(2,1/SEARCH(B29,Товары!A:A),Товары!A:A),Товары!A:B,2,0),""),6)=MID(Z29,1,6),1,0)</f>
        <v>0</v>
      </c>
      <c r="AG29" s="97">
        <f ca="1">SUMIF(Группа!A:A,C29,Группа!C:C)</f>
        <v>1</v>
      </c>
      <c r="AH29" s="97">
        <f ca="1">SUMIF(Группа!B:B,AA29,Группа!C:C)</f>
        <v>1</v>
      </c>
      <c r="AI29" s="97">
        <f ca="1">SUMIF(Формы!A:A,D29,Формы!B:B)</f>
        <v>1</v>
      </c>
      <c r="AJ29" s="97">
        <f ca="1">SUMIF(Материал!A:A,K29,Материал!B:B)</f>
        <v>1</v>
      </c>
      <c r="AK29" s="97">
        <f ca="1">SUMIF(Размеры!A:A,R29,Размеры!E:E)</f>
        <v>1</v>
      </c>
      <c r="AL29" s="97">
        <f ca="1">SUMIF(Сезон!A:A,F29,Сезон!B:B)</f>
        <v>1</v>
      </c>
      <c r="AM29" s="97">
        <f ca="1">SUMIF(Состав!A:A,J29,Состав!B:B)</f>
        <v>0</v>
      </c>
      <c r="AN29" s="97">
        <f ca="1">VLOOKUP(I29,ЦветПолный!A:C,3,0)</f>
        <v>1</v>
      </c>
      <c r="AO29" s="97">
        <f ca="1">SUMIF(Цвет!A:A,Y29,Цвет!B:B)</f>
        <v>1</v>
      </c>
      <c r="AP29" s="97">
        <f ca="1">_xlfn.XLOOKUP(L29,Пол!A:A,Пол!B:B,0,0)</f>
        <v>1</v>
      </c>
      <c r="AQ29" s="97">
        <f ca="1">SUMIF(Марка!A:A,G29,Марка!B:B)</f>
        <v>1</v>
      </c>
      <c r="AR29" s="97">
        <f ca="1">SUMIF(Страна!A:A,M29,Страна!B:B)</f>
        <v>1</v>
      </c>
      <c r="AS29" s="64" t="e">
        <f ca="1">IF(VLOOKUP(V29,Товары!A:B,2,FALSE)=A29,"Есть в 1С","ERR")</f>
        <v>#N/A</v>
      </c>
      <c r="AT29" s="65" t="e">
        <f ca="1">IF(VLOOKUP(A29,Товары!B:B,1,FALSE)=A29,"Есть в 1С","ERR")</f>
        <v>#N/A</v>
      </c>
      <c r="AU29" s="96" t="e">
        <f ca="1">VLOOKUP(V29,Товары!A:B,2,FALSE)</f>
        <v>#N/A</v>
      </c>
      <c r="AV29" s="94" t="e">
        <f ca="1">VLOOKUP(V29,Товары!A:B,1,FALSE)</f>
        <v>#N/A</v>
      </c>
    </row>
    <row r="30" spans="1:48" x14ac:dyDescent="0.25">
      <c r="A30" s="110" t="str">
        <f t="shared" ca="1" si="2"/>
        <v>02-680-16</v>
      </c>
      <c r="B30" s="107" t="str">
        <f ca="1">_xlfn.LET(_xlpm.CAPS,1,_xlpm.Style,TRIM(_xlfn.XLOOKUP($A30,Строчный!$A:$A,Строчный!B:B,"ERR",0)),IF(_xlpm.CAPS=0,_xlpm.Style,UPPER(_xlpm.Style)))</f>
        <v>7491107 ARMY CAP DENIM</v>
      </c>
      <c r="C30" s="81" t="str">
        <f ca="1">TRIM(PROPER(_xlfn.XLOOKUP($A30,Строчный!$A:$A,Строчный!C:C,"ERR",0)))</f>
        <v>Кепки</v>
      </c>
      <c r="D30" s="81" t="str">
        <f ca="1">_xlfn.LET(_xlpm.DATA,TRIM(_xlfn.XLOOKUP($A30,Строчный!$A:$A,Строчный!D:D,"ERR",0)),UPPER(MID(_xlpm.DATA,1,1))&amp;LOWER(MID(_xlpm.DATA,2,LEN(_xlpm.DATA)-1)))</f>
        <v>Кепка кадетка</v>
      </c>
      <c r="E30" s="81" t="str">
        <f ca="1">PROPER(TRIM(_xlfn.XLOOKUP($A30,Строчный!$A:$A,Строчный!E:E,"ERR",0)))</f>
        <v>Stetson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STETSON</v>
      </c>
      <c r="H30" s="81" t="str">
        <f ca="1">LOWER(TRIM(_xlfn.XLOOKUP($A30,Строчный!$A:$A,Строчный!H:H,"ERR",0)))</f>
        <v>2</v>
      </c>
      <c r="I30" s="81" t="str">
        <f ca="1">LOWER(TRIM(_xlfn.XLOOKUP($A30,Строчный!$A:$A,Строчный!I:I,"ERR",0)))</f>
        <v>темно-синий</v>
      </c>
      <c r="J30" s="81" t="str">
        <f ca="1">SUBSTITUTE(LOWER(TRIM(_xlfn.XLOOKUP($A30,Строчный!$A:$A,Строчный!J:J,"ERR",0))),"подклад","Подклад")</f>
        <v>100% хлопок / Подклад: 68% хлопок - 32% полиэстер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Болгария</v>
      </c>
      <c r="N30" s="81" t="str">
        <f ca="1">UPPER(TRIM(_xlfn.XLOOKUP($A30,Строчный!$A:$A,Строчный!O:O,"ERR",0)))</f>
        <v/>
      </c>
      <c r="O30" s="107" t="str">
        <f ca="1">PROPER(TRIM(_xlfn.XLOOKUP($A30,Строчный!$A:$A,Строчный!P:P,"ERR",0)))</f>
        <v/>
      </c>
      <c r="P30" s="90">
        <f ca="1">VALUE(_xlfn.XLOOKUP($A30,Строчный!$A:$A,Строчный!N:N,"ERR",0))</f>
        <v>1811.8479999999997</v>
      </c>
      <c r="Q30" s="89" t="str">
        <f ca="1">_xlfn.XLOOKUP($G30,Фабрика!A:A,Фабрика!B:B,"ERR",0)</f>
        <v>Friedrich W. Schneider GmbH &amp; Co. KG; Oskar-Schindler-Str. 11, D 50769 Köln, Germany</v>
      </c>
      <c r="R30" s="80" t="str">
        <f ca="1">_xlfn.XLOOKUP(RIGHT(Z30,2),Размеры!D:D,Размеры!A:A,"ERR",0)</f>
        <v>54</v>
      </c>
      <c r="S30" s="80">
        <f ca="1">VALUE(_xlfn.XLOOKUP($Z30,Строчный!$R:$R,Строчный!T:T,"ERR",0))</f>
        <v>1</v>
      </c>
      <c r="T30" s="14" t="s">
        <v>265</v>
      </c>
      <c r="U30" s="101" t="str">
        <f t="shared" ca="1" si="3"/>
        <v>Кепка STETSON арт. 7491107 ARMY CAP DENIM (темно-синий)</v>
      </c>
      <c r="V30" s="100" t="str">
        <f t="shared" ca="1" si="4"/>
        <v>Кепка STETSON арт. 7491107 ARMY CAP DENIM (темно-синий) {2}</v>
      </c>
      <c r="W30" s="18" t="str">
        <f t="shared" ca="1" si="0"/>
        <v>синий</v>
      </c>
      <c r="X30" s="18" t="str">
        <f t="shared" ca="1" si="1"/>
        <v>синий</v>
      </c>
      <c r="Y30" s="117" t="str">
        <f ca="1">_xlfn.LET(_xlpm.FormColors,_xlfn.XLOOKUP(A30,Строчный!A:A,Строчный!Q:Q,"",0),IF(_xlpm.FormColors=0,IFERROR(MID(I30,FIND("-",I30)+1,LEN(I30)),IFERROR(MID(I30,1,FIND("/",I30)-2),I30)),_xlpm.FormColors))</f>
        <v>синий</v>
      </c>
      <c r="Z30" s="73" t="str">
        <f ca="1"/>
        <v>02-680-16-54</v>
      </c>
      <c r="AA30" s="75" t="str">
        <f ca="1">VLOOKUP(C30,Группа!A:B,2,FALSE)</f>
        <v>Кепка</v>
      </c>
      <c r="AB30" s="97" t="str">
        <f ca="1">IFERROR(VLOOKUP(R30,Размеры!A:C,3,FALSE),"")</f>
        <v>54 XS</v>
      </c>
      <c r="AC30" s="97" t="str">
        <f ca="1">VLOOKUP(I30,ЦветПолный!A:B,2,FALSE)</f>
        <v>16</v>
      </c>
      <c r="AD30" s="97" t="str">
        <f ca="1">IFERROR(VLOOKUP(R30,Размеры!A:D,4,FALSE),"")</f>
        <v>54</v>
      </c>
      <c r="AE30" s="97">
        <f ca="1">IF(LEFT(IFERROR(VLOOKUP(LOOKUP(2,1/SEARCH(B30,Товары!A:A),Товары!A:A),Товары!A:B,2,0),""),6)=MID(Z30,1,6),1,0)</f>
        <v>0</v>
      </c>
      <c r="AG30" s="97">
        <f ca="1">SUMIF(Группа!A:A,C30,Группа!C:C)</f>
        <v>1</v>
      </c>
      <c r="AH30" s="97">
        <f ca="1">SUMIF(Группа!B:B,AA30,Группа!C:C)</f>
        <v>1</v>
      </c>
      <c r="AI30" s="97">
        <f ca="1">SUMIF(Формы!A:A,D30,Формы!B:B)</f>
        <v>1</v>
      </c>
      <c r="AJ30" s="97">
        <f ca="1">SUMIF(Материал!A:A,K30,Материал!B:B)</f>
        <v>1</v>
      </c>
      <c r="AK30" s="97">
        <f ca="1">SUMIF(Размеры!A:A,R30,Размеры!E:E)</f>
        <v>1</v>
      </c>
      <c r="AL30" s="97">
        <f ca="1">SUMIF(Сезон!A:A,F30,Сезон!B:B)</f>
        <v>1</v>
      </c>
      <c r="AM30" s="97">
        <f ca="1">SUMIF(Состав!A:A,J30,Состав!B:B)</f>
        <v>0</v>
      </c>
      <c r="AN30" s="97">
        <f ca="1">VLOOKUP(I30,ЦветПолный!A:C,3,0)</f>
        <v>1</v>
      </c>
      <c r="AO30" s="97">
        <f ca="1">SUMIF(Цвет!A:A,Y30,Цвет!B:B)</f>
        <v>1</v>
      </c>
      <c r="AP30" s="97">
        <f ca="1">_xlfn.XLOOKUP(L30,Пол!A:A,Пол!B:B,0,0)</f>
        <v>1</v>
      </c>
      <c r="AQ30" s="97">
        <f ca="1">SUMIF(Марка!A:A,G30,Марка!B:B)</f>
        <v>1</v>
      </c>
      <c r="AR30" s="97">
        <f ca="1">SUMIF(Страна!A:A,M30,Страна!B:B)</f>
        <v>1</v>
      </c>
      <c r="AS30" s="64" t="e">
        <f ca="1">IF(VLOOKUP(V30,Товары!A:B,2,FALSE)=A30,"Есть в 1С","ERR")</f>
        <v>#N/A</v>
      </c>
      <c r="AT30" s="65" t="e">
        <f ca="1">IF(VLOOKUP(A30,Товары!B:B,1,FALSE)=A30,"Есть в 1С","ERR")</f>
        <v>#N/A</v>
      </c>
      <c r="AU30" s="96" t="e">
        <f ca="1">VLOOKUP(V30,Товары!A:B,2,FALSE)</f>
        <v>#N/A</v>
      </c>
      <c r="AV30" s="94" t="e">
        <f ca="1">VLOOKUP(V30,Товары!A:B,1,FALSE)</f>
        <v>#N/A</v>
      </c>
    </row>
    <row r="31" spans="1:48" x14ac:dyDescent="0.25">
      <c r="A31" s="110" t="str">
        <f t="shared" ca="1" si="2"/>
        <v>02-678-86</v>
      </c>
      <c r="B31" s="107" t="str">
        <f ca="1">_xlfn.LET(_xlpm.CAPS,1,_xlpm.Style,TRIM(_xlfn.XLOOKUP($A31,Строчный!$A:$A,Строчный!B:B,"ERR",0)),IF(_xlpm.CAPS=0,_xlpm.Style,UPPER(_xlpm.Style)))</f>
        <v>7785101 BASEBALL CAP TOOTHPICK REBEL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81" t="str">
        <f ca="1">PROPER(TRIM(_xlfn.XLOOKUP($A31,Строчный!$A:$A,Строчный!E:E,"ERR",0)))</f>
        <v>Stetson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STETSON</v>
      </c>
      <c r="H31" s="81" t="str">
        <f ca="1">LOWER(TRIM(_xlfn.XLOOKUP($A31,Строчный!$A:$A,Строчный!H:H,"ERR",0)))</f>
        <v>89</v>
      </c>
      <c r="I31" s="81" t="str">
        <f ca="1">LOWER(TRIM(_xlfn.XLOOKUP($A31,Строчный!$A:$A,Строчный!I:I,"ERR",0)))</f>
        <v>малиновый / черный</v>
      </c>
      <c r="J31" s="81" t="str">
        <f ca="1">SUBSTITUTE(LOWER(TRIM(_xlfn.XLOOKUP($A31,Строчный!$A:$A,Строчный!J:J,"ERR",0))),"подклад","Подклад")</f>
        <v>100% полиэстер / Подклад: 100%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7" t="str">
        <f ca="1">PROPER(TRIM(_xlfn.XLOOKUP($A31,Строчный!$A:$A,Строчный!P:P,"ERR",0)))</f>
        <v/>
      </c>
      <c r="P31" s="90">
        <f ca="1">VALUE(_xlfn.XLOOKUP($A31,Строчный!$A:$A,Строчный!N:N,"ERR",0))</f>
        <v>1178.8879999999997</v>
      </c>
      <c r="Q31" s="89" t="str">
        <f ca="1">_xlfn.XLOOKUP($G31,Фабрика!A:A,Фабрика!B:B,"ERR",0)</f>
        <v>Friedrich W. Schneider GmbH &amp; Co. KG; Oskar-Schindler-Str. 11, D 50769 Köln, Germany</v>
      </c>
      <c r="R31" s="80" t="str">
        <f ca="1">_xlfn.XLOOKUP(RIGHT(Z31,2),Размеры!D:D,Размеры!A:A,"ERR",0)</f>
        <v>ONE</v>
      </c>
      <c r="S31" s="80">
        <f ca="1">VALUE(_xlfn.XLOOKUP($Z31,Строчный!$R:$R,Строчный!T:T,"ERR",0))</f>
        <v>1</v>
      </c>
      <c r="T31" s="14" t="s">
        <v>265</v>
      </c>
      <c r="U31" s="101" t="str">
        <f t="shared" ca="1" si="3"/>
        <v>Бейсболка STETSON арт. 7785101 BASEBALL CAP TOOTHPICK REBEL (малиновый / черный)</v>
      </c>
      <c r="V31" s="100" t="str">
        <f t="shared" ca="1" si="4"/>
        <v>Бейсболка STETSON арт. 7785101 BASEBALL CAP TOOTHPICK REBEL (малиновый / черный) {89}</v>
      </c>
      <c r="W31" s="18" t="str">
        <f t="shared" ca="1" si="0"/>
        <v>малиновый</v>
      </c>
      <c r="X31" s="18" t="str">
        <f t="shared" ca="1" si="1"/>
        <v>черный</v>
      </c>
      <c r="Y31" s="117" t="s">
        <v>141</v>
      </c>
      <c r="Z31" s="73" t="str">
        <f ca="1"/>
        <v>02-678-86-00</v>
      </c>
      <c r="AA31" s="75" t="str">
        <f ca="1">VLOOKUP(C31,Группа!A:B,2,FALSE)</f>
        <v>Бейсболка</v>
      </c>
      <c r="AB31" s="97" t="str">
        <f ca="1">IFERROR(VLOOKUP(R31,Размеры!A:C,3,FALSE),"")</f>
        <v>ONE</v>
      </c>
      <c r="AC31" s="97" t="str">
        <f ca="1">VLOOKUP(I31,ЦветПолный!A:B,2,FALSE)</f>
        <v>86</v>
      </c>
      <c r="AD31" s="97" t="str">
        <f ca="1">IFERROR(VLOOKUP(R31,Размеры!A:D,4,FALSE),"")</f>
        <v>00</v>
      </c>
      <c r="AE31" s="97">
        <f ca="1">IF(LEFT(IFERROR(VLOOKUP(LOOKUP(2,1/SEARCH(B31,Товары!A:A),Товары!A:A),Товары!A:B,2,0),""),6)=MID(Z31,1,6),1,0)</f>
        <v>0</v>
      </c>
      <c r="AG31" s="97">
        <f ca="1">SUMIF(Группа!A:A,C31,Группа!C:C)</f>
        <v>1</v>
      </c>
      <c r="AH31" s="97">
        <f ca="1">SUMIF(Группа!B:B,AA31,Группа!C:C)</f>
        <v>1</v>
      </c>
      <c r="AI31" s="97">
        <f ca="1">SUMIF(Формы!A:A,D31,Формы!B:B)</f>
        <v>1</v>
      </c>
      <c r="AJ31" s="97">
        <f ca="1">SUMIF(Материал!A:A,K31,Материал!B:B)</f>
        <v>1</v>
      </c>
      <c r="AK31" s="97">
        <f ca="1">SUMIF(Размеры!A:A,R31,Размеры!E:E)</f>
        <v>1</v>
      </c>
      <c r="AL31" s="97">
        <f ca="1">SUMIF(Сезон!A:A,F31,Сезон!B:B)</f>
        <v>1</v>
      </c>
      <c r="AM31" s="97">
        <f ca="1">SUMIF(Состав!A:A,J31,Состав!B:B)</f>
        <v>0</v>
      </c>
      <c r="AN31" s="97">
        <f ca="1">VLOOKUP(I31,ЦветПолный!A:C,3,0)</f>
        <v>1</v>
      </c>
      <c r="AO31" s="97">
        <f>SUMIF(Цвет!A:A,Y31,Цвет!B:B)</f>
        <v>1</v>
      </c>
      <c r="AP31" s="97">
        <f ca="1">_xlfn.XLOOKUP(L31,Пол!A:A,Пол!B:B,0,0)</f>
        <v>1</v>
      </c>
      <c r="AQ31" s="97">
        <f ca="1">SUMIF(Марка!A:A,G31,Марка!B:B)</f>
        <v>1</v>
      </c>
      <c r="AR31" s="97">
        <f ca="1">SUMIF(Страна!A:A,M31,Страна!B:B)</f>
        <v>1</v>
      </c>
      <c r="AS31" s="64" t="e">
        <f ca="1">IF(VLOOKUP(V31,Товары!A:B,2,FALSE)=A31,"Есть в 1С","ERR")</f>
        <v>#N/A</v>
      </c>
      <c r="AT31" s="65" t="e">
        <f ca="1">IF(VLOOKUP(A31,Товары!B:B,1,FALSE)=A31,"Есть в 1С","ERR")</f>
        <v>#N/A</v>
      </c>
      <c r="AU31" s="96" t="e">
        <f ca="1">VLOOKUP(V31,Товары!A:B,2,FALSE)</f>
        <v>#N/A</v>
      </c>
      <c r="AV31" s="94" t="e">
        <f ca="1">VLOOKUP(V31,Товары!A:B,1,FALSE)</f>
        <v>#N/A</v>
      </c>
    </row>
    <row r="32" spans="1:48" x14ac:dyDescent="0.25">
      <c r="A32" s="110" t="str">
        <f t="shared" ca="1" si="2"/>
        <v>02-677-09</v>
      </c>
      <c r="B32" s="107" t="str">
        <f ca="1">_xlfn.LET(_xlpm.CAPS,1,_xlpm.Style,TRIM(_xlfn.XLOOKUP($A32,Строчный!$A:$A,Строчный!B:B,"ERR",0)),IF(_xlpm.CAPS=0,_xlpm.Style,UPPER(_xlpm.Style)))</f>
        <v>7781122 BASEBALL CAP DIAMOND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81" t="str">
        <f ca="1">PROPER(TRIM(_xlfn.XLOOKUP($A32,Строчный!$A:$A,Строчный!E:E,"ERR",0)))</f>
        <v>Stetson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STETSON</v>
      </c>
      <c r="H32" s="81" t="str">
        <f ca="1">LOWER(TRIM(_xlfn.XLOOKUP($A32,Строчный!$A:$A,Строчный!H:H,"ERR",0)))</f>
        <v>1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100% хлопок / Подклад: 100%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7" t="str">
        <f ca="1">PROPER(TRIM(_xlfn.XLOOKUP($A32,Строчный!$A:$A,Строчный!P:P,"ERR",0)))</f>
        <v/>
      </c>
      <c r="P32" s="90">
        <f ca="1">VALUE(_xlfn.XLOOKUP($A32,Строчный!$A:$A,Строчный!N:N,"ERR",0))</f>
        <v>1178.8879999999997</v>
      </c>
      <c r="Q32" s="89" t="str">
        <f ca="1">_xlfn.XLOOKUP($G32,Фабрика!A:A,Фабрика!B:B,"ERR",0)</f>
        <v>Friedrich W. Schneider GmbH &amp; Co. KG; Oskar-Schindler-Str. 11, D 50769 Köln, Germany</v>
      </c>
      <c r="R32" s="80" t="str">
        <f ca="1">_xlfn.XLOOKUP(RIGHT(Z32,2),Размеры!D:D,Размеры!A:A,"ERR",0)</f>
        <v>ONE</v>
      </c>
      <c r="S32" s="80">
        <f ca="1">VALUE(_xlfn.XLOOKUP($Z32,Строчный!$R:$R,Строчный!T:T,"ERR",0))</f>
        <v>6</v>
      </c>
      <c r="T32" s="14" t="s">
        <v>265</v>
      </c>
      <c r="U32" s="101" t="str">
        <f t="shared" ca="1" si="3"/>
        <v>Бейсболка STETSON арт. 7781122 BASEBALL CAP DIAMOND (черный)</v>
      </c>
      <c r="V32" s="100" t="str">
        <f t="shared" ca="1" si="4"/>
        <v>Бейсболка STETSON арт. 7781122 BASEBALL CAP DIAMOND (черный) {1}</v>
      </c>
      <c r="W32" s="18" t="str">
        <f t="shared" ca="1" si="0"/>
        <v>черный</v>
      </c>
      <c r="X32" s="18" t="str">
        <f t="shared" ca="1" si="1"/>
        <v>черный</v>
      </c>
      <c r="Y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Z32" s="73" t="str">
        <f ca="1"/>
        <v>02-677-09-00</v>
      </c>
      <c r="AA32" s="75" t="str">
        <f ca="1">VLOOKUP(C32,Группа!A:B,2,FALSE)</f>
        <v>Бейсболка</v>
      </c>
      <c r="AB32" s="97" t="str">
        <f ca="1">IFERROR(VLOOKUP(R32,Размеры!A:C,3,FALSE),"")</f>
        <v>ONE</v>
      </c>
      <c r="AC32" s="97" t="str">
        <f ca="1">VLOOKUP(I32,ЦветПолный!A:B,2,FALSE)</f>
        <v>09</v>
      </c>
      <c r="AD32" s="97" t="str">
        <f ca="1">IFERROR(VLOOKUP(R32,Размеры!A:D,4,FALSE),"")</f>
        <v>00</v>
      </c>
      <c r="AE32" s="97">
        <f ca="1">IF(LEFT(IFERROR(VLOOKUP(LOOKUP(2,1/SEARCH(B32,Товары!A:A),Товары!A:A),Товары!A:B,2,0),""),6)=MID(Z32,1,6),1,0)</f>
        <v>0</v>
      </c>
      <c r="AG32" s="97">
        <f ca="1">SUMIF(Группа!A:A,C32,Группа!C:C)</f>
        <v>1</v>
      </c>
      <c r="AH32" s="97">
        <f ca="1">SUMIF(Группа!B:B,AA32,Группа!C:C)</f>
        <v>1</v>
      </c>
      <c r="AI32" s="97">
        <f ca="1">SUMIF(Формы!A:A,D32,Формы!B:B)</f>
        <v>1</v>
      </c>
      <c r="AJ32" s="97">
        <f ca="1">SUMIF(Материал!A:A,K32,Материал!B:B)</f>
        <v>1</v>
      </c>
      <c r="AK32" s="97">
        <f ca="1">SUMIF(Размеры!A:A,R32,Размеры!E:E)</f>
        <v>1</v>
      </c>
      <c r="AL32" s="97">
        <f ca="1">SUMIF(Сезон!A:A,F32,Сезон!B:B)</f>
        <v>1</v>
      </c>
      <c r="AM32" s="97">
        <f ca="1">SUMIF(Состав!A:A,J32,Состав!B:B)</f>
        <v>0</v>
      </c>
      <c r="AN32" s="97">
        <f ca="1">VLOOKUP(I32,ЦветПолный!A:C,3,0)</f>
        <v>1</v>
      </c>
      <c r="AO32" s="97">
        <f ca="1">SUMIF(Цвет!A:A,Y32,Цвет!B:B)</f>
        <v>1</v>
      </c>
      <c r="AP32" s="97">
        <f ca="1">_xlfn.XLOOKUP(L32,Пол!A:A,Пол!B:B,0,0)</f>
        <v>1</v>
      </c>
      <c r="AQ32" s="97">
        <f ca="1">SUMIF(Марка!A:A,G32,Марка!B:B)</f>
        <v>1</v>
      </c>
      <c r="AR32" s="97">
        <f ca="1">SUMIF(Страна!A:A,M32,Страна!B:B)</f>
        <v>1</v>
      </c>
      <c r="AS32" s="64" t="e">
        <f ca="1">IF(VLOOKUP(V32,Товары!A:B,2,FALSE)=A32,"Есть в 1С","ERR")</f>
        <v>#N/A</v>
      </c>
      <c r="AT32" s="65" t="e">
        <f ca="1">IF(VLOOKUP(A32,Товары!B:B,1,FALSE)=A32,"Есть в 1С","ERR")</f>
        <v>#N/A</v>
      </c>
      <c r="AU32" s="96" t="e">
        <f ca="1">VLOOKUP(V32,Товары!A:B,2,FALSE)</f>
        <v>#N/A</v>
      </c>
      <c r="AV32" s="94" t="e">
        <f ca="1">VLOOKUP(V32,Товары!A:B,1,FALSE)</f>
        <v>#N/A</v>
      </c>
    </row>
    <row r="33" spans="1:48" x14ac:dyDescent="0.25">
      <c r="A33" s="110" t="str">
        <f t="shared" ca="1" si="2"/>
        <v>02-663-19</v>
      </c>
      <c r="B33" s="107" t="str">
        <f ca="1">_xlfn.LET(_xlpm.CAPS,1,_xlpm.Style,TRIM(_xlfn.XLOOKUP($A33,Строчный!$A:$A,Строчный!B:B,"ERR",0)),IF(_xlpm.CAPS=0,_xlpm.Style,UPPER(_xlpm.Style)))</f>
        <v>6611912 TEXAS COTTON</v>
      </c>
      <c r="C33" s="81" t="str">
        <f ca="1">TRIM(PROPER(_xlfn.XLOOKUP($A33,Строчный!$A:$A,Строчный!C:C,"ERR",0)))</f>
        <v>Кепки</v>
      </c>
      <c r="D33" s="81" t="str">
        <f ca="1">_xlfn.LET(_xlpm.DATA,TRIM(_xlfn.XLOOKUP($A33,Строчный!$A:$A,Строчный!D:D,"ERR",0)),UPPER(MID(_xlpm.DATA,1,1))&amp;LOWER(MID(_xlpm.DATA,2,LEN(_xlpm.DATA)-1)))</f>
        <v>Кепка уточка</v>
      </c>
      <c r="E33" s="81" t="str">
        <f ca="1">PROPER(TRIM(_xlfn.XLOOKUP($A33,Строчный!$A:$A,Строчный!E:E,"ERR",0)))</f>
        <v>Stetson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STETSON</v>
      </c>
      <c r="H33" s="81" t="str">
        <f ca="1">LOWER(TRIM(_xlfn.XLOOKUP($A33,Строчный!$A:$A,Строчный!H:H,"ERR",0)))</f>
        <v>99</v>
      </c>
      <c r="I33" s="81" t="str">
        <f ca="1">LOWER(TRIM(_xlfn.XLOOKUP($A33,Строчный!$A:$A,Строчный!I:I,"ERR",0)))</f>
        <v>голубой / красный</v>
      </c>
      <c r="J33" s="81" t="str">
        <f ca="1">SUBSTITUTE(LOWER(TRIM(_xlfn.XLOOKUP($A33,Строчный!$A:$A,Строчный!J:J,"ERR",0))),"подклад","Подклад")</f>
        <v>100% хлопок / Подклад: 100%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Болгария</v>
      </c>
      <c r="N33" s="81" t="str">
        <f ca="1">UPPER(TRIM(_xlfn.XLOOKUP($A33,Строчный!$A:$A,Строчный!O:O,"ERR",0)))</f>
        <v/>
      </c>
      <c r="O33" s="107" t="str">
        <f ca="1">PROPER(TRIM(_xlfn.XLOOKUP($A33,Строчный!$A:$A,Строчный!P:P,"ERR",0)))</f>
        <v/>
      </c>
      <c r="P33" s="90">
        <f ca="1">VALUE(_xlfn.XLOOKUP($A33,Строчный!$A:$A,Строчный!N:N,"ERR",0))</f>
        <v>2128.328</v>
      </c>
      <c r="Q33" s="89" t="str">
        <f ca="1">_xlfn.XLOOKUP($G33,Фабрика!A:A,Фабрика!B:B,"ERR",0)</f>
        <v>Friedrich W. Schneider GmbH &amp; Co. KG; Oskar-Schindler-Str. 11, D 50769 Köln, Germany</v>
      </c>
      <c r="R33" s="80" t="str">
        <f ca="1">_xlfn.XLOOKUP(RIGHT(Z33,2),Размеры!D:D,Размеры!A:A,"ERR",0)</f>
        <v>59</v>
      </c>
      <c r="S33" s="80">
        <f ca="1">VALUE(_xlfn.XLOOKUP($Z33,Строчный!$R:$R,Строчный!T:T,"ERR",0))</f>
        <v>4</v>
      </c>
      <c r="T33" s="14" t="s">
        <v>265</v>
      </c>
      <c r="U33" s="101" t="str">
        <f t="shared" ca="1" si="3"/>
        <v>Кепка STETSON арт. 6611912 TEXAS COTTON (голубой / красный)</v>
      </c>
      <c r="V33" s="100" t="str">
        <f t="shared" ca="1" si="4"/>
        <v>Кепка STETSON арт. 6611912 TEXAS COTTON (голубой / красный) {99}</v>
      </c>
      <c r="W33" s="18" t="str">
        <f t="shared" ca="1" si="0"/>
        <v>голубой</v>
      </c>
      <c r="X33" s="18" t="str">
        <f t="shared" ca="1" si="1"/>
        <v>красный</v>
      </c>
      <c r="Y33" s="117" t="str">
        <f ca="1">_xlfn.LET(_xlpm.FormColors,_xlfn.XLOOKUP(A33,Строчный!A:A,Строчный!Q:Q,"",0),IF(_xlpm.FormColors=0,IFERROR(MID(I33,FIND("-",I33)+1,LEN(I33)),IFERROR(MID(I33,1,FIND("/",I33)-2),I33)),_xlpm.FormColors))</f>
        <v>голубой</v>
      </c>
      <c r="Z33" s="73" t="str">
        <f ca="1"/>
        <v>02-663-19-59</v>
      </c>
      <c r="AA33" s="75" t="str">
        <f ca="1">VLOOKUP(C33,Группа!A:B,2,FALSE)</f>
        <v>Кепка</v>
      </c>
      <c r="AB33" s="97" t="str">
        <f ca="1">IFERROR(VLOOKUP(R33,Размеры!A:C,3,FALSE),"")</f>
        <v>59 L</v>
      </c>
      <c r="AC33" s="97" t="str">
        <f ca="1">VLOOKUP(I33,ЦветПолный!A:B,2,FALSE)</f>
        <v>19</v>
      </c>
      <c r="AD33" s="97" t="str">
        <f ca="1">IFERROR(VLOOKUP(R33,Размеры!A:D,4,FALSE),"")</f>
        <v>59</v>
      </c>
      <c r="AE33" s="97">
        <f ca="1">IF(LEFT(IFERROR(VLOOKUP(LOOKUP(2,1/SEARCH(B33,Товары!A:A),Товары!A:A),Товары!A:B,2,0),""),6)=MID(Z33,1,6),1,0)</f>
        <v>0</v>
      </c>
      <c r="AG33" s="97">
        <f ca="1">SUMIF(Группа!A:A,C33,Группа!C:C)</f>
        <v>1</v>
      </c>
      <c r="AH33" s="97">
        <f ca="1">SUMIF(Группа!B:B,AA33,Группа!C:C)</f>
        <v>1</v>
      </c>
      <c r="AI33" s="97">
        <f ca="1">SUMIF(Формы!A:A,D33,Формы!B:B)</f>
        <v>1</v>
      </c>
      <c r="AJ33" s="97">
        <f ca="1">SUMIF(Материал!A:A,K33,Материал!B:B)</f>
        <v>1</v>
      </c>
      <c r="AK33" s="97">
        <f ca="1">SUMIF(Размеры!A:A,R33,Размеры!E:E)</f>
        <v>1</v>
      </c>
      <c r="AL33" s="97">
        <f ca="1">SUMIF(Сезон!A:A,F33,Сезон!B:B)</f>
        <v>1</v>
      </c>
      <c r="AM33" s="97">
        <f ca="1">SUMIF(Состав!A:A,J33,Состав!B:B)</f>
        <v>0</v>
      </c>
      <c r="AN33" s="97">
        <f ca="1">VLOOKUP(I33,ЦветПолный!A:C,3,0)</f>
        <v>1</v>
      </c>
      <c r="AO33" s="97">
        <f ca="1">SUMIF(Цвет!A:A,Y33,Цвет!B:B)</f>
        <v>1</v>
      </c>
      <c r="AP33" s="97">
        <f ca="1">_xlfn.XLOOKUP(L33,Пол!A:A,Пол!B:B,0,0)</f>
        <v>1</v>
      </c>
      <c r="AQ33" s="97">
        <f ca="1">SUMIF(Марка!A:A,G33,Марка!B:B)</f>
        <v>1</v>
      </c>
      <c r="AR33" s="97">
        <f ca="1">SUMIF(Страна!A:A,M33,Страна!B:B)</f>
        <v>1</v>
      </c>
      <c r="AS33" s="64" t="e">
        <f ca="1">IF(VLOOKUP(V33,Товары!A:B,2,FALSE)=A33,"Есть в 1С","ERR")</f>
        <v>#N/A</v>
      </c>
      <c r="AT33" s="65" t="e">
        <f ca="1">IF(VLOOKUP(A33,Товары!B:B,1,FALSE)=A33,"Есть в 1С","ERR")</f>
        <v>#N/A</v>
      </c>
      <c r="AU33" s="96" t="e">
        <f ca="1">VLOOKUP(V33,Товары!A:B,2,FALSE)</f>
        <v>#N/A</v>
      </c>
      <c r="AV33" s="94" t="e">
        <f ca="1">VLOOKUP(V33,Товары!A:B,1,FALSE)</f>
        <v>#N/A</v>
      </c>
    </row>
    <row r="34" spans="1:48" x14ac:dyDescent="0.25">
      <c r="A34" s="110" t="str">
        <f t="shared" ca="1" si="2"/>
        <v>02-663-19</v>
      </c>
      <c r="B34" s="107" t="str">
        <f ca="1">_xlfn.LET(_xlpm.CAPS,1,_xlpm.Style,TRIM(_xlfn.XLOOKUP($A34,Строчный!$A:$A,Строчный!B:B,"ERR",0)),IF(_xlpm.CAPS=0,_xlpm.Style,UPPER(_xlpm.Style)))</f>
        <v>6611912 TEXAS COTTON</v>
      </c>
      <c r="C34" s="81" t="str">
        <f ca="1">TRIM(PROPER(_xlfn.XLOOKUP($A34,Строчный!$A:$A,Строчный!C:C,"ERR",0)))</f>
        <v>Кепки</v>
      </c>
      <c r="D34" s="81" t="str">
        <f ca="1">_xlfn.LET(_xlpm.DATA,TRIM(_xlfn.XLOOKUP($A34,Строчный!$A:$A,Строчный!D:D,"ERR",0)),UPPER(MID(_xlpm.DATA,1,1))&amp;LOWER(MID(_xlpm.DATA,2,LEN(_xlpm.DATA)-1)))</f>
        <v>Кепка уточка</v>
      </c>
      <c r="E34" s="81" t="str">
        <f ca="1">PROPER(TRIM(_xlfn.XLOOKUP($A34,Строчный!$A:$A,Строчный!E:E,"ERR",0)))</f>
        <v>Stetson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STETSON</v>
      </c>
      <c r="H34" s="81" t="str">
        <f ca="1">LOWER(TRIM(_xlfn.XLOOKUP($A34,Строчный!$A:$A,Строчный!H:H,"ERR",0)))</f>
        <v>99</v>
      </c>
      <c r="I34" s="81" t="str">
        <f ca="1">LOWER(TRIM(_xlfn.XLOOKUP($A34,Строчный!$A:$A,Строчный!I:I,"ERR",0)))</f>
        <v>голубой / красный</v>
      </c>
      <c r="J34" s="81" t="str">
        <f ca="1">SUBSTITUTE(LOWER(TRIM(_xlfn.XLOOKUP($A34,Строчный!$A:$A,Строчный!J:J,"ERR",0))),"подклад","Подклад")</f>
        <v>100% хлопок / Подклад: 100%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Болгария</v>
      </c>
      <c r="N34" s="81" t="str">
        <f ca="1">UPPER(TRIM(_xlfn.XLOOKUP($A34,Строчный!$A:$A,Строчный!O:O,"ERR",0)))</f>
        <v/>
      </c>
      <c r="O34" s="107" t="str">
        <f ca="1">PROPER(TRIM(_xlfn.XLOOKUP($A34,Строчный!$A:$A,Строчный!P:P,"ERR",0)))</f>
        <v/>
      </c>
      <c r="P34" s="90">
        <f ca="1">VALUE(_xlfn.XLOOKUP($A34,Строчный!$A:$A,Строчный!N:N,"ERR",0))</f>
        <v>2128.328</v>
      </c>
      <c r="Q34" s="89" t="str">
        <f ca="1">_xlfn.XLOOKUP($G34,Фабрика!A:A,Фабрика!B:B,"ERR",0)</f>
        <v>Friedrich W. Schneider GmbH &amp; Co. KG; Oskar-Schindler-Str. 11, D 50769 Köln, Germany</v>
      </c>
      <c r="R34" s="80" t="str">
        <f ca="1">_xlfn.XLOOKUP(RIGHT(Z34,2),Размеры!D:D,Размеры!A:A,"ERR",0)</f>
        <v>57</v>
      </c>
      <c r="S34" s="80">
        <f ca="1">VALUE(_xlfn.XLOOKUP($Z34,Строчный!$R:$R,Строчный!T:T,"ERR",0))</f>
        <v>2</v>
      </c>
      <c r="T34" s="14" t="s">
        <v>265</v>
      </c>
      <c r="U34" s="101" t="str">
        <f t="shared" ca="1" si="3"/>
        <v>Кепка STETSON арт. 6611912 TEXAS COTTON (голубой / красный)</v>
      </c>
      <c r="V34" s="100" t="str">
        <f t="shared" ca="1" si="4"/>
        <v>Кепка STETSON арт. 6611912 TEXAS COTTON (голубой / красный) {99}</v>
      </c>
      <c r="W34" s="18" t="str">
        <f t="shared" ref="W34:W51" ca="1" si="5">IFERROR(MID(I34,FIND("-",I34)+1,LEN(I34)),IFERROR(MID(I34,1,FIND("/",I34)-2),I34))</f>
        <v>голубой</v>
      </c>
      <c r="X34" s="18" t="str">
        <f t="shared" ref="X34:X51" ca="1" si="6">IFERROR(MID(I34,FIND("-",I34)+1,LEN(I34)),IFERROR(MID(I34,FIND("/",I34)+2,LEN(I34)),I34))</f>
        <v>красный</v>
      </c>
      <c r="Y34" s="117" t="str">
        <f ca="1">_xlfn.LET(_xlpm.FormColors,_xlfn.XLOOKUP(A34,Строчный!A:A,Строчный!Q:Q,"",0),IF(_xlpm.FormColors=0,IFERROR(MID(I34,FIND("-",I34)+1,LEN(I34)),IFERROR(MID(I34,1,FIND("/",I34)-2),I34)),_xlpm.FormColors))</f>
        <v>голубой</v>
      </c>
      <c r="Z34" s="73" t="str">
        <f ca="1"/>
        <v>02-663-19-57</v>
      </c>
      <c r="AA34" s="75" t="str">
        <f ca="1">VLOOKUP(C34,Группа!A:B,2,FALSE)</f>
        <v>Кепка</v>
      </c>
      <c r="AB34" s="97" t="str">
        <f ca="1">IFERROR(VLOOKUP(R34,Размеры!A:C,3,FALSE),"")</f>
        <v>57 M</v>
      </c>
      <c r="AC34" s="97" t="str">
        <f ca="1">VLOOKUP(I34,ЦветПолный!A:B,2,FALSE)</f>
        <v>19</v>
      </c>
      <c r="AD34" s="97" t="str">
        <f ca="1">IFERROR(VLOOKUP(R34,Размеры!A:D,4,FALSE),"")</f>
        <v>57</v>
      </c>
      <c r="AE34" s="97">
        <f ca="1">IF(LEFT(IFERROR(VLOOKUP(LOOKUP(2,1/SEARCH(B34,Товары!A:A),Товары!A:A),Товары!A:B,2,0),""),6)=MID(Z34,1,6),1,0)</f>
        <v>0</v>
      </c>
      <c r="AG34" s="97">
        <f ca="1">SUMIF(Группа!A:A,C34,Группа!C:C)</f>
        <v>1</v>
      </c>
      <c r="AH34" s="97">
        <f ca="1">SUMIF(Группа!B:B,AA34,Группа!C:C)</f>
        <v>1</v>
      </c>
      <c r="AI34" s="97">
        <f ca="1">SUMIF(Формы!A:A,D34,Формы!B:B)</f>
        <v>1</v>
      </c>
      <c r="AJ34" s="97">
        <f ca="1">SUMIF(Материал!A:A,K34,Материал!B:B)</f>
        <v>1</v>
      </c>
      <c r="AK34" s="97">
        <f ca="1">SUMIF(Размеры!A:A,R34,Размеры!E:E)</f>
        <v>1</v>
      </c>
      <c r="AL34" s="97">
        <f ca="1">SUMIF(Сезон!A:A,F34,Сезон!B:B)</f>
        <v>1</v>
      </c>
      <c r="AM34" s="97">
        <f ca="1">SUMIF(Состав!A:A,J34,Состав!B:B)</f>
        <v>0</v>
      </c>
      <c r="AN34" s="97">
        <f ca="1">VLOOKUP(I34,ЦветПолный!A:C,3,0)</f>
        <v>1</v>
      </c>
      <c r="AO34" s="97">
        <f ca="1">SUMIF(Цвет!A:A,Y34,Цвет!B:B)</f>
        <v>1</v>
      </c>
      <c r="AP34" s="97">
        <f ca="1">_xlfn.XLOOKUP(L34,Пол!A:A,Пол!B:B,0,0)</f>
        <v>1</v>
      </c>
      <c r="AQ34" s="97">
        <f ca="1">SUMIF(Марка!A:A,G34,Марка!B:B)</f>
        <v>1</v>
      </c>
      <c r="AR34" s="97">
        <f ca="1">SUMIF(Страна!A:A,M34,Страна!B:B)</f>
        <v>1</v>
      </c>
      <c r="AS34" s="64" t="e">
        <f ca="1">IF(VLOOKUP(V34,Товары!A:B,2,FALSE)=A34,"Есть в 1С","ERR")</f>
        <v>#N/A</v>
      </c>
      <c r="AT34" s="65" t="e">
        <f ca="1">IF(VLOOKUP(A34,Товары!B:B,1,FALSE)=A34,"Есть в 1С","ERR")</f>
        <v>#N/A</v>
      </c>
      <c r="AU34" s="96" t="e">
        <f ca="1">VLOOKUP(V34,Товары!A:B,2,FALSE)</f>
        <v>#N/A</v>
      </c>
      <c r="AV34" s="94" t="e">
        <f ca="1">VLOOKUP(V34,Товары!A:B,1,FALSE)</f>
        <v>#N/A</v>
      </c>
    </row>
    <row r="35" spans="1:48" x14ac:dyDescent="0.25">
      <c r="A35" s="110" t="str">
        <f t="shared" ca="1" si="2"/>
        <v>02-661-19</v>
      </c>
      <c r="B35" s="107" t="str">
        <f ca="1">_xlfn.LET(_xlpm.CAPS,1,_xlpm.Style,TRIM(_xlfn.XLOOKUP($A35,Строчный!$A:$A,Строчный!B:B,"ERR",0)),IF(_xlpm.CAPS=0,_xlpm.Style,UPPER(_xlpm.Style)))</f>
        <v>6213903 KENT LINEN</v>
      </c>
      <c r="C35" s="81" t="str">
        <f ca="1">TRIM(PROPER(_xlfn.XLOOKUP($A35,Строчный!$A:$A,Строчный!C:C,"ERR",0)))</f>
        <v>Кепки</v>
      </c>
      <c r="D35" s="81" t="str">
        <f ca="1">_xlfn.LET(_xlpm.DATA,TRIM(_xlfn.XLOOKUP($A35,Строчный!$A:$A,Строчный!D:D,"ERR",0)),UPPER(MID(_xlpm.DATA,1,1))&amp;LOWER(MID(_xlpm.DATA,2,LEN(_xlpm.DATA)-1)))</f>
        <v>Кепка уточка</v>
      </c>
      <c r="E35" s="81" t="str">
        <f ca="1">PROPER(TRIM(_xlfn.XLOOKUP($A35,Строчный!$A:$A,Строчный!E:E,"ERR",0)))</f>
        <v>Stetson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STETSON</v>
      </c>
      <c r="H35" s="81" t="str">
        <f ca="1">LOWER(TRIM(_xlfn.XLOOKUP($A35,Строчный!$A:$A,Строчный!H:H,"ERR",0)))</f>
        <v>99</v>
      </c>
      <c r="I35" s="81" t="str">
        <f ca="1">LOWER(TRIM(_xlfn.XLOOKUP($A35,Строчный!$A:$A,Строчный!I:I,"ERR",0)))</f>
        <v>голубой</v>
      </c>
      <c r="J35" s="81" t="str">
        <f ca="1">SUBSTITUTE(LOWER(TRIM(_xlfn.XLOOKUP($A35,Строчный!$A:$A,Строчный!J:J,"ERR",0))),"подклад","Подклад")</f>
        <v>100% лен / Подклад: 68% хлопок - 32% полиэстер</v>
      </c>
      <c r="K35" s="81" t="str">
        <f ca="1">LOWER(TRIM(_xlfn.XLOOKUP($A35,Строчный!$A:$A,Строчный!K:K,"ERR",0)))</f>
        <v>льняные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Германия</v>
      </c>
      <c r="N35" s="81" t="str">
        <f ca="1">UPPER(TRIM(_xlfn.XLOOKUP($A35,Строчный!$A:$A,Строчный!O:O,"ERR",0)))</f>
        <v/>
      </c>
      <c r="O35" s="107" t="str">
        <f ca="1">PROPER(TRIM(_xlfn.XLOOKUP($A35,Строчный!$A:$A,Строчный!P:P,"ERR",0)))</f>
        <v/>
      </c>
      <c r="P35" s="90">
        <f ca="1">VALUE(_xlfn.XLOOKUP($A35,Строчный!$A:$A,Строчный!N:N,"ERR",0))</f>
        <v>2998.6479999999997</v>
      </c>
      <c r="Q35" s="89" t="str">
        <f ca="1">_xlfn.XLOOKUP($G35,Фабрика!A:A,Фабрика!B:B,"ERR",0)</f>
        <v>Friedrich W. Schneider GmbH &amp; Co. KG; Oskar-Schindler-Str. 11, D 50769 Köln, Germany</v>
      </c>
      <c r="R35" s="80" t="str">
        <f ca="1">_xlfn.XLOOKUP(RIGHT(Z35,2),Размеры!D:D,Размеры!A:A,"ERR",0)</f>
        <v>59</v>
      </c>
      <c r="S35" s="80">
        <f ca="1">VALUE(_xlfn.XLOOKUP($Z35,Строчный!$R:$R,Строчный!T:T,"ERR",0))</f>
        <v>4</v>
      </c>
      <c r="T35" s="14" t="s">
        <v>265</v>
      </c>
      <c r="U35" s="101" t="str">
        <f t="shared" ca="1" si="3"/>
        <v>Кепка STETSON арт. 6213903 KENT LINEN (голубой)</v>
      </c>
      <c r="V35" s="100" t="str">
        <f t="shared" ca="1" si="4"/>
        <v>Кепка STETSON арт. 6213903 KENT LINEN (голубой) {99}</v>
      </c>
      <c r="W35" s="18" t="str">
        <f t="shared" ca="1" si="5"/>
        <v>голубой</v>
      </c>
      <c r="X35" s="18" t="str">
        <f t="shared" ca="1" si="6"/>
        <v>голубой</v>
      </c>
      <c r="Y35" s="117" t="str">
        <f ca="1">_xlfn.LET(_xlpm.FormColors,_xlfn.XLOOKUP(A35,Строчный!A:A,Строчный!Q:Q,"",0),IF(_xlpm.FormColors=0,IFERROR(MID(I35,FIND("-",I35)+1,LEN(I35)),IFERROR(MID(I35,1,FIND("/",I35)-2),I35)),_xlpm.FormColors))</f>
        <v>голубой</v>
      </c>
      <c r="Z35" s="73" t="str">
        <f ca="1"/>
        <v>02-661-19-59</v>
      </c>
      <c r="AA35" s="75" t="str">
        <f ca="1">VLOOKUP(C35,Группа!A:B,2,FALSE)</f>
        <v>Кепка</v>
      </c>
      <c r="AB35" s="97" t="str">
        <f ca="1">IFERROR(VLOOKUP(R35,Размеры!A:C,3,FALSE),"")</f>
        <v>59 L</v>
      </c>
      <c r="AC35" s="97" t="str">
        <f ca="1">VLOOKUP(I35,ЦветПолный!A:B,2,FALSE)</f>
        <v>19</v>
      </c>
      <c r="AD35" s="97" t="str">
        <f ca="1">IFERROR(VLOOKUP(R35,Размеры!A:D,4,FALSE),"")</f>
        <v>59</v>
      </c>
      <c r="AE35" s="97">
        <f ca="1">IF(LEFT(IFERROR(VLOOKUP(LOOKUP(2,1/SEARCH(B35,Товары!A:A),Товары!A:A),Товары!A:B,2,0),""),6)=MID(Z35,1,6),1,0)</f>
        <v>0</v>
      </c>
      <c r="AG35" s="97">
        <f ca="1">SUMIF(Группа!A:A,C35,Группа!C:C)</f>
        <v>1</v>
      </c>
      <c r="AH35" s="97">
        <f ca="1">SUMIF(Группа!B:B,AA35,Группа!C:C)</f>
        <v>1</v>
      </c>
      <c r="AI35" s="97">
        <f ca="1">SUMIF(Формы!A:A,D35,Формы!B:B)</f>
        <v>1</v>
      </c>
      <c r="AJ35" s="97">
        <f ca="1">SUMIF(Материал!A:A,K35,Материал!B:B)</f>
        <v>1</v>
      </c>
      <c r="AK35" s="97">
        <f ca="1">SUMIF(Размеры!A:A,R35,Размеры!E:E)</f>
        <v>1</v>
      </c>
      <c r="AL35" s="97">
        <f ca="1">SUMIF(Сезон!A:A,F35,Сезон!B:B)</f>
        <v>1</v>
      </c>
      <c r="AM35" s="97">
        <f ca="1">SUMIF(Состав!A:A,J35,Состав!B:B)</f>
        <v>0</v>
      </c>
      <c r="AN35" s="97">
        <f ca="1">VLOOKUP(I35,ЦветПолный!A:C,3,0)</f>
        <v>1</v>
      </c>
      <c r="AO35" s="97">
        <f ca="1">SUMIF(Цвет!A:A,Y35,Цвет!B:B)</f>
        <v>1</v>
      </c>
      <c r="AP35" s="97">
        <f ca="1">_xlfn.XLOOKUP(L35,Пол!A:A,Пол!B:B,0,0)</f>
        <v>1</v>
      </c>
      <c r="AQ35" s="97">
        <f ca="1">SUMIF(Марка!A:A,G35,Марка!B:B)</f>
        <v>1</v>
      </c>
      <c r="AR35" s="97">
        <f ca="1">SUMIF(Страна!A:A,M35,Страна!B:B)</f>
        <v>1</v>
      </c>
      <c r="AS35" s="64" t="e">
        <f ca="1">IF(VLOOKUP(V35,Товары!A:B,2,FALSE)=A35,"Есть в 1С","ERR")</f>
        <v>#N/A</v>
      </c>
      <c r="AT35" s="65" t="e">
        <f ca="1">IF(VLOOKUP(A35,Товары!B:B,1,FALSE)=A35,"Есть в 1С","ERR")</f>
        <v>#N/A</v>
      </c>
      <c r="AU35" s="96" t="e">
        <f ca="1">VLOOKUP(V35,Товары!A:B,2,FALSE)</f>
        <v>#N/A</v>
      </c>
      <c r="AV35" s="94" t="e">
        <f ca="1">VLOOKUP(V35,Товары!A:B,1,FALSE)</f>
        <v>#N/A</v>
      </c>
    </row>
    <row r="36" spans="1:48" x14ac:dyDescent="0.25">
      <c r="A36" s="110" t="str">
        <f t="shared" ca="1" si="2"/>
        <v>02-661-19</v>
      </c>
      <c r="B36" s="107" t="str">
        <f ca="1">_xlfn.LET(_xlpm.CAPS,1,_xlpm.Style,TRIM(_xlfn.XLOOKUP($A36,Строчный!$A:$A,Строчный!B:B,"ERR",0)),IF(_xlpm.CAPS=0,_xlpm.Style,UPPER(_xlpm.Style)))</f>
        <v>6213903 KENT LINEN</v>
      </c>
      <c r="C36" s="81" t="str">
        <f ca="1">TRIM(PROPER(_xlfn.XLOOKUP($A36,Строчный!$A:$A,Строчный!C:C,"ERR",0)))</f>
        <v>Кепки</v>
      </c>
      <c r="D36" s="81" t="str">
        <f ca="1">_xlfn.LET(_xlpm.DATA,TRIM(_xlfn.XLOOKUP($A36,Строчный!$A:$A,Строчный!D:D,"ERR",0)),UPPER(MID(_xlpm.DATA,1,1))&amp;LOWER(MID(_xlpm.DATA,2,LEN(_xlpm.DATA)-1)))</f>
        <v>Кепка уточка</v>
      </c>
      <c r="E36" s="81" t="str">
        <f ca="1">PROPER(TRIM(_xlfn.XLOOKUP($A36,Строчный!$A:$A,Строчный!E:E,"ERR",0)))</f>
        <v>Stetson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STETSON</v>
      </c>
      <c r="H36" s="81" t="str">
        <f ca="1">LOWER(TRIM(_xlfn.XLOOKUP($A36,Строчный!$A:$A,Строчный!H:H,"ERR",0)))</f>
        <v>99</v>
      </c>
      <c r="I36" s="81" t="str">
        <f ca="1">LOWER(TRIM(_xlfn.XLOOKUP($A36,Строчный!$A:$A,Строчный!I:I,"ERR",0)))</f>
        <v>голубой</v>
      </c>
      <c r="J36" s="81" t="str">
        <f ca="1">SUBSTITUTE(LOWER(TRIM(_xlfn.XLOOKUP($A36,Строчный!$A:$A,Строчный!J:J,"ERR",0))),"подклад","Подклад")</f>
        <v>100% лен / Подклад: 68% хлопок - 32% полиэстер</v>
      </c>
      <c r="K36" s="81" t="str">
        <f ca="1">LOWER(TRIM(_xlfn.XLOOKUP($A36,Строчный!$A:$A,Строчный!K:K,"ERR",0)))</f>
        <v>льняные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Германия</v>
      </c>
      <c r="N36" s="81" t="str">
        <f ca="1">UPPER(TRIM(_xlfn.XLOOKUP($A36,Строчный!$A:$A,Строчный!O:O,"ERR",0)))</f>
        <v/>
      </c>
      <c r="O36" s="107" t="str">
        <f ca="1">PROPER(TRIM(_xlfn.XLOOKUP($A36,Строчный!$A:$A,Строчный!P:P,"ERR",0)))</f>
        <v/>
      </c>
      <c r="P36" s="90">
        <f ca="1">VALUE(_xlfn.XLOOKUP($A36,Строчный!$A:$A,Строчный!N:N,"ERR",0))</f>
        <v>2998.6479999999997</v>
      </c>
      <c r="Q36" s="89" t="str">
        <f ca="1">_xlfn.XLOOKUP($G36,Фабрика!A:A,Фабрика!B:B,"ERR",0)</f>
        <v>Friedrich W. Schneider GmbH &amp; Co. KG; Oskar-Schindler-Str. 11, D 50769 Köln, Germany</v>
      </c>
      <c r="R36" s="80" t="str">
        <f ca="1">_xlfn.XLOOKUP(RIGHT(Z36,2),Размеры!D:D,Размеры!A:A,"ERR",0)</f>
        <v>57</v>
      </c>
      <c r="S36" s="80">
        <f ca="1">VALUE(_xlfn.XLOOKUP($Z36,Строчный!$R:$R,Строчный!T:T,"ERR",0))</f>
        <v>2</v>
      </c>
      <c r="T36" s="14" t="s">
        <v>265</v>
      </c>
      <c r="U36" s="101" t="str">
        <f t="shared" ca="1" si="3"/>
        <v>Кепка STETSON арт. 6213903 KENT LINEN (голубой)</v>
      </c>
      <c r="V36" s="100" t="str">
        <f t="shared" ca="1" si="4"/>
        <v>Кепка STETSON арт. 6213903 KENT LINEN (голубой) {99}</v>
      </c>
      <c r="W36" s="18" t="str">
        <f t="shared" ca="1" si="5"/>
        <v>голубой</v>
      </c>
      <c r="X36" s="18" t="str">
        <f t="shared" ca="1" si="6"/>
        <v>голубой</v>
      </c>
      <c r="Y36" s="117" t="str">
        <f ca="1">_xlfn.LET(_xlpm.FormColors,_xlfn.XLOOKUP(A36,Строчный!A:A,Строчный!Q:Q,"",0),IF(_xlpm.FormColors=0,IFERROR(MID(I36,FIND("-",I36)+1,LEN(I36)),IFERROR(MID(I36,1,FIND("/",I36)-2),I36)),_xlpm.FormColors))</f>
        <v>голубой</v>
      </c>
      <c r="Z36" s="73" t="str">
        <f ca="1"/>
        <v>02-661-19-57</v>
      </c>
      <c r="AA36" s="75" t="str">
        <f ca="1">VLOOKUP(C36,Группа!A:B,2,FALSE)</f>
        <v>Кепка</v>
      </c>
      <c r="AB36" s="97" t="str">
        <f ca="1">IFERROR(VLOOKUP(R36,Размеры!A:C,3,FALSE),"")</f>
        <v>57 M</v>
      </c>
      <c r="AC36" s="97" t="str">
        <f ca="1">VLOOKUP(I36,ЦветПолный!A:B,2,FALSE)</f>
        <v>19</v>
      </c>
      <c r="AD36" s="97" t="str">
        <f ca="1">IFERROR(VLOOKUP(R36,Размеры!A:D,4,FALSE),"")</f>
        <v>57</v>
      </c>
      <c r="AE36" s="97">
        <f ca="1">IF(LEFT(IFERROR(VLOOKUP(LOOKUP(2,1/SEARCH(B36,Товары!A:A),Товары!A:A),Товары!A:B,2,0),""),6)=MID(Z36,1,6),1,0)</f>
        <v>0</v>
      </c>
      <c r="AG36" s="97">
        <f ca="1">SUMIF(Группа!A:A,C36,Группа!C:C)</f>
        <v>1</v>
      </c>
      <c r="AH36" s="97">
        <f ca="1">SUMIF(Группа!B:B,AA36,Группа!C:C)</f>
        <v>1</v>
      </c>
      <c r="AI36" s="97">
        <f ca="1">SUMIF(Формы!A:A,D36,Формы!B:B)</f>
        <v>1</v>
      </c>
      <c r="AJ36" s="97">
        <f ca="1">SUMIF(Материал!A:A,K36,Материал!B:B)</f>
        <v>1</v>
      </c>
      <c r="AK36" s="97">
        <f ca="1">SUMIF(Размеры!A:A,R36,Размеры!E:E)</f>
        <v>1</v>
      </c>
      <c r="AL36" s="97">
        <f ca="1">SUMIF(Сезон!A:A,F36,Сезон!B:B)</f>
        <v>1</v>
      </c>
      <c r="AM36" s="97">
        <f ca="1">SUMIF(Состав!A:A,J36,Состав!B:B)</f>
        <v>0</v>
      </c>
      <c r="AN36" s="97">
        <f ca="1">VLOOKUP(I36,ЦветПолный!A:C,3,0)</f>
        <v>1</v>
      </c>
      <c r="AO36" s="97">
        <f ca="1">SUMIF(Цвет!A:A,Y36,Цвет!B:B)</f>
        <v>1</v>
      </c>
      <c r="AP36" s="97">
        <f ca="1">_xlfn.XLOOKUP(L36,Пол!A:A,Пол!B:B,0,0)</f>
        <v>1</v>
      </c>
      <c r="AQ36" s="97">
        <f ca="1">SUMIF(Марка!A:A,G36,Марка!B:B)</f>
        <v>1</v>
      </c>
      <c r="AR36" s="97">
        <f ca="1">SUMIF(Страна!A:A,M36,Страна!B:B)</f>
        <v>1</v>
      </c>
      <c r="AS36" s="64" t="e">
        <f ca="1">IF(VLOOKUP(V36,Товары!A:B,2,FALSE)=A36,"Есть в 1С","ERR")</f>
        <v>#N/A</v>
      </c>
      <c r="AT36" s="65" t="e">
        <f ca="1">IF(VLOOKUP(A36,Товары!B:B,1,FALSE)=A36,"Есть в 1С","ERR")</f>
        <v>#N/A</v>
      </c>
      <c r="AU36" s="96" t="e">
        <f ca="1">VLOOKUP(V36,Товары!A:B,2,FALSE)</f>
        <v>#N/A</v>
      </c>
      <c r="AV36" s="94" t="e">
        <f ca="1">VLOOKUP(V36,Товары!A:B,1,FALSE)</f>
        <v>#N/A</v>
      </c>
    </row>
    <row r="37" spans="1:48" x14ac:dyDescent="0.25">
      <c r="A37" s="110" t="str">
        <f t="shared" ca="1" si="2"/>
        <v>02-659-02</v>
      </c>
      <c r="B37" s="107" t="str">
        <f ca="1">_xlfn.LET(_xlpm.CAPS,1,_xlpm.Style,TRIM(_xlfn.XLOOKUP($A37,Строчный!$A:$A,Строчный!B:B,"ERR",0)),IF(_xlpm.CAPS=0,_xlpm.Style,UPPER(_xlpm.Style)))</f>
        <v>3698521 WESTERN RAFFIA</v>
      </c>
      <c r="C37" s="81" t="str">
        <f ca="1">TRIM(PROPER(_xlfn.XLOOKUP($A37,Строчный!$A:$A,Строчный!C:C,"ERR",0)))</f>
        <v>Шляпы</v>
      </c>
      <c r="D37" s="81" t="str">
        <f ca="1">_xlfn.LET(_xlpm.DATA,TRIM(_xlfn.XLOOKUP($A37,Строчный!$A:$A,Строчный!D:D,"ERR",0)),UPPER(MID(_xlpm.DATA,1,1))&amp;LOWER(MID(_xlpm.DATA,2,LEN(_xlpm.DATA)-1)))</f>
        <v>Шляпа ковбойская</v>
      </c>
      <c r="E37" s="81" t="str">
        <f ca="1">PROPER(TRIM(_xlfn.XLOOKUP($A37,Строчный!$A:$A,Строчный!E:E,"ERR",0)))</f>
        <v>Stetson</v>
      </c>
      <c r="F37" s="81" t="str">
        <f ca="1">LOWER(TRIM(_xlfn.XLOOKUP($A37,Строчный!$A:$A,Строчный!F:F,"ERR",0)))</f>
        <v>летний</v>
      </c>
      <c r="G37" s="81" t="str">
        <f ca="1">UPPER(TRIM(_xlfn.XLOOKUP($A37,Строчный!$A:$A,Строчный!G:G,"ERR",0)))</f>
        <v>STETSON</v>
      </c>
      <c r="H37" s="81" t="str">
        <f ca="1">LOWER(TRIM(_xlfn.XLOOKUP($A37,Строчный!$A:$A,Строчный!H:H,"ERR",0)))</f>
        <v>7</v>
      </c>
      <c r="I37" s="81" t="str">
        <f ca="1">LOWER(TRIM(_xlfn.XLOOKUP($A37,Строчный!$A:$A,Строчный!I:I,"ERR",0)))</f>
        <v>бежевый</v>
      </c>
      <c r="J37" s="81" t="str">
        <f ca="1">SUBSTITUTE(LOWER(TRIM(_xlfn.XLOOKUP($A37,Строчный!$A:$A,Строчный!J:J,"ERR",0))),"подклад","Подклад")</f>
        <v>100% солома / Подклад: 100% хлопок</v>
      </c>
      <c r="K37" s="81" t="str">
        <f ca="1">LOWER(TRIM(_xlfn.XLOOKUP($A37,Строчный!$A:$A,Строчный!K:K,"ERR",0)))</f>
        <v>соломенные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7" t="str">
        <f ca="1">PROPER(TRIM(_xlfn.XLOOKUP($A37,Строчный!$A:$A,Строчный!P:P,"ERR",0)))</f>
        <v/>
      </c>
      <c r="P37" s="90">
        <f ca="1">VALUE(_xlfn.XLOOKUP($A37,Строчный!$A:$A,Строчный!N:N,"ERR",0))</f>
        <v>2365.6880000000001</v>
      </c>
      <c r="Q37" s="89" t="str">
        <f ca="1">_xlfn.XLOOKUP($G37,Фабрика!A:A,Фабрика!B:B,"ERR",0)</f>
        <v>Friedrich W. Schneider GmbH &amp; Co. KG; Oskar-Schindler-Str. 11, D 50769 Köln, Germany</v>
      </c>
      <c r="R37" s="80" t="str">
        <f ca="1">_xlfn.XLOOKUP(RIGHT(Z37,2),Размеры!D:D,Размеры!A:A,"ERR",0)</f>
        <v>63</v>
      </c>
      <c r="S37" s="80">
        <f ca="1">VALUE(_xlfn.XLOOKUP($Z37,Строчный!$R:$R,Строчный!T:T,"ERR",0))</f>
        <v>3</v>
      </c>
      <c r="T37" s="14" t="s">
        <v>265</v>
      </c>
      <c r="U37" s="101" t="str">
        <f t="shared" ca="1" si="3"/>
        <v>Шляпа STETSON арт. 3698521 WESTERN RAFFIA (бежевый)</v>
      </c>
      <c r="V37" s="100" t="str">
        <f t="shared" ca="1" si="4"/>
        <v>Шляпа STETSON арт. 3698521 WESTERN RAFFIA (бежевый) {7}</v>
      </c>
      <c r="W37" s="18" t="str">
        <f t="shared" ca="1" si="5"/>
        <v>бежевый</v>
      </c>
      <c r="X37" s="18" t="str">
        <f t="shared" ca="1" si="6"/>
        <v>бежевый</v>
      </c>
      <c r="Y37" s="117" t="str">
        <f ca="1">_xlfn.LET(_xlpm.FormColors,_xlfn.XLOOKUP(A37,Строчный!A:A,Строчный!Q:Q,"",0),IF(_xlpm.FormColors=0,IFERROR(MID(I37,FIND("-",I37)+1,LEN(I37)),IFERROR(MID(I37,1,FIND("/",I37)-2),I37)),_xlpm.FormColors))</f>
        <v>бежевый</v>
      </c>
      <c r="Z37" s="73" t="str">
        <f ca="1"/>
        <v>02-659-02-63</v>
      </c>
      <c r="AA37" s="75" t="str">
        <f ca="1">VLOOKUP(C37,Группа!A:B,2,FALSE)</f>
        <v>Шляпа</v>
      </c>
      <c r="AB37" s="97" t="str">
        <f ca="1">IFERROR(VLOOKUP(R37,Размеры!A:C,3,FALSE),"")</f>
        <v>63 XXL</v>
      </c>
      <c r="AC37" s="97" t="str">
        <f ca="1">VLOOKUP(I37,ЦветПолный!A:B,2,FALSE)</f>
        <v>02</v>
      </c>
      <c r="AD37" s="97" t="str">
        <f ca="1">IFERROR(VLOOKUP(R37,Размеры!A:D,4,FALSE),"")</f>
        <v>63</v>
      </c>
      <c r="AE37" s="97">
        <f ca="1">IF(LEFT(IFERROR(VLOOKUP(LOOKUP(2,1/SEARCH(B37,Товары!A:A),Товары!A:A),Товары!A:B,2,0),""),6)=MID(Z37,1,6),1,0)</f>
        <v>0</v>
      </c>
      <c r="AG37" s="97">
        <f ca="1">SUMIF(Группа!A:A,C37,Группа!C:C)</f>
        <v>1</v>
      </c>
      <c r="AH37" s="97">
        <f ca="1">SUMIF(Группа!B:B,AA37,Группа!C:C)</f>
        <v>1</v>
      </c>
      <c r="AI37" s="97">
        <f ca="1">SUMIF(Формы!A:A,D37,Формы!B:B)</f>
        <v>1</v>
      </c>
      <c r="AJ37" s="97">
        <f ca="1">SUMIF(Материал!A:A,K37,Материал!B:B)</f>
        <v>1</v>
      </c>
      <c r="AK37" s="97">
        <f ca="1">SUMIF(Размеры!A:A,R37,Размеры!E:E)</f>
        <v>1</v>
      </c>
      <c r="AL37" s="97">
        <f ca="1">SUMIF(Сезон!A:A,F37,Сезон!B:B)</f>
        <v>1</v>
      </c>
      <c r="AM37" s="97">
        <f ca="1">SUMIF(Состав!A:A,J37,Состав!B:B)</f>
        <v>0</v>
      </c>
      <c r="AN37" s="97">
        <f ca="1">VLOOKUP(I37,ЦветПолный!A:C,3,0)</f>
        <v>1</v>
      </c>
      <c r="AO37" s="97">
        <f ca="1">SUMIF(Цвет!A:A,Y37,Цвет!B:B)</f>
        <v>1</v>
      </c>
      <c r="AP37" s="97">
        <f ca="1">_xlfn.XLOOKUP(L37,Пол!A:A,Пол!B:B,0,0)</f>
        <v>1</v>
      </c>
      <c r="AQ37" s="97">
        <f ca="1">SUMIF(Марка!A:A,G37,Марка!B:B)</f>
        <v>1</v>
      </c>
      <c r="AR37" s="97">
        <f ca="1">SUMIF(Страна!A:A,M37,Страна!B:B)</f>
        <v>1</v>
      </c>
      <c r="AS37" s="64" t="e">
        <f ca="1">IF(VLOOKUP(V37,Товары!A:B,2,FALSE)=A37,"Есть в 1С","ERR")</f>
        <v>#N/A</v>
      </c>
      <c r="AT37" s="65" t="e">
        <f ca="1">IF(VLOOKUP(A37,Товары!B:B,1,FALSE)=A37,"Есть в 1С","ERR")</f>
        <v>#N/A</v>
      </c>
      <c r="AU37" s="96" t="e">
        <f ca="1">VLOOKUP(V37,Товары!A:B,2,FALSE)</f>
        <v>#N/A</v>
      </c>
      <c r="AV37" s="94" t="e">
        <f ca="1">VLOOKUP(V37,Товары!A:B,1,FALSE)</f>
        <v>#N/A</v>
      </c>
    </row>
    <row r="38" spans="1:48" x14ac:dyDescent="0.25">
      <c r="A38" s="110" t="str">
        <f t="shared" ca="1" si="2"/>
        <v>02-659-02</v>
      </c>
      <c r="B38" s="107" t="str">
        <f ca="1">_xlfn.LET(_xlpm.CAPS,1,_xlpm.Style,TRIM(_xlfn.XLOOKUP($A38,Строчный!$A:$A,Строчный!B:B,"ERR",0)),IF(_xlpm.CAPS=0,_xlpm.Style,UPPER(_xlpm.Style)))</f>
        <v>3698521 WESTERN RAFFIA</v>
      </c>
      <c r="C38" s="81" t="str">
        <f ca="1">TRIM(PROPER(_xlfn.XLOOKUP($A38,Строчный!$A:$A,Строчный!C:C,"ERR",0)))</f>
        <v>Шляпы</v>
      </c>
      <c r="D38" s="81" t="str">
        <f ca="1">_xlfn.LET(_xlpm.DATA,TRIM(_xlfn.XLOOKUP($A38,Строчный!$A:$A,Строчный!D:D,"ERR",0)),UPPER(MID(_xlpm.DATA,1,1))&amp;LOWER(MID(_xlpm.DATA,2,LEN(_xlpm.DATA)-1)))</f>
        <v>Шляпа ковбойская</v>
      </c>
      <c r="E38" s="81" t="str">
        <f ca="1">PROPER(TRIM(_xlfn.XLOOKUP($A38,Строчный!$A:$A,Строчный!E:E,"ERR",0)))</f>
        <v>Stetson</v>
      </c>
      <c r="F38" s="81" t="str">
        <f ca="1">LOWER(TRIM(_xlfn.XLOOKUP($A38,Строчный!$A:$A,Строчный!F:F,"ERR",0)))</f>
        <v>летний</v>
      </c>
      <c r="G38" s="81" t="str">
        <f ca="1">UPPER(TRIM(_xlfn.XLOOKUP($A38,Строчный!$A:$A,Строчный!G:G,"ERR",0)))</f>
        <v>STETSON</v>
      </c>
      <c r="H38" s="81" t="str">
        <f ca="1">LOWER(TRIM(_xlfn.XLOOKUP($A38,Строчный!$A:$A,Строчный!H:H,"ERR",0)))</f>
        <v>7</v>
      </c>
      <c r="I38" s="81" t="str">
        <f ca="1">LOWER(TRIM(_xlfn.XLOOKUP($A38,Строчный!$A:$A,Строчный!I:I,"ERR",0)))</f>
        <v>бежевый</v>
      </c>
      <c r="J38" s="81" t="str">
        <f ca="1">SUBSTITUTE(LOWER(TRIM(_xlfn.XLOOKUP($A38,Строчный!$A:$A,Строчный!J:J,"ERR",0))),"подклад","Подклад")</f>
        <v>100% солома / Подклад: 100% хлопок</v>
      </c>
      <c r="K38" s="81" t="str">
        <f ca="1">LOWER(TRIM(_xlfn.XLOOKUP($A38,Строчный!$A:$A,Строчный!K:K,"ERR",0)))</f>
        <v>соломенные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7" t="str">
        <f ca="1">PROPER(TRIM(_xlfn.XLOOKUP($A38,Строчный!$A:$A,Строчный!P:P,"ERR",0)))</f>
        <v/>
      </c>
      <c r="P38" s="90">
        <f ca="1">VALUE(_xlfn.XLOOKUP($A38,Строчный!$A:$A,Строчный!N:N,"ERR",0))</f>
        <v>2365.6880000000001</v>
      </c>
      <c r="Q38" s="89" t="str">
        <f ca="1">_xlfn.XLOOKUP($G38,Фабрика!A:A,Фабрика!B:B,"ERR",0)</f>
        <v>Friedrich W. Schneider GmbH &amp; Co. KG; Oskar-Schindler-Str. 11, D 50769 Köln, Germany</v>
      </c>
      <c r="R38" s="80" t="str">
        <f ca="1">_xlfn.XLOOKUP(RIGHT(Z38,2),Размеры!D:D,Размеры!A:A,"ERR",0)</f>
        <v>61</v>
      </c>
      <c r="S38" s="80">
        <f ca="1">VALUE(_xlfn.XLOOKUP($Z38,Строчный!$R:$R,Строчный!T:T,"ERR",0))</f>
        <v>6</v>
      </c>
      <c r="T38" s="14" t="s">
        <v>265</v>
      </c>
      <c r="U38" s="101" t="str">
        <f t="shared" ca="1" si="3"/>
        <v>Шляпа STETSON арт. 3698521 WESTERN RAFFIA (бежевый)</v>
      </c>
      <c r="V38" s="100" t="str">
        <f t="shared" ca="1" si="4"/>
        <v>Шляпа STETSON арт. 3698521 WESTERN RAFFIA (бежевый) {7}</v>
      </c>
      <c r="W38" s="18" t="str">
        <f t="shared" ca="1" si="5"/>
        <v>бежевый</v>
      </c>
      <c r="X38" s="18" t="str">
        <f t="shared" ca="1" si="6"/>
        <v>бежевый</v>
      </c>
      <c r="Y38" s="117" t="str">
        <f ca="1">_xlfn.LET(_xlpm.FormColors,_xlfn.XLOOKUP(A38,Строчный!A:A,Строчный!Q:Q,"",0),IF(_xlpm.FormColors=0,IFERROR(MID(I38,FIND("-",I38)+1,LEN(I38)),IFERROR(MID(I38,1,FIND("/",I38)-2),I38)),_xlpm.FormColors))</f>
        <v>бежевый</v>
      </c>
      <c r="Z38" s="73" t="str">
        <f ca="1"/>
        <v>02-659-02-61</v>
      </c>
      <c r="AA38" s="75" t="str">
        <f ca="1">VLOOKUP(C38,Группа!A:B,2,FALSE)</f>
        <v>Шляпа</v>
      </c>
      <c r="AB38" s="97" t="str">
        <f ca="1">IFERROR(VLOOKUP(R38,Размеры!A:C,3,FALSE),"")</f>
        <v>61 XL</v>
      </c>
      <c r="AC38" s="97" t="str">
        <f ca="1">VLOOKUP(I38,ЦветПолный!A:B,2,FALSE)</f>
        <v>02</v>
      </c>
      <c r="AD38" s="97" t="str">
        <f ca="1">IFERROR(VLOOKUP(R38,Размеры!A:D,4,FALSE),"")</f>
        <v>61</v>
      </c>
      <c r="AE38" s="97">
        <f ca="1">IF(LEFT(IFERROR(VLOOKUP(LOOKUP(2,1/SEARCH(B38,Товары!A:A),Товары!A:A),Товары!A:B,2,0),""),6)=MID(Z38,1,6),1,0)</f>
        <v>0</v>
      </c>
      <c r="AG38" s="97">
        <f ca="1">SUMIF(Группа!A:A,C38,Группа!C:C)</f>
        <v>1</v>
      </c>
      <c r="AH38" s="97">
        <f ca="1">SUMIF(Группа!B:B,AA38,Группа!C:C)</f>
        <v>1</v>
      </c>
      <c r="AI38" s="97">
        <f ca="1">SUMIF(Формы!A:A,D38,Формы!B:B)</f>
        <v>1</v>
      </c>
      <c r="AJ38" s="97">
        <f ca="1">SUMIF(Материал!A:A,K38,Материал!B:B)</f>
        <v>1</v>
      </c>
      <c r="AK38" s="97">
        <f ca="1">SUMIF(Размеры!A:A,R38,Размеры!E:E)</f>
        <v>1</v>
      </c>
      <c r="AL38" s="97">
        <f ca="1">SUMIF(Сезон!A:A,F38,Сезон!B:B)</f>
        <v>1</v>
      </c>
      <c r="AM38" s="97">
        <f ca="1">SUMIF(Состав!A:A,J38,Состав!B:B)</f>
        <v>0</v>
      </c>
      <c r="AN38" s="97">
        <f ca="1">VLOOKUP(I38,ЦветПолный!A:C,3,0)</f>
        <v>1</v>
      </c>
      <c r="AO38" s="97">
        <f ca="1">SUMIF(Цвет!A:A,Y38,Цвет!B:B)</f>
        <v>1</v>
      </c>
      <c r="AP38" s="97">
        <f ca="1">_xlfn.XLOOKUP(L38,Пол!A:A,Пол!B:B,0,0)</f>
        <v>1</v>
      </c>
      <c r="AQ38" s="97">
        <f ca="1">SUMIF(Марка!A:A,G38,Марка!B:B)</f>
        <v>1</v>
      </c>
      <c r="AR38" s="97">
        <f ca="1">SUMIF(Страна!A:A,M38,Страна!B:B)</f>
        <v>1</v>
      </c>
      <c r="AS38" s="64" t="e">
        <f ca="1">IF(VLOOKUP(V38,Товары!A:B,2,FALSE)=A38,"Есть в 1С","ERR")</f>
        <v>#N/A</v>
      </c>
      <c r="AT38" s="65" t="e">
        <f ca="1">IF(VLOOKUP(A38,Товары!B:B,1,FALSE)=A38,"Есть в 1С","ERR")</f>
        <v>#N/A</v>
      </c>
      <c r="AU38" s="96" t="e">
        <f ca="1">VLOOKUP(V38,Товары!A:B,2,FALSE)</f>
        <v>#N/A</v>
      </c>
      <c r="AV38" s="94" t="e">
        <f ca="1">VLOOKUP(V38,Товары!A:B,1,FALSE)</f>
        <v>#N/A</v>
      </c>
    </row>
    <row r="39" spans="1:48" x14ac:dyDescent="0.25">
      <c r="A39" s="110" t="str">
        <f t="shared" ca="1" si="2"/>
        <v>02-659-02</v>
      </c>
      <c r="B39" s="107" t="str">
        <f ca="1">_xlfn.LET(_xlpm.CAPS,1,_xlpm.Style,TRIM(_xlfn.XLOOKUP($A39,Строчный!$A:$A,Строчный!B:B,"ERR",0)),IF(_xlpm.CAPS=0,_xlpm.Style,UPPER(_xlpm.Style)))</f>
        <v>3698521 WESTERN RAFFIA</v>
      </c>
      <c r="C39" s="81" t="str">
        <f ca="1">TRIM(PROPER(_xlfn.XLOOKUP($A39,Строчный!$A:$A,Строчный!C:C,"ERR",0)))</f>
        <v>Шляпы</v>
      </c>
      <c r="D39" s="81" t="str">
        <f ca="1">_xlfn.LET(_xlpm.DATA,TRIM(_xlfn.XLOOKUP($A39,Строчный!$A:$A,Строчный!D:D,"ERR",0)),UPPER(MID(_xlpm.DATA,1,1))&amp;LOWER(MID(_xlpm.DATA,2,LEN(_xlpm.DATA)-1)))</f>
        <v>Шляпа ковбойская</v>
      </c>
      <c r="E39" s="81" t="str">
        <f ca="1">PROPER(TRIM(_xlfn.XLOOKUP($A39,Строчный!$A:$A,Строчный!E:E,"ERR",0)))</f>
        <v>Stetson</v>
      </c>
      <c r="F39" s="81" t="str">
        <f ca="1">LOWER(TRIM(_xlfn.XLOOKUP($A39,Строчный!$A:$A,Строчный!F:F,"ERR",0)))</f>
        <v>летний</v>
      </c>
      <c r="G39" s="81" t="str">
        <f ca="1">UPPER(TRIM(_xlfn.XLOOKUP($A39,Строчный!$A:$A,Строчный!G:G,"ERR",0)))</f>
        <v>STETSON</v>
      </c>
      <c r="H39" s="81" t="str">
        <f ca="1">LOWER(TRIM(_xlfn.XLOOKUP($A39,Строчный!$A:$A,Строчный!H:H,"ERR",0)))</f>
        <v>7</v>
      </c>
      <c r="I39" s="81" t="str">
        <f ca="1">LOWER(TRIM(_xlfn.XLOOKUP($A39,Строчный!$A:$A,Строчный!I:I,"ERR",0)))</f>
        <v>бежевый</v>
      </c>
      <c r="J39" s="81" t="str">
        <f ca="1">SUBSTITUTE(LOWER(TRIM(_xlfn.XLOOKUP($A39,Строчный!$A:$A,Строчный!J:J,"ERR",0))),"подклад","Подклад")</f>
        <v>100% солома / Подклад: 100% хлопок</v>
      </c>
      <c r="K39" s="81" t="str">
        <f ca="1">LOWER(TRIM(_xlfn.XLOOKUP($A39,Строчный!$A:$A,Строчный!K:K,"ERR",0)))</f>
        <v>соломенные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7" t="str">
        <f ca="1">PROPER(TRIM(_xlfn.XLOOKUP($A39,Строчный!$A:$A,Строчный!P:P,"ERR",0)))</f>
        <v/>
      </c>
      <c r="P39" s="90">
        <f ca="1">VALUE(_xlfn.XLOOKUP($A39,Строчный!$A:$A,Строчный!N:N,"ERR",0))</f>
        <v>2365.6880000000001</v>
      </c>
      <c r="Q39" s="89" t="str">
        <f ca="1">_xlfn.XLOOKUP($G39,Фабрика!A:A,Фабрика!B:B,"ERR",0)</f>
        <v>Friedrich W. Schneider GmbH &amp; Co. KG; Oskar-Schindler-Str. 11, D 50769 Köln, Germany</v>
      </c>
      <c r="R39" s="80" t="str">
        <f ca="1">_xlfn.XLOOKUP(RIGHT(Z39,2),Размеры!D:D,Размеры!A:A,"ERR",0)</f>
        <v>59</v>
      </c>
      <c r="S39" s="80">
        <f ca="1">VALUE(_xlfn.XLOOKUP($Z39,Строчный!$R:$R,Строчный!T:T,"ERR",0))</f>
        <v>8</v>
      </c>
      <c r="T39" s="14" t="s">
        <v>265</v>
      </c>
      <c r="U39" s="101" t="str">
        <f t="shared" ca="1" si="3"/>
        <v>Шляпа STETSON арт. 3698521 WESTERN RAFFIA (бежевый)</v>
      </c>
      <c r="V39" s="100" t="str">
        <f t="shared" ca="1" si="4"/>
        <v>Шляпа STETSON арт. 3698521 WESTERN RAFFIA (бежевый) {7}</v>
      </c>
      <c r="W39" s="18" t="str">
        <f t="shared" ca="1" si="5"/>
        <v>бежевый</v>
      </c>
      <c r="X39" s="18" t="str">
        <f t="shared" ca="1" si="6"/>
        <v>бежевый</v>
      </c>
      <c r="Y39" s="117" t="str">
        <f ca="1">_xlfn.LET(_xlpm.FormColors,_xlfn.XLOOKUP(A39,Строчный!A:A,Строчный!Q:Q,"",0),IF(_xlpm.FormColors=0,IFERROR(MID(I39,FIND("-",I39)+1,LEN(I39)),IFERROR(MID(I39,1,FIND("/",I39)-2),I39)),_xlpm.FormColors))</f>
        <v>бежевый</v>
      </c>
      <c r="Z39" s="73" t="str">
        <f ca="1"/>
        <v>02-659-02-59</v>
      </c>
      <c r="AA39" s="75" t="str">
        <f ca="1">VLOOKUP(C39,Группа!A:B,2,FALSE)</f>
        <v>Шляпа</v>
      </c>
      <c r="AB39" s="97" t="str">
        <f ca="1">IFERROR(VLOOKUP(R39,Размеры!A:C,3,FALSE),"")</f>
        <v>59 L</v>
      </c>
      <c r="AC39" s="97" t="str">
        <f ca="1">VLOOKUP(I39,ЦветПолный!A:B,2,FALSE)</f>
        <v>02</v>
      </c>
      <c r="AD39" s="97" t="str">
        <f ca="1">IFERROR(VLOOKUP(R39,Размеры!A:D,4,FALSE),"")</f>
        <v>59</v>
      </c>
      <c r="AE39" s="97">
        <f ca="1">IF(LEFT(IFERROR(VLOOKUP(LOOKUP(2,1/SEARCH(B39,Товары!A:A),Товары!A:A),Товары!A:B,2,0),""),6)=MID(Z39,1,6),1,0)</f>
        <v>0</v>
      </c>
      <c r="AG39" s="97">
        <f ca="1">SUMIF(Группа!A:A,C39,Группа!C:C)</f>
        <v>1</v>
      </c>
      <c r="AH39" s="97">
        <f ca="1">SUMIF(Группа!B:B,AA39,Группа!C:C)</f>
        <v>1</v>
      </c>
      <c r="AI39" s="97">
        <f ca="1">SUMIF(Формы!A:A,D39,Формы!B:B)</f>
        <v>1</v>
      </c>
      <c r="AJ39" s="97">
        <f ca="1">SUMIF(Материал!A:A,K39,Материал!B:B)</f>
        <v>1</v>
      </c>
      <c r="AK39" s="97">
        <f ca="1">SUMIF(Размеры!A:A,R39,Размеры!E:E)</f>
        <v>1</v>
      </c>
      <c r="AL39" s="97">
        <f ca="1">SUMIF(Сезон!A:A,F39,Сезон!B:B)</f>
        <v>1</v>
      </c>
      <c r="AM39" s="97">
        <f ca="1">SUMIF(Состав!A:A,J39,Состав!B:B)</f>
        <v>0</v>
      </c>
      <c r="AN39" s="97">
        <f ca="1">VLOOKUP(I39,ЦветПолный!A:C,3,0)</f>
        <v>1</v>
      </c>
      <c r="AO39" s="97">
        <f ca="1">SUMIF(Цвет!A:A,Y39,Цвет!B:B)</f>
        <v>1</v>
      </c>
      <c r="AP39" s="97">
        <f ca="1">_xlfn.XLOOKUP(L39,Пол!A:A,Пол!B:B,0,0)</f>
        <v>1</v>
      </c>
      <c r="AQ39" s="97">
        <f ca="1">SUMIF(Марка!A:A,G39,Марка!B:B)</f>
        <v>1</v>
      </c>
      <c r="AR39" s="97">
        <f ca="1">SUMIF(Страна!A:A,M39,Страна!B:B)</f>
        <v>1</v>
      </c>
      <c r="AS39" s="64" t="e">
        <f ca="1">IF(VLOOKUP(V39,Товары!A:B,2,FALSE)=A39,"Есть в 1С","ERR")</f>
        <v>#N/A</v>
      </c>
      <c r="AT39" s="65" t="e">
        <f ca="1">IF(VLOOKUP(A39,Товары!B:B,1,FALSE)=A39,"Есть в 1С","ERR")</f>
        <v>#N/A</v>
      </c>
      <c r="AU39" s="96" t="e">
        <f ca="1">VLOOKUP(V39,Товары!A:B,2,FALSE)</f>
        <v>#N/A</v>
      </c>
      <c r="AV39" s="94" t="e">
        <f ca="1">VLOOKUP(V39,Товары!A:B,1,FALSE)</f>
        <v>#N/A</v>
      </c>
    </row>
    <row r="40" spans="1:48" x14ac:dyDescent="0.25">
      <c r="A40" s="110" t="str">
        <f t="shared" ca="1" si="2"/>
        <v>02-659-02</v>
      </c>
      <c r="B40" s="107" t="str">
        <f ca="1">_xlfn.LET(_xlpm.CAPS,1,_xlpm.Style,TRIM(_xlfn.XLOOKUP($A40,Строчный!$A:$A,Строчный!B:B,"ERR",0)),IF(_xlpm.CAPS=0,_xlpm.Style,UPPER(_xlpm.Style)))</f>
        <v>3698521 WESTERN RAFFIA</v>
      </c>
      <c r="C40" s="81" t="str">
        <f ca="1">TRIM(PROPER(_xlfn.XLOOKUP($A40,Строчный!$A:$A,Строчный!C:C,"ERR",0)))</f>
        <v>Шляпы</v>
      </c>
      <c r="D40" s="81" t="str">
        <f ca="1">_xlfn.LET(_xlpm.DATA,TRIM(_xlfn.XLOOKUP($A40,Строчный!$A:$A,Строчный!D:D,"ERR",0)),UPPER(MID(_xlpm.DATA,1,1))&amp;LOWER(MID(_xlpm.DATA,2,LEN(_xlpm.DATA)-1)))</f>
        <v>Шляпа ковбойская</v>
      </c>
      <c r="E40" s="81" t="str">
        <f ca="1">PROPER(TRIM(_xlfn.XLOOKUP($A40,Строчный!$A:$A,Строчный!E:E,"ERR",0)))</f>
        <v>Stetson</v>
      </c>
      <c r="F40" s="81" t="str">
        <f ca="1">LOWER(TRIM(_xlfn.XLOOKUP($A40,Строчный!$A:$A,Строчный!F:F,"ERR",0)))</f>
        <v>летний</v>
      </c>
      <c r="G40" s="81" t="str">
        <f ca="1">UPPER(TRIM(_xlfn.XLOOKUP($A40,Строчный!$A:$A,Строчный!G:G,"ERR",0)))</f>
        <v>STETSON</v>
      </c>
      <c r="H40" s="81" t="str">
        <f ca="1">LOWER(TRIM(_xlfn.XLOOKUP($A40,Строчный!$A:$A,Строчный!H:H,"ERR",0)))</f>
        <v>7</v>
      </c>
      <c r="I40" s="81" t="str">
        <f ca="1">LOWER(TRIM(_xlfn.XLOOKUP($A40,Строчный!$A:$A,Строчный!I:I,"ERR",0)))</f>
        <v>бежевый</v>
      </c>
      <c r="J40" s="81" t="str">
        <f ca="1">SUBSTITUTE(LOWER(TRIM(_xlfn.XLOOKUP($A40,Строчный!$A:$A,Строчный!J:J,"ERR",0))),"подклад","Подклад")</f>
        <v>100% солома / Подклад: 100% хлопок</v>
      </c>
      <c r="K40" s="81" t="str">
        <f ca="1">LOWER(TRIM(_xlfn.XLOOKUP($A40,Строчный!$A:$A,Строчный!K:K,"ERR",0)))</f>
        <v>соломенные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7" t="str">
        <f ca="1">PROPER(TRIM(_xlfn.XLOOKUP($A40,Строчный!$A:$A,Строчный!P:P,"ERR",0)))</f>
        <v/>
      </c>
      <c r="P40" s="90">
        <f ca="1">VALUE(_xlfn.XLOOKUP($A40,Строчный!$A:$A,Строчный!N:N,"ERR",0))</f>
        <v>2365.6880000000001</v>
      </c>
      <c r="Q40" s="89" t="str">
        <f ca="1">_xlfn.XLOOKUP($G40,Фабрика!A:A,Фабрика!B:B,"ERR",0)</f>
        <v>Friedrich W. Schneider GmbH &amp; Co. KG; Oskar-Schindler-Str. 11, D 50769 Köln, Germany</v>
      </c>
      <c r="R40" s="80" t="str">
        <f ca="1">_xlfn.XLOOKUP(RIGHT(Z40,2),Размеры!D:D,Размеры!A:A,"ERR",0)</f>
        <v>57</v>
      </c>
      <c r="S40" s="80">
        <f ca="1">VALUE(_xlfn.XLOOKUP($Z40,Строчный!$R:$R,Строчный!T:T,"ERR",0))</f>
        <v>6</v>
      </c>
      <c r="T40" s="14" t="s">
        <v>265</v>
      </c>
      <c r="U40" s="101" t="str">
        <f t="shared" ca="1" si="3"/>
        <v>Шляпа STETSON арт. 3698521 WESTERN RAFFIA (бежевый)</v>
      </c>
      <c r="V40" s="100" t="str">
        <f t="shared" ca="1" si="4"/>
        <v>Шляпа STETSON арт. 3698521 WESTERN RAFFIA (бежевый) {7}</v>
      </c>
      <c r="W40" s="18" t="str">
        <f t="shared" ca="1" si="5"/>
        <v>бежевый</v>
      </c>
      <c r="X40" s="18" t="str">
        <f t="shared" ca="1" si="6"/>
        <v>бежевый</v>
      </c>
      <c r="Y40" s="117" t="str">
        <f ca="1">_xlfn.LET(_xlpm.FormColors,_xlfn.XLOOKUP(A40,Строчный!A:A,Строчный!Q:Q,"",0),IF(_xlpm.FormColors=0,IFERROR(MID(I40,FIND("-",I40)+1,LEN(I40)),IFERROR(MID(I40,1,FIND("/",I40)-2),I40)),_xlpm.FormColors))</f>
        <v>бежевый</v>
      </c>
      <c r="Z40" s="73" t="str">
        <f ca="1"/>
        <v>02-659-02-57</v>
      </c>
      <c r="AA40" s="75" t="str">
        <f ca="1">VLOOKUP(C40,Группа!A:B,2,FALSE)</f>
        <v>Шляпа</v>
      </c>
      <c r="AB40" s="97" t="str">
        <f ca="1">IFERROR(VLOOKUP(R40,Размеры!A:C,3,FALSE),"")</f>
        <v>57 M</v>
      </c>
      <c r="AC40" s="97" t="str">
        <f ca="1">VLOOKUP(I40,ЦветПолный!A:B,2,FALSE)</f>
        <v>02</v>
      </c>
      <c r="AD40" s="97" t="str">
        <f ca="1">IFERROR(VLOOKUP(R40,Размеры!A:D,4,FALSE),"")</f>
        <v>57</v>
      </c>
      <c r="AE40" s="97">
        <f ca="1">IF(LEFT(IFERROR(VLOOKUP(LOOKUP(2,1/SEARCH(B40,Товары!A:A),Товары!A:A),Товары!A:B,2,0),""),6)=MID(Z40,1,6),1,0)</f>
        <v>0</v>
      </c>
      <c r="AG40" s="97">
        <f ca="1">SUMIF(Группа!A:A,C40,Группа!C:C)</f>
        <v>1</v>
      </c>
      <c r="AH40" s="97">
        <f ca="1">SUMIF(Группа!B:B,AA40,Группа!C:C)</f>
        <v>1</v>
      </c>
      <c r="AI40" s="97">
        <f ca="1">SUMIF(Формы!A:A,D40,Формы!B:B)</f>
        <v>1</v>
      </c>
      <c r="AJ40" s="97">
        <f ca="1">SUMIF(Материал!A:A,K40,Материал!B:B)</f>
        <v>1</v>
      </c>
      <c r="AK40" s="97">
        <f ca="1">SUMIF(Размеры!A:A,R40,Размеры!E:E)</f>
        <v>1</v>
      </c>
      <c r="AL40" s="97">
        <f ca="1">SUMIF(Сезон!A:A,F40,Сезон!B:B)</f>
        <v>1</v>
      </c>
      <c r="AM40" s="97">
        <f ca="1">SUMIF(Состав!A:A,J40,Состав!B:B)</f>
        <v>0</v>
      </c>
      <c r="AN40" s="97">
        <f ca="1">VLOOKUP(I40,ЦветПолный!A:C,3,0)</f>
        <v>1</v>
      </c>
      <c r="AO40" s="97">
        <f ca="1">SUMIF(Цвет!A:A,Y40,Цвет!B:B)</f>
        <v>1</v>
      </c>
      <c r="AP40" s="97">
        <f ca="1">_xlfn.XLOOKUP(L40,Пол!A:A,Пол!B:B,0,0)</f>
        <v>1</v>
      </c>
      <c r="AQ40" s="97">
        <f ca="1">SUMIF(Марка!A:A,G40,Марка!B:B)</f>
        <v>1</v>
      </c>
      <c r="AR40" s="97">
        <f ca="1">SUMIF(Страна!A:A,M40,Страна!B:B)</f>
        <v>1</v>
      </c>
      <c r="AS40" s="64" t="e">
        <f ca="1">IF(VLOOKUP(V40,Товары!A:B,2,FALSE)=A40,"Есть в 1С","ERR")</f>
        <v>#N/A</v>
      </c>
      <c r="AT40" s="65" t="e">
        <f ca="1">IF(VLOOKUP(A40,Товары!B:B,1,FALSE)=A40,"Есть в 1С","ERR")</f>
        <v>#N/A</v>
      </c>
      <c r="AU40" s="96" t="e">
        <f ca="1">VLOOKUP(V40,Товары!A:B,2,FALSE)</f>
        <v>#N/A</v>
      </c>
      <c r="AV40" s="94" t="e">
        <f ca="1">VLOOKUP(V40,Товары!A:B,1,FALSE)</f>
        <v>#N/A</v>
      </c>
    </row>
    <row r="41" spans="1:48" x14ac:dyDescent="0.25">
      <c r="A41" s="110" t="str">
        <f t="shared" ca="1" si="2"/>
        <v>02-659-02</v>
      </c>
      <c r="B41" s="107" t="str">
        <f ca="1">_xlfn.LET(_xlpm.CAPS,1,_xlpm.Style,TRIM(_xlfn.XLOOKUP($A41,Строчный!$A:$A,Строчный!B:B,"ERR",0)),IF(_xlpm.CAPS=0,_xlpm.Style,UPPER(_xlpm.Style)))</f>
        <v>3698521 WESTERN RAFFIA</v>
      </c>
      <c r="C41" s="81" t="str">
        <f ca="1">TRIM(PROPER(_xlfn.XLOOKUP($A41,Строчный!$A:$A,Строчный!C:C,"ERR",0)))</f>
        <v>Шляпы</v>
      </c>
      <c r="D41" s="81" t="str">
        <f ca="1">_xlfn.LET(_xlpm.DATA,TRIM(_xlfn.XLOOKUP($A41,Строчный!$A:$A,Строчный!D:D,"ERR",0)),UPPER(MID(_xlpm.DATA,1,1))&amp;LOWER(MID(_xlpm.DATA,2,LEN(_xlpm.DATA)-1)))</f>
        <v>Шляпа ковбойская</v>
      </c>
      <c r="E41" s="81" t="str">
        <f ca="1">PROPER(TRIM(_xlfn.XLOOKUP($A41,Строчный!$A:$A,Строчный!E:E,"ERR",0)))</f>
        <v>Stetson</v>
      </c>
      <c r="F41" s="81" t="str">
        <f ca="1">LOWER(TRIM(_xlfn.XLOOKUP($A41,Строчный!$A:$A,Строчный!F:F,"ERR",0)))</f>
        <v>летний</v>
      </c>
      <c r="G41" s="81" t="str">
        <f ca="1">UPPER(TRIM(_xlfn.XLOOKUP($A41,Строчный!$A:$A,Строчный!G:G,"ERR",0)))</f>
        <v>STETSON</v>
      </c>
      <c r="H41" s="81" t="str">
        <f ca="1">LOWER(TRIM(_xlfn.XLOOKUP($A41,Строчный!$A:$A,Строчный!H:H,"ERR",0)))</f>
        <v>7</v>
      </c>
      <c r="I41" s="81" t="str">
        <f ca="1">LOWER(TRIM(_xlfn.XLOOKUP($A41,Строчный!$A:$A,Строчный!I:I,"ERR",0)))</f>
        <v>бежевый</v>
      </c>
      <c r="J41" s="81" t="str">
        <f ca="1">SUBSTITUTE(LOWER(TRIM(_xlfn.XLOOKUP($A41,Строчный!$A:$A,Строчный!J:J,"ERR",0))),"подклад","Подклад")</f>
        <v>100% солома / Подклад: 100% хлопок</v>
      </c>
      <c r="K41" s="81" t="str">
        <f ca="1">LOWER(TRIM(_xlfn.XLOOKUP($A41,Строчный!$A:$A,Строчный!K:K,"ERR",0)))</f>
        <v>соломенные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7" t="str">
        <f ca="1">PROPER(TRIM(_xlfn.XLOOKUP($A41,Строчный!$A:$A,Строчный!P:P,"ERR",0)))</f>
        <v/>
      </c>
      <c r="P41" s="90">
        <f ca="1">VALUE(_xlfn.XLOOKUP($A41,Строчный!$A:$A,Строчный!N:N,"ERR",0))</f>
        <v>2365.6880000000001</v>
      </c>
      <c r="Q41" s="89" t="str">
        <f ca="1">_xlfn.XLOOKUP($G41,Фабрика!A:A,Фабрика!B:B,"ERR",0)</f>
        <v>Friedrich W. Schneider GmbH &amp; Co. KG; Oskar-Schindler-Str. 11, D 50769 Köln, Germany</v>
      </c>
      <c r="R41" s="80" t="str">
        <f ca="1">_xlfn.XLOOKUP(RIGHT(Z41,2),Размеры!D:D,Размеры!A:A,"ERR",0)</f>
        <v>55</v>
      </c>
      <c r="S41" s="80">
        <f ca="1">VALUE(_xlfn.XLOOKUP($Z41,Строчный!$R:$R,Строчный!T:T,"ERR",0))</f>
        <v>2</v>
      </c>
      <c r="T41" s="14" t="s">
        <v>265</v>
      </c>
      <c r="U41" s="101" t="str">
        <f t="shared" ca="1" si="3"/>
        <v>Шляпа STETSON арт. 3698521 WESTERN RAFFIA (бежевый)</v>
      </c>
      <c r="V41" s="100" t="str">
        <f t="shared" ca="1" si="4"/>
        <v>Шляпа STETSON арт. 3698521 WESTERN RAFFIA (бежевый) {7}</v>
      </c>
      <c r="W41" s="18" t="str">
        <f t="shared" ca="1" si="5"/>
        <v>бежевый</v>
      </c>
      <c r="X41" s="18" t="str">
        <f t="shared" ca="1" si="6"/>
        <v>бежевый</v>
      </c>
      <c r="Y41" s="117" t="str">
        <f ca="1">_xlfn.LET(_xlpm.FormColors,_xlfn.XLOOKUP(A41,Строчный!A:A,Строчный!Q:Q,"",0),IF(_xlpm.FormColors=0,IFERROR(MID(I41,FIND("-",I41)+1,LEN(I41)),IFERROR(MID(I41,1,FIND("/",I41)-2),I41)),_xlpm.FormColors))</f>
        <v>бежевый</v>
      </c>
      <c r="Z41" s="73" t="str">
        <f ca="1"/>
        <v>02-659-02-55</v>
      </c>
      <c r="AA41" s="75" t="str">
        <f ca="1">VLOOKUP(C41,Группа!A:B,2,FALSE)</f>
        <v>Шляпа</v>
      </c>
      <c r="AB41" s="97" t="str">
        <f ca="1">IFERROR(VLOOKUP(R41,Размеры!A:C,3,FALSE),"")</f>
        <v>55 S</v>
      </c>
      <c r="AC41" s="97" t="str">
        <f ca="1">VLOOKUP(I41,ЦветПолный!A:B,2,FALSE)</f>
        <v>02</v>
      </c>
      <c r="AD41" s="97" t="str">
        <f ca="1">IFERROR(VLOOKUP(R41,Размеры!A:D,4,FALSE),"")</f>
        <v>55</v>
      </c>
      <c r="AE41" s="97">
        <f ca="1">IF(LEFT(IFERROR(VLOOKUP(LOOKUP(2,1/SEARCH(B41,Товары!A:A),Товары!A:A),Товары!A:B,2,0),""),6)=MID(Z41,1,6),1,0)</f>
        <v>0</v>
      </c>
      <c r="AG41" s="97">
        <f ca="1">SUMIF(Группа!A:A,C41,Группа!C:C)</f>
        <v>1</v>
      </c>
      <c r="AH41" s="97">
        <f ca="1">SUMIF(Группа!B:B,AA41,Группа!C:C)</f>
        <v>1</v>
      </c>
      <c r="AI41" s="97">
        <f ca="1">SUMIF(Формы!A:A,D41,Формы!B:B)</f>
        <v>1</v>
      </c>
      <c r="AJ41" s="97">
        <f ca="1">SUMIF(Материал!A:A,K41,Материал!B:B)</f>
        <v>1</v>
      </c>
      <c r="AK41" s="97">
        <f ca="1">SUMIF(Размеры!A:A,R41,Размеры!E:E)</f>
        <v>1</v>
      </c>
      <c r="AL41" s="97">
        <f ca="1">SUMIF(Сезон!A:A,F41,Сезон!B:B)</f>
        <v>1</v>
      </c>
      <c r="AM41" s="97">
        <f ca="1">SUMIF(Состав!A:A,J41,Состав!B:B)</f>
        <v>0</v>
      </c>
      <c r="AN41" s="97">
        <f ca="1">VLOOKUP(I41,ЦветПолный!A:C,3,0)</f>
        <v>1</v>
      </c>
      <c r="AO41" s="97">
        <f ca="1">SUMIF(Цвет!A:A,Y41,Цвет!B:B)</f>
        <v>1</v>
      </c>
      <c r="AP41" s="97">
        <f ca="1">_xlfn.XLOOKUP(L41,Пол!A:A,Пол!B:B,0,0)</f>
        <v>1</v>
      </c>
      <c r="AQ41" s="97">
        <f ca="1">SUMIF(Марка!A:A,G41,Марка!B:B)</f>
        <v>1</v>
      </c>
      <c r="AR41" s="97">
        <f ca="1">SUMIF(Страна!A:A,M41,Страна!B:B)</f>
        <v>1</v>
      </c>
      <c r="AS41" s="64" t="e">
        <f ca="1">IF(VLOOKUP(V41,Товары!A:B,2,FALSE)=A41,"Есть в 1С","ERR")</f>
        <v>#N/A</v>
      </c>
      <c r="AT41" s="65" t="e">
        <f ca="1">IF(VLOOKUP(A41,Товары!B:B,1,FALSE)=A41,"Есть в 1С","ERR")</f>
        <v>#N/A</v>
      </c>
      <c r="AU41" s="96" t="e">
        <f ca="1">VLOOKUP(V41,Товары!A:B,2,FALSE)</f>
        <v>#N/A</v>
      </c>
      <c r="AV41" s="94" t="e">
        <f ca="1">VLOOKUP(V41,Товары!A:B,1,FALSE)</f>
        <v>#N/A</v>
      </c>
    </row>
    <row r="42" spans="1:48" x14ac:dyDescent="0.25">
      <c r="A42" s="110" t="str">
        <f t="shared" ca="1" si="2"/>
        <v>02-653-02</v>
      </c>
      <c r="B42" s="107" t="str">
        <f ca="1">_xlfn.LET(_xlpm.CAPS,1,_xlpm.Style,TRIM(_xlfn.XLOOKUP($A42,Строчный!$A:$A,Строчный!B:B,"ERR",0)),IF(_xlpm.CAPS=0,_xlpm.Style,UPPER(_xlpm.Style)))</f>
        <v>2138504 FEDORA HEMP</v>
      </c>
      <c r="C42" s="81" t="str">
        <f ca="1">TRIM(PROPER(_xlfn.XLOOKUP($A42,Строчный!$A:$A,Строчный!C:C,"ERR",0)))</f>
        <v>Шляпы</v>
      </c>
      <c r="D42" s="81" t="str">
        <f ca="1">_xlfn.LET(_xlpm.DATA,TRIM(_xlfn.XLOOKUP($A42,Строчный!$A:$A,Строчный!D:D,"ERR",0)),UPPER(MID(_xlpm.DATA,1,1))&amp;LOWER(MID(_xlpm.DATA,2,LEN(_xlpm.DATA)-1)))</f>
        <v>Шляпа федора</v>
      </c>
      <c r="E42" s="81" t="str">
        <f ca="1">PROPER(TRIM(_xlfn.XLOOKUP($A42,Строчный!$A:$A,Строчный!E:E,"ERR",0)))</f>
        <v>Stetson</v>
      </c>
      <c r="F42" s="81" t="str">
        <f ca="1">LOWER(TRIM(_xlfn.XLOOKUP($A42,Строчный!$A:$A,Строчный!F:F,"ERR",0)))</f>
        <v>летний</v>
      </c>
      <c r="G42" s="81" t="str">
        <f ca="1">UPPER(TRIM(_xlfn.XLOOKUP($A42,Строчный!$A:$A,Строчный!G:G,"ERR",0)))</f>
        <v>STETSON</v>
      </c>
      <c r="H42" s="81" t="str">
        <f ca="1">LOWER(TRIM(_xlfn.XLOOKUP($A42,Строчный!$A:$A,Строчный!H:H,"ERR",0)))</f>
        <v>7</v>
      </c>
      <c r="I42" s="81" t="str">
        <f ca="1">LOWER(TRIM(_xlfn.XLOOKUP($A42,Строчный!$A:$A,Строчный!I:I,"ERR",0)))</f>
        <v>бежевый</v>
      </c>
      <c r="J42" s="81" t="str">
        <f ca="1">SUBSTITUTE(LOWER(TRIM(_xlfn.XLOOKUP($A42,Строчный!$A:$A,Строчный!J:J,"ERR",0))),"подклад","Подклад")</f>
        <v>100% конопля / Подклад: 100% хлопок</v>
      </c>
      <c r="K42" s="81" t="str">
        <f ca="1">LOWER(TRIM(_xlfn.XLOOKUP($A42,Строчный!$A:$A,Строчный!K:K,"ERR",0)))</f>
        <v>соломенные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Италия</v>
      </c>
      <c r="N42" s="81" t="str">
        <f ca="1">UPPER(TRIM(_xlfn.XLOOKUP($A42,Строчный!$A:$A,Строчный!O:O,"ERR",0)))</f>
        <v/>
      </c>
      <c r="O42" s="107" t="str">
        <f ca="1">PROPER(TRIM(_xlfn.XLOOKUP($A42,Строчный!$A:$A,Строчный!P:P,"ERR",0)))</f>
        <v/>
      </c>
      <c r="P42" s="90">
        <f ca="1">VALUE(_xlfn.XLOOKUP($A42,Строчный!$A:$A,Строчный!N:N,"ERR",0))</f>
        <v>4509.8399999999992</v>
      </c>
      <c r="Q42" s="89" t="str">
        <f ca="1">_xlfn.XLOOKUP($G42,Фабрика!A:A,Фабрика!B:B,"ERR",0)</f>
        <v>Friedrich W. Schneider GmbH &amp; Co. KG; Oskar-Schindler-Str. 11, D 50769 Köln, Germany</v>
      </c>
      <c r="R42" s="80" t="str">
        <f ca="1">_xlfn.XLOOKUP(RIGHT(Z42,2),Размеры!D:D,Размеры!A:A,"ERR",0)</f>
        <v>63</v>
      </c>
      <c r="S42" s="80">
        <f ca="1">VALUE(_xlfn.XLOOKUP($Z42,Строчный!$R:$R,Строчный!T:T,"ERR",0))</f>
        <v>1</v>
      </c>
      <c r="T42" s="14" t="s">
        <v>265</v>
      </c>
      <c r="U42" s="101" t="str">
        <f t="shared" ca="1" si="3"/>
        <v>Шляпа STETSON арт. 2138504 FEDORA HEMP (бежевый)</v>
      </c>
      <c r="V42" s="100" t="str">
        <f t="shared" ca="1" si="4"/>
        <v>Шляпа STETSON арт. 2138504 FEDORA HEMP (бежевый) {7}</v>
      </c>
      <c r="W42" s="18" t="str">
        <f t="shared" ca="1" si="5"/>
        <v>бежевый</v>
      </c>
      <c r="X42" s="18" t="str">
        <f t="shared" ca="1" si="6"/>
        <v>бежевый</v>
      </c>
      <c r="Y42" s="117" t="str">
        <f ca="1">_xlfn.LET(_xlpm.FormColors,_xlfn.XLOOKUP(A42,Строчный!A:A,Строчный!Q:Q,"",0),IF(_xlpm.FormColors=0,IFERROR(MID(I42,FIND("-",I42)+1,LEN(I42)),IFERROR(MID(I42,1,FIND("/",I42)-2),I42)),_xlpm.FormColors))</f>
        <v>бежевый</v>
      </c>
      <c r="Z42" s="73" t="str">
        <f ca="1"/>
        <v>02-653-02-63</v>
      </c>
      <c r="AA42" s="75" t="str">
        <f ca="1">VLOOKUP(C42,Группа!A:B,2,FALSE)</f>
        <v>Шляпа</v>
      </c>
      <c r="AB42" s="97" t="str">
        <f ca="1">IFERROR(VLOOKUP(R42,Размеры!A:C,3,FALSE),"")</f>
        <v>63 XXL</v>
      </c>
      <c r="AC42" s="97" t="str">
        <f ca="1">VLOOKUP(I42,ЦветПолный!A:B,2,FALSE)</f>
        <v>02</v>
      </c>
      <c r="AD42" s="97" t="str">
        <f ca="1">IFERROR(VLOOKUP(R42,Размеры!A:D,4,FALSE),"")</f>
        <v>63</v>
      </c>
      <c r="AE42" s="97">
        <f ca="1">IF(LEFT(IFERROR(VLOOKUP(LOOKUP(2,1/SEARCH(B42,Товары!A:A),Товары!A:A),Товары!A:B,2,0),""),6)=MID(Z42,1,6),1,0)</f>
        <v>0</v>
      </c>
      <c r="AG42" s="97">
        <f ca="1">SUMIF(Группа!A:A,C42,Группа!C:C)</f>
        <v>1</v>
      </c>
      <c r="AH42" s="97">
        <f ca="1">SUMIF(Группа!B:B,AA42,Группа!C:C)</f>
        <v>1</v>
      </c>
      <c r="AI42" s="97">
        <f ca="1">SUMIF(Формы!A:A,D42,Формы!B:B)</f>
        <v>1</v>
      </c>
      <c r="AJ42" s="97">
        <f ca="1">SUMIF(Материал!A:A,K42,Материал!B:B)</f>
        <v>1</v>
      </c>
      <c r="AK42" s="97">
        <f ca="1">SUMIF(Размеры!A:A,R42,Размеры!E:E)</f>
        <v>1</v>
      </c>
      <c r="AL42" s="97">
        <f ca="1">SUMIF(Сезон!A:A,F42,Сезон!B:B)</f>
        <v>1</v>
      </c>
      <c r="AM42" s="97">
        <f ca="1">SUMIF(Состав!A:A,J42,Состав!B:B)</f>
        <v>0</v>
      </c>
      <c r="AN42" s="97">
        <f ca="1">VLOOKUP(I42,ЦветПолный!A:C,3,0)</f>
        <v>1</v>
      </c>
      <c r="AO42" s="97">
        <f ca="1">SUMIF(Цвет!A:A,Y42,Цвет!B:B)</f>
        <v>1</v>
      </c>
      <c r="AP42" s="97">
        <f ca="1">_xlfn.XLOOKUP(L42,Пол!A:A,Пол!B:B,0,0)</f>
        <v>1</v>
      </c>
      <c r="AQ42" s="97">
        <f ca="1">SUMIF(Марка!A:A,G42,Марка!B:B)</f>
        <v>1</v>
      </c>
      <c r="AR42" s="97">
        <f ca="1">SUMIF(Страна!A:A,M42,Страна!B:B)</f>
        <v>1</v>
      </c>
      <c r="AS42" s="64" t="e">
        <f ca="1">IF(VLOOKUP(V42,Товары!A:B,2,FALSE)=A42,"Есть в 1С","ERR")</f>
        <v>#N/A</v>
      </c>
      <c r="AT42" s="65" t="e">
        <f ca="1">IF(VLOOKUP(A42,Товары!B:B,1,FALSE)=A42,"Есть в 1С","ERR")</f>
        <v>#N/A</v>
      </c>
      <c r="AU42" s="96" t="e">
        <f ca="1">VLOOKUP(V42,Товары!A:B,2,FALSE)</f>
        <v>#N/A</v>
      </c>
      <c r="AV42" s="94" t="e">
        <f ca="1">VLOOKUP(V42,Товары!A:B,1,FALSE)</f>
        <v>#N/A</v>
      </c>
    </row>
    <row r="43" spans="1:48" x14ac:dyDescent="0.25">
      <c r="A43" s="110" t="str">
        <f t="shared" ca="1" si="2"/>
        <v>02-653-02</v>
      </c>
      <c r="B43" s="107" t="str">
        <f ca="1">_xlfn.LET(_xlpm.CAPS,1,_xlpm.Style,TRIM(_xlfn.XLOOKUP($A43,Строчный!$A:$A,Строчный!B:B,"ERR",0)),IF(_xlpm.CAPS=0,_xlpm.Style,UPPER(_xlpm.Style)))</f>
        <v>2138504 FEDORA HEMP</v>
      </c>
      <c r="C43" s="81" t="str">
        <f ca="1">TRIM(PROPER(_xlfn.XLOOKUP($A43,Строчный!$A:$A,Строчный!C:C,"ERR",0)))</f>
        <v>Шляпы</v>
      </c>
      <c r="D43" s="81" t="str">
        <f ca="1">_xlfn.LET(_xlpm.DATA,TRIM(_xlfn.XLOOKUP($A43,Строчный!$A:$A,Строчный!D:D,"ERR",0)),UPPER(MID(_xlpm.DATA,1,1))&amp;LOWER(MID(_xlpm.DATA,2,LEN(_xlpm.DATA)-1)))</f>
        <v>Шляпа федора</v>
      </c>
      <c r="E43" s="81" t="str">
        <f ca="1">PROPER(TRIM(_xlfn.XLOOKUP($A43,Строчный!$A:$A,Строчный!E:E,"ERR",0)))</f>
        <v>Stetson</v>
      </c>
      <c r="F43" s="81" t="str">
        <f ca="1">LOWER(TRIM(_xlfn.XLOOKUP($A43,Строчный!$A:$A,Строчный!F:F,"ERR",0)))</f>
        <v>летний</v>
      </c>
      <c r="G43" s="81" t="str">
        <f ca="1">UPPER(TRIM(_xlfn.XLOOKUP($A43,Строчный!$A:$A,Строчный!G:G,"ERR",0)))</f>
        <v>STETSON</v>
      </c>
      <c r="H43" s="81" t="str">
        <f ca="1">LOWER(TRIM(_xlfn.XLOOKUP($A43,Строчный!$A:$A,Строчный!H:H,"ERR",0)))</f>
        <v>7</v>
      </c>
      <c r="I43" s="81" t="str">
        <f ca="1">LOWER(TRIM(_xlfn.XLOOKUP($A43,Строчный!$A:$A,Строчный!I:I,"ERR",0)))</f>
        <v>бежевый</v>
      </c>
      <c r="J43" s="81" t="str">
        <f ca="1">SUBSTITUTE(LOWER(TRIM(_xlfn.XLOOKUP($A43,Строчный!$A:$A,Строчный!J:J,"ERR",0))),"подклад","Подклад")</f>
        <v>100% конопля / Подклад: 100% хлопок</v>
      </c>
      <c r="K43" s="81" t="str">
        <f ca="1">LOWER(TRIM(_xlfn.XLOOKUP($A43,Строчный!$A:$A,Строчный!K:K,"ERR",0)))</f>
        <v>соломенные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Италия</v>
      </c>
      <c r="N43" s="81" t="str">
        <f ca="1">UPPER(TRIM(_xlfn.XLOOKUP($A43,Строчный!$A:$A,Строчный!O:O,"ERR",0)))</f>
        <v/>
      </c>
      <c r="O43" s="107" t="str">
        <f ca="1">PROPER(TRIM(_xlfn.XLOOKUP($A43,Строчный!$A:$A,Строчный!P:P,"ERR",0)))</f>
        <v/>
      </c>
      <c r="P43" s="90">
        <f ca="1">VALUE(_xlfn.XLOOKUP($A43,Строчный!$A:$A,Строчный!N:N,"ERR",0))</f>
        <v>4509.8399999999992</v>
      </c>
      <c r="Q43" s="89" t="str">
        <f ca="1">_xlfn.XLOOKUP($G43,Фабрика!A:A,Фабрика!B:B,"ERR",0)</f>
        <v>Friedrich W. Schneider GmbH &amp; Co. KG; Oskar-Schindler-Str. 11, D 50769 Köln, Germany</v>
      </c>
      <c r="R43" s="80" t="str">
        <f ca="1">_xlfn.XLOOKUP(RIGHT(Z43,2),Размеры!D:D,Размеры!A:A,"ERR",0)</f>
        <v>61</v>
      </c>
      <c r="S43" s="80">
        <f ca="1">VALUE(_xlfn.XLOOKUP($Z43,Строчный!$R:$R,Строчный!T:T,"ERR",0))</f>
        <v>1</v>
      </c>
      <c r="T43" s="14" t="s">
        <v>265</v>
      </c>
      <c r="U43" s="101" t="str">
        <f t="shared" ca="1" si="3"/>
        <v>Шляпа STETSON арт. 2138504 FEDORA HEMP (бежевый)</v>
      </c>
      <c r="V43" s="100" t="str">
        <f t="shared" ca="1" si="4"/>
        <v>Шляпа STETSON арт. 2138504 FEDORA HEMP (бежевый) {7}</v>
      </c>
      <c r="W43" s="18" t="str">
        <f t="shared" ca="1" si="5"/>
        <v>бежевый</v>
      </c>
      <c r="X43" s="18" t="str">
        <f t="shared" ca="1" si="6"/>
        <v>бежевый</v>
      </c>
      <c r="Y43" s="117" t="str">
        <f ca="1">_xlfn.LET(_xlpm.FormColors,_xlfn.XLOOKUP(A43,Строчный!A:A,Строчный!Q:Q,"",0),IF(_xlpm.FormColors=0,IFERROR(MID(I43,FIND("-",I43)+1,LEN(I43)),IFERROR(MID(I43,1,FIND("/",I43)-2),I43)),_xlpm.FormColors))</f>
        <v>бежевый</v>
      </c>
      <c r="Z43" s="73" t="str">
        <f ca="1"/>
        <v>02-653-02-61</v>
      </c>
      <c r="AA43" s="75" t="str">
        <f ca="1">VLOOKUP(C43,Группа!A:B,2,FALSE)</f>
        <v>Шляпа</v>
      </c>
      <c r="AB43" s="97" t="str">
        <f ca="1">IFERROR(VLOOKUP(R43,Размеры!A:C,3,FALSE),"")</f>
        <v>61 XL</v>
      </c>
      <c r="AC43" s="97" t="str">
        <f ca="1">VLOOKUP(I43,ЦветПолный!A:B,2,FALSE)</f>
        <v>02</v>
      </c>
      <c r="AD43" s="97" t="str">
        <f ca="1">IFERROR(VLOOKUP(R43,Размеры!A:D,4,FALSE),"")</f>
        <v>61</v>
      </c>
      <c r="AE43" s="97">
        <f ca="1">IF(LEFT(IFERROR(VLOOKUP(LOOKUP(2,1/SEARCH(B43,Товары!A:A),Товары!A:A),Товары!A:B,2,0),""),6)=MID(Z43,1,6),1,0)</f>
        <v>0</v>
      </c>
      <c r="AG43" s="97">
        <f ca="1">SUMIF(Группа!A:A,C43,Группа!C:C)</f>
        <v>1</v>
      </c>
      <c r="AH43" s="97">
        <f ca="1">SUMIF(Группа!B:B,AA43,Группа!C:C)</f>
        <v>1</v>
      </c>
      <c r="AI43" s="97">
        <f ca="1">SUMIF(Формы!A:A,D43,Формы!B:B)</f>
        <v>1</v>
      </c>
      <c r="AJ43" s="97">
        <f ca="1">SUMIF(Материал!A:A,K43,Материал!B:B)</f>
        <v>1</v>
      </c>
      <c r="AK43" s="97">
        <f ca="1">SUMIF(Размеры!A:A,R43,Размеры!E:E)</f>
        <v>1</v>
      </c>
      <c r="AL43" s="97">
        <f ca="1">SUMIF(Сезон!A:A,F43,Сезон!B:B)</f>
        <v>1</v>
      </c>
      <c r="AM43" s="97">
        <f ca="1">SUMIF(Состав!A:A,J43,Состав!B:B)</f>
        <v>0</v>
      </c>
      <c r="AN43" s="97">
        <f ca="1">VLOOKUP(I43,ЦветПолный!A:C,3,0)</f>
        <v>1</v>
      </c>
      <c r="AO43" s="97">
        <f ca="1">SUMIF(Цвет!A:A,Y43,Цвет!B:B)</f>
        <v>1</v>
      </c>
      <c r="AP43" s="97">
        <f ca="1">_xlfn.XLOOKUP(L43,Пол!A:A,Пол!B:B,0,0)</f>
        <v>1</v>
      </c>
      <c r="AQ43" s="97">
        <f ca="1">SUMIF(Марка!A:A,G43,Марка!B:B)</f>
        <v>1</v>
      </c>
      <c r="AR43" s="97">
        <f ca="1">SUMIF(Страна!A:A,M43,Страна!B:B)</f>
        <v>1</v>
      </c>
      <c r="AS43" s="64" t="e">
        <f ca="1">IF(VLOOKUP(V43,Товары!A:B,2,FALSE)=A43,"Есть в 1С","ERR")</f>
        <v>#N/A</v>
      </c>
      <c r="AT43" s="65" t="e">
        <f ca="1">IF(VLOOKUP(A43,Товары!B:B,1,FALSE)=A43,"Есть в 1С","ERR")</f>
        <v>#N/A</v>
      </c>
      <c r="AU43" s="96" t="e">
        <f ca="1">VLOOKUP(V43,Товары!A:B,2,FALSE)</f>
        <v>#N/A</v>
      </c>
      <c r="AV43" s="94" t="e">
        <f ca="1">VLOOKUP(V43,Товары!A:B,1,FALSE)</f>
        <v>#N/A</v>
      </c>
    </row>
    <row r="44" spans="1:48" x14ac:dyDescent="0.25">
      <c r="A44" s="110" t="str">
        <f t="shared" ca="1" si="2"/>
        <v>02-359-02</v>
      </c>
      <c r="B44" s="107" t="str">
        <f ca="1">_xlfn.LET(_xlpm.CAPS,1,_xlpm.Style,TRIM(_xlfn.XLOOKUP($A44,Строчный!$A:$A,Строчный!B:B,"ERR",0)),IF(_xlpm.CAPS=0,_xlpm.Style,UPPER(_xlpm.Style)))</f>
        <v>2498502 TRAVELLER RAFFIA</v>
      </c>
      <c r="C44" s="81" t="str">
        <f ca="1">TRIM(PROPER(_xlfn.XLOOKUP($A44,Строчный!$A:$A,Строчный!C:C,"ERR",0)))</f>
        <v>Шляпы</v>
      </c>
      <c r="D44" s="81" t="str">
        <f ca="1">_xlfn.LET(_xlpm.DATA,TRIM(_xlfn.XLOOKUP($A44,Строчный!$A:$A,Строчный!D:D,"ERR",0)),UPPER(MID(_xlpm.DATA,1,1))&amp;LOWER(MID(_xlpm.DATA,2,LEN(_xlpm.DATA)-1)))</f>
        <v>Шляпа федора</v>
      </c>
      <c r="E44" s="81" t="str">
        <f ca="1">PROPER(TRIM(_xlfn.XLOOKUP($A44,Строчный!$A:$A,Строчный!E:E,"ERR",0)))</f>
        <v>Stetson</v>
      </c>
      <c r="F44" s="81" t="str">
        <f ca="1">LOWER(TRIM(_xlfn.XLOOKUP($A44,Строчный!$A:$A,Строчный!F:F,"ERR",0)))</f>
        <v>летний</v>
      </c>
      <c r="G44" s="81" t="str">
        <f ca="1">UPPER(TRIM(_xlfn.XLOOKUP($A44,Строчный!$A:$A,Строчный!G:G,"ERR",0)))</f>
        <v>STETSON</v>
      </c>
      <c r="H44" s="81" t="str">
        <f ca="1">LOWER(TRIM(_xlfn.XLOOKUP($A44,Строчный!$A:$A,Строчный!H:H,"ERR",0)))</f>
        <v>7</v>
      </c>
      <c r="I44" s="81" t="str">
        <f ca="1">LOWER(TRIM(_xlfn.XLOOKUP($A44,Строчный!$A:$A,Строчный!I:I,"ERR",0)))</f>
        <v>бежевый</v>
      </c>
      <c r="J44" s="81" t="str">
        <f ca="1">SUBSTITUTE(LOWER(TRIM(_xlfn.XLOOKUP($A44,Строчный!$A:$A,Строчный!J:J,"ERR",0))),"подклад","Подклад")</f>
        <v>100% солома / Подклад: 100% хлопок</v>
      </c>
      <c r="K44" s="81" t="str">
        <f ca="1">LOWER(TRIM(_xlfn.XLOOKUP($A44,Строчный!$A:$A,Строчный!K:K,"ERR",0)))</f>
        <v>соломенные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7" t="str">
        <f ca="1">PROPER(TRIM(_xlfn.XLOOKUP($A44,Строчный!$A:$A,Строчный!P:P,"ERR",0)))</f>
        <v/>
      </c>
      <c r="P44" s="90">
        <f ca="1">VALUE(_xlfn.XLOOKUP($A44,Строчный!$A:$A,Строчный!N:N,"ERR",0))</f>
        <v>2365.6880000000001</v>
      </c>
      <c r="Q44" s="89" t="str">
        <f ca="1">_xlfn.XLOOKUP($G44,Фабрика!A:A,Фабрика!B:B,"ERR",0)</f>
        <v>Friedrich W. Schneider GmbH &amp; Co. KG; Oskar-Schindler-Str. 11, D 50769 Köln, Germany</v>
      </c>
      <c r="R44" s="80" t="str">
        <f ca="1">_xlfn.XLOOKUP(RIGHT(Z44,2),Размеры!D:D,Размеры!A:A,"ERR",0)</f>
        <v>63</v>
      </c>
      <c r="S44" s="80">
        <f ca="1">VALUE(_xlfn.XLOOKUP($Z44,Строчный!$R:$R,Строчный!T:T,"ERR",0))</f>
        <v>2</v>
      </c>
      <c r="T44" s="14" t="s">
        <v>265</v>
      </c>
      <c r="U44" s="101" t="str">
        <f t="shared" ca="1" si="3"/>
        <v>Шляпа STETSON арт. 2498502 TRAVELLER RAFFIA (бежевый)</v>
      </c>
      <c r="V44" s="100" t="str">
        <f t="shared" ca="1" si="4"/>
        <v>Шляпа STETSON арт. 2498502 TRAVELLER RAFFIA (бежевый) {7}</v>
      </c>
      <c r="W44" s="18" t="str">
        <f t="shared" ca="1" si="5"/>
        <v>бежевый</v>
      </c>
      <c r="X44" s="18" t="str">
        <f t="shared" ca="1" si="6"/>
        <v>бежевый</v>
      </c>
      <c r="Y44" s="117" t="str">
        <f ca="1">_xlfn.LET(_xlpm.FormColors,_xlfn.XLOOKUP(A44,Строчный!A:A,Строчный!Q:Q,"",0),IF(_xlpm.FormColors=0,IFERROR(MID(I44,FIND("-",I44)+1,LEN(I44)),IFERROR(MID(I44,1,FIND("/",I44)-2),I44)),_xlpm.FormColors))</f>
        <v>бежевый</v>
      </c>
      <c r="Z44" s="73" t="str">
        <f ca="1"/>
        <v>02-359-02-63</v>
      </c>
      <c r="AA44" s="75" t="str">
        <f ca="1">VLOOKUP(C44,Группа!A:B,2,FALSE)</f>
        <v>Шляпа</v>
      </c>
      <c r="AB44" s="97" t="str">
        <f ca="1">IFERROR(VLOOKUP(R44,Размеры!A:C,3,FALSE),"")</f>
        <v>63 XXL</v>
      </c>
      <c r="AC44" s="97" t="str">
        <f ca="1">VLOOKUP(I44,ЦветПолный!A:B,2,FALSE)</f>
        <v>02</v>
      </c>
      <c r="AD44" s="97" t="str">
        <f ca="1">IFERROR(VLOOKUP(R44,Размеры!A:D,4,FALSE),"")</f>
        <v>63</v>
      </c>
      <c r="AE44" s="97">
        <f ca="1">IF(LEFT(IFERROR(VLOOKUP(LOOKUP(2,1/SEARCH(B44,Товары!A:A),Товары!A:A),Товары!A:B,2,0),""),6)=MID(Z44,1,6),1,0)</f>
        <v>1</v>
      </c>
      <c r="AG44" s="97">
        <f ca="1">SUMIF(Группа!A:A,C44,Группа!C:C)</f>
        <v>1</v>
      </c>
      <c r="AH44" s="97">
        <f ca="1">SUMIF(Группа!B:B,AA44,Группа!C:C)</f>
        <v>1</v>
      </c>
      <c r="AI44" s="97">
        <f ca="1">SUMIF(Формы!A:A,D44,Формы!B:B)</f>
        <v>1</v>
      </c>
      <c r="AJ44" s="97">
        <f ca="1">SUMIF(Материал!A:A,K44,Материал!B:B)</f>
        <v>1</v>
      </c>
      <c r="AK44" s="97">
        <f ca="1">SUMIF(Размеры!A:A,R44,Размеры!E:E)</f>
        <v>1</v>
      </c>
      <c r="AL44" s="97">
        <f ca="1">SUMIF(Сезон!A:A,F44,Сезон!B:B)</f>
        <v>1</v>
      </c>
      <c r="AM44" s="97">
        <f ca="1">SUMIF(Состав!A:A,J44,Состав!B:B)</f>
        <v>0</v>
      </c>
      <c r="AN44" s="97">
        <f ca="1">VLOOKUP(I44,ЦветПолный!A:C,3,0)</f>
        <v>1</v>
      </c>
      <c r="AO44" s="97">
        <f ca="1">SUMIF(Цвет!A:A,Y44,Цвет!B:B)</f>
        <v>1</v>
      </c>
      <c r="AP44" s="97">
        <f ca="1">_xlfn.XLOOKUP(L44,Пол!A:A,Пол!B:B,0,0)</f>
        <v>1</v>
      </c>
      <c r="AQ44" s="97">
        <f ca="1">SUMIF(Марка!A:A,G44,Марка!B:B)</f>
        <v>1</v>
      </c>
      <c r="AR44" s="97">
        <f ca="1">SUMIF(Страна!A:A,M44,Страна!B:B)</f>
        <v>1</v>
      </c>
      <c r="AS44" s="64" t="str">
        <f ca="1">IF(VLOOKUP(V44,Товары!A:B,2,FALSE)=A44,"Есть в 1С","ERR")</f>
        <v>Есть в 1С</v>
      </c>
      <c r="AT44" s="65" t="str">
        <f ca="1">IF(VLOOKUP(A44,Товары!B:B,1,FALSE)=A44,"Есть в 1С","ERR")</f>
        <v>Есть в 1С</v>
      </c>
      <c r="AU44" s="96" t="str">
        <f ca="1">VLOOKUP(V44,Товары!A:B,2,FALSE)</f>
        <v>02-359-02</v>
      </c>
      <c r="AV44" s="94" t="str">
        <f ca="1">VLOOKUP(V44,Товары!A:B,1,FALSE)</f>
        <v>Шляпа STETSON арт. 2498502 TRAVELLER RAFFIA (бежевый) {7}</v>
      </c>
    </row>
    <row r="45" spans="1:48" x14ac:dyDescent="0.25">
      <c r="A45" s="110" t="str">
        <f t="shared" ca="1" si="2"/>
        <v>02-359-02</v>
      </c>
      <c r="B45" s="107" t="str">
        <f ca="1">_xlfn.LET(_xlpm.CAPS,1,_xlpm.Style,TRIM(_xlfn.XLOOKUP($A45,Строчный!$A:$A,Строчный!B:B,"ERR",0)),IF(_xlpm.CAPS=0,_xlpm.Style,UPPER(_xlpm.Style)))</f>
        <v>2498502 TRAVELLER RAFFIA</v>
      </c>
      <c r="C45" s="81" t="str">
        <f ca="1">TRIM(PROPER(_xlfn.XLOOKUP($A45,Строчный!$A:$A,Строчный!C:C,"ERR",0)))</f>
        <v>Шляпы</v>
      </c>
      <c r="D45" s="81" t="str">
        <f ca="1">_xlfn.LET(_xlpm.DATA,TRIM(_xlfn.XLOOKUP($A45,Строчный!$A:$A,Строчный!D:D,"ERR",0)),UPPER(MID(_xlpm.DATA,1,1))&amp;LOWER(MID(_xlpm.DATA,2,LEN(_xlpm.DATA)-1)))</f>
        <v>Шляпа федора</v>
      </c>
      <c r="E45" s="81" t="str">
        <f ca="1">PROPER(TRIM(_xlfn.XLOOKUP($A45,Строчный!$A:$A,Строчный!E:E,"ERR",0)))</f>
        <v>Stetson</v>
      </c>
      <c r="F45" s="81" t="str">
        <f ca="1">LOWER(TRIM(_xlfn.XLOOKUP($A45,Строчный!$A:$A,Строчный!F:F,"ERR",0)))</f>
        <v>летний</v>
      </c>
      <c r="G45" s="81" t="str">
        <f ca="1">UPPER(TRIM(_xlfn.XLOOKUP($A45,Строчный!$A:$A,Строчный!G:G,"ERR",0)))</f>
        <v>STETSON</v>
      </c>
      <c r="H45" s="81" t="str">
        <f ca="1">LOWER(TRIM(_xlfn.XLOOKUP($A45,Строчный!$A:$A,Строчный!H:H,"ERR",0)))</f>
        <v>7</v>
      </c>
      <c r="I45" s="81" t="str">
        <f ca="1">LOWER(TRIM(_xlfn.XLOOKUP($A45,Строчный!$A:$A,Строчный!I:I,"ERR",0)))</f>
        <v>бежевый</v>
      </c>
      <c r="J45" s="81" t="str">
        <f ca="1">SUBSTITUTE(LOWER(TRIM(_xlfn.XLOOKUP($A45,Строчный!$A:$A,Строчный!J:J,"ERR",0))),"подклад","Подклад")</f>
        <v>100% солома / Подклад: 100% хлопок</v>
      </c>
      <c r="K45" s="81" t="str">
        <f ca="1">LOWER(TRIM(_xlfn.XLOOKUP($A45,Строчный!$A:$A,Строчный!K:K,"ERR",0)))</f>
        <v>соломенные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7" t="str">
        <f ca="1">PROPER(TRIM(_xlfn.XLOOKUP($A45,Строчный!$A:$A,Строчный!P:P,"ERR",0)))</f>
        <v/>
      </c>
      <c r="P45" s="90">
        <f ca="1">VALUE(_xlfn.XLOOKUP($A45,Строчный!$A:$A,Строчный!N:N,"ERR",0))</f>
        <v>2365.6880000000001</v>
      </c>
      <c r="Q45" s="89" t="str">
        <f ca="1">_xlfn.XLOOKUP($G45,Фабрика!A:A,Фабрика!B:B,"ERR",0)</f>
        <v>Friedrich W. Schneider GmbH &amp; Co. KG; Oskar-Schindler-Str. 11, D 50769 Köln, Germany</v>
      </c>
      <c r="R45" s="80" t="str">
        <f ca="1">_xlfn.XLOOKUP(RIGHT(Z45,2),Размеры!D:D,Размеры!A:A,"ERR",0)</f>
        <v>61</v>
      </c>
      <c r="S45" s="80">
        <f ca="1">VALUE(_xlfn.XLOOKUP($Z45,Строчный!$R:$R,Строчный!T:T,"ERR",0))</f>
        <v>2</v>
      </c>
      <c r="T45" s="14" t="s">
        <v>265</v>
      </c>
      <c r="U45" s="101" t="str">
        <f t="shared" ca="1" si="3"/>
        <v>Шляпа STETSON арт. 2498502 TRAVELLER RAFFIA (бежевый)</v>
      </c>
      <c r="V45" s="100" t="str">
        <f t="shared" ca="1" si="4"/>
        <v>Шляпа STETSON арт. 2498502 TRAVELLER RAFFIA (бежевый) {7}</v>
      </c>
      <c r="W45" s="18" t="str">
        <f t="shared" ca="1" si="5"/>
        <v>бежевый</v>
      </c>
      <c r="X45" s="18" t="str">
        <f t="shared" ca="1" si="6"/>
        <v>бежевый</v>
      </c>
      <c r="Y45" s="117" t="str">
        <f ca="1">_xlfn.LET(_xlpm.FormColors,_xlfn.XLOOKUP(A45,Строчный!A:A,Строчный!Q:Q,"",0),IF(_xlpm.FormColors=0,IFERROR(MID(I45,FIND("-",I45)+1,LEN(I45)),IFERROR(MID(I45,1,FIND("/",I45)-2),I45)),_xlpm.FormColors))</f>
        <v>бежевый</v>
      </c>
      <c r="Z45" s="73" t="str">
        <f ca="1"/>
        <v>02-359-02-61</v>
      </c>
      <c r="AA45" s="75" t="str">
        <f ca="1">VLOOKUP(C45,Группа!A:B,2,FALSE)</f>
        <v>Шляпа</v>
      </c>
      <c r="AB45" s="97" t="str">
        <f ca="1">IFERROR(VLOOKUP(R45,Размеры!A:C,3,FALSE),"")</f>
        <v>61 XL</v>
      </c>
      <c r="AC45" s="97" t="str">
        <f ca="1">VLOOKUP(I45,ЦветПолный!A:B,2,FALSE)</f>
        <v>02</v>
      </c>
      <c r="AD45" s="97" t="str">
        <f ca="1">IFERROR(VLOOKUP(R45,Размеры!A:D,4,FALSE),"")</f>
        <v>61</v>
      </c>
      <c r="AE45" s="97">
        <f ca="1">IF(LEFT(IFERROR(VLOOKUP(LOOKUP(2,1/SEARCH(B45,Товары!A:A),Товары!A:A),Товары!A:B,2,0),""),6)=MID(Z45,1,6),1,0)</f>
        <v>1</v>
      </c>
      <c r="AG45" s="97">
        <f ca="1">SUMIF(Группа!A:A,C45,Группа!C:C)</f>
        <v>1</v>
      </c>
      <c r="AH45" s="97">
        <f ca="1">SUMIF(Группа!B:B,AA45,Группа!C:C)</f>
        <v>1</v>
      </c>
      <c r="AI45" s="97">
        <f ca="1">SUMIF(Формы!A:A,D45,Формы!B:B)</f>
        <v>1</v>
      </c>
      <c r="AJ45" s="97">
        <f ca="1">SUMIF(Материал!A:A,K45,Материал!B:B)</f>
        <v>1</v>
      </c>
      <c r="AK45" s="97">
        <f ca="1">SUMIF(Размеры!A:A,R45,Размеры!E:E)</f>
        <v>1</v>
      </c>
      <c r="AL45" s="97">
        <f ca="1">SUMIF(Сезон!A:A,F45,Сезон!B:B)</f>
        <v>1</v>
      </c>
      <c r="AM45" s="97">
        <f ca="1">SUMIF(Состав!A:A,J45,Состав!B:B)</f>
        <v>0</v>
      </c>
      <c r="AN45" s="97">
        <f ca="1">VLOOKUP(I45,ЦветПолный!A:C,3,0)</f>
        <v>1</v>
      </c>
      <c r="AO45" s="97">
        <f ca="1">SUMIF(Цвет!A:A,Y45,Цвет!B:B)</f>
        <v>1</v>
      </c>
      <c r="AP45" s="97">
        <f ca="1">_xlfn.XLOOKUP(L45,Пол!A:A,Пол!B:B,0,0)</f>
        <v>1</v>
      </c>
      <c r="AQ45" s="97">
        <f ca="1">SUMIF(Марка!A:A,G45,Марка!B:B)</f>
        <v>1</v>
      </c>
      <c r="AR45" s="97">
        <f ca="1">SUMIF(Страна!A:A,M45,Страна!B:B)</f>
        <v>1</v>
      </c>
      <c r="AS45" s="64" t="str">
        <f ca="1">IF(VLOOKUP(V45,Товары!A:B,2,FALSE)=A45,"Есть в 1С","ERR")</f>
        <v>Есть в 1С</v>
      </c>
      <c r="AT45" s="65" t="str">
        <f ca="1">IF(VLOOKUP(A45,Товары!B:B,1,FALSE)=A45,"Есть в 1С","ERR")</f>
        <v>Есть в 1С</v>
      </c>
      <c r="AU45" s="96" t="str">
        <f ca="1">VLOOKUP(V45,Товары!A:B,2,FALSE)</f>
        <v>02-359-02</v>
      </c>
      <c r="AV45" s="94" t="str">
        <f ca="1">VLOOKUP(V45,Товары!A:B,1,FALSE)</f>
        <v>Шляпа STETSON арт. 2498502 TRAVELLER RAFFIA (бежевый) {7}</v>
      </c>
    </row>
    <row r="46" spans="1:48" x14ac:dyDescent="0.25">
      <c r="A46" s="110" t="str">
        <f t="shared" ca="1" si="2"/>
        <v>02-359-02</v>
      </c>
      <c r="B46" s="107" t="str">
        <f ca="1">_xlfn.LET(_xlpm.CAPS,1,_xlpm.Style,TRIM(_xlfn.XLOOKUP($A46,Строчный!$A:$A,Строчный!B:B,"ERR",0)),IF(_xlpm.CAPS=0,_xlpm.Style,UPPER(_xlpm.Style)))</f>
        <v>2498502 TRAVELLER RAFFIA</v>
      </c>
      <c r="C46" s="81" t="str">
        <f ca="1">TRIM(PROPER(_xlfn.XLOOKUP($A46,Строчный!$A:$A,Строчный!C:C,"ERR",0)))</f>
        <v>Шляпы</v>
      </c>
      <c r="D46" s="81" t="str">
        <f ca="1">_xlfn.LET(_xlpm.DATA,TRIM(_xlfn.XLOOKUP($A46,Строчный!$A:$A,Строчный!D:D,"ERR",0)),UPPER(MID(_xlpm.DATA,1,1))&amp;LOWER(MID(_xlpm.DATA,2,LEN(_xlpm.DATA)-1)))</f>
        <v>Шляпа федора</v>
      </c>
      <c r="E46" s="81" t="str">
        <f ca="1">PROPER(TRIM(_xlfn.XLOOKUP($A46,Строчный!$A:$A,Строчный!E:E,"ERR",0)))</f>
        <v>Stetson</v>
      </c>
      <c r="F46" s="81" t="str">
        <f ca="1">LOWER(TRIM(_xlfn.XLOOKUP($A46,Строчный!$A:$A,Строчный!F:F,"ERR",0)))</f>
        <v>летний</v>
      </c>
      <c r="G46" s="81" t="str">
        <f ca="1">UPPER(TRIM(_xlfn.XLOOKUP($A46,Строчный!$A:$A,Строчный!G:G,"ERR",0)))</f>
        <v>STETSON</v>
      </c>
      <c r="H46" s="81" t="str">
        <f ca="1">LOWER(TRIM(_xlfn.XLOOKUP($A46,Строчный!$A:$A,Строчный!H:H,"ERR",0)))</f>
        <v>7</v>
      </c>
      <c r="I46" s="81" t="str">
        <f ca="1">LOWER(TRIM(_xlfn.XLOOKUP($A46,Строчный!$A:$A,Строчный!I:I,"ERR",0)))</f>
        <v>бежевый</v>
      </c>
      <c r="J46" s="81" t="str">
        <f ca="1">SUBSTITUTE(LOWER(TRIM(_xlfn.XLOOKUP($A46,Строчный!$A:$A,Строчный!J:J,"ERR",0))),"подклад","Подклад")</f>
        <v>100% солома / Подклад: 100% хлопок</v>
      </c>
      <c r="K46" s="81" t="str">
        <f ca="1">LOWER(TRIM(_xlfn.XLOOKUP($A46,Строчный!$A:$A,Строчный!K:K,"ERR",0)))</f>
        <v>соломенные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7" t="str">
        <f ca="1">PROPER(TRIM(_xlfn.XLOOKUP($A46,Строчный!$A:$A,Строчный!P:P,"ERR",0)))</f>
        <v/>
      </c>
      <c r="P46" s="90">
        <f ca="1">VALUE(_xlfn.XLOOKUP($A46,Строчный!$A:$A,Строчный!N:N,"ERR",0))</f>
        <v>2365.6880000000001</v>
      </c>
      <c r="Q46" s="89" t="str">
        <f ca="1">_xlfn.XLOOKUP($G46,Фабрика!A:A,Фабрика!B:B,"ERR",0)</f>
        <v>Friedrich W. Schneider GmbH &amp; Co. KG; Oskar-Schindler-Str. 11, D 50769 Köln, Germany</v>
      </c>
      <c r="R46" s="80" t="str">
        <f ca="1">_xlfn.XLOOKUP(RIGHT(Z46,2),Размеры!D:D,Размеры!A:A,"ERR",0)</f>
        <v>57</v>
      </c>
      <c r="S46" s="80">
        <f ca="1">VALUE(_xlfn.XLOOKUP($Z46,Строчный!$R:$R,Строчный!T:T,"ERR",0))</f>
        <v>2</v>
      </c>
      <c r="T46" s="14" t="s">
        <v>265</v>
      </c>
      <c r="U46" s="101" t="str">
        <f t="shared" ca="1" si="3"/>
        <v>Шляпа STETSON арт. 2498502 TRAVELLER RAFFIA (бежевый)</v>
      </c>
      <c r="V46" s="100" t="str">
        <f t="shared" ca="1" si="4"/>
        <v>Шляпа STETSON арт. 2498502 TRAVELLER RAFFIA (бежевый) {7}</v>
      </c>
      <c r="W46" s="18" t="str">
        <f t="shared" ca="1" si="5"/>
        <v>бежевый</v>
      </c>
      <c r="X46" s="18" t="str">
        <f t="shared" ca="1" si="6"/>
        <v>бежевый</v>
      </c>
      <c r="Y46" s="117" t="str">
        <f ca="1">_xlfn.LET(_xlpm.FormColors,_xlfn.XLOOKUP(A46,Строчный!A:A,Строчный!Q:Q,"",0),IF(_xlpm.FormColors=0,IFERROR(MID(I46,FIND("-",I46)+1,LEN(I46)),IFERROR(MID(I46,1,FIND("/",I46)-2),I46)),_xlpm.FormColors))</f>
        <v>бежевый</v>
      </c>
      <c r="Z46" s="73" t="str">
        <f ca="1"/>
        <v>02-359-02-57</v>
      </c>
      <c r="AA46" s="75" t="str">
        <f ca="1">VLOOKUP(C46,Группа!A:B,2,FALSE)</f>
        <v>Шляпа</v>
      </c>
      <c r="AB46" s="97" t="str">
        <f ca="1">IFERROR(VLOOKUP(R46,Размеры!A:C,3,FALSE),"")</f>
        <v>57 M</v>
      </c>
      <c r="AC46" s="97" t="str">
        <f ca="1">VLOOKUP(I46,ЦветПолный!A:B,2,FALSE)</f>
        <v>02</v>
      </c>
      <c r="AD46" s="97" t="str">
        <f ca="1">IFERROR(VLOOKUP(R46,Размеры!A:D,4,FALSE),"")</f>
        <v>57</v>
      </c>
      <c r="AE46" s="97">
        <f ca="1">IF(LEFT(IFERROR(VLOOKUP(LOOKUP(2,1/SEARCH(B46,Товары!A:A),Товары!A:A),Товары!A:B,2,0),""),6)=MID(Z46,1,6),1,0)</f>
        <v>1</v>
      </c>
      <c r="AG46" s="97">
        <f ca="1">SUMIF(Группа!A:A,C46,Группа!C:C)</f>
        <v>1</v>
      </c>
      <c r="AH46" s="97">
        <f ca="1">SUMIF(Группа!B:B,AA46,Группа!C:C)</f>
        <v>1</v>
      </c>
      <c r="AI46" s="97">
        <f ca="1">SUMIF(Формы!A:A,D46,Формы!B:B)</f>
        <v>1</v>
      </c>
      <c r="AJ46" s="97">
        <f ca="1">SUMIF(Материал!A:A,K46,Материал!B:B)</f>
        <v>1</v>
      </c>
      <c r="AK46" s="97">
        <f ca="1">SUMIF(Размеры!A:A,R46,Размеры!E:E)</f>
        <v>1</v>
      </c>
      <c r="AL46" s="97">
        <f ca="1">SUMIF(Сезон!A:A,F46,Сезон!B:B)</f>
        <v>1</v>
      </c>
      <c r="AM46" s="97">
        <f ca="1">SUMIF(Состав!A:A,J46,Состав!B:B)</f>
        <v>0</v>
      </c>
      <c r="AN46" s="97">
        <f ca="1">VLOOKUP(I46,ЦветПолный!A:C,3,0)</f>
        <v>1</v>
      </c>
      <c r="AO46" s="97">
        <f ca="1">SUMIF(Цвет!A:A,Y46,Цвет!B:B)</f>
        <v>1</v>
      </c>
      <c r="AP46" s="97">
        <f ca="1">_xlfn.XLOOKUP(L46,Пол!A:A,Пол!B:B,0,0)</f>
        <v>1</v>
      </c>
      <c r="AQ46" s="97">
        <f ca="1">SUMIF(Марка!A:A,G46,Марка!B:B)</f>
        <v>1</v>
      </c>
      <c r="AR46" s="97">
        <f ca="1">SUMIF(Страна!A:A,M46,Страна!B:B)</f>
        <v>1</v>
      </c>
      <c r="AS46" s="64" t="str">
        <f ca="1">IF(VLOOKUP(V46,Товары!A:B,2,FALSE)=A46,"Есть в 1С","ERR")</f>
        <v>Есть в 1С</v>
      </c>
      <c r="AT46" s="65" t="str">
        <f ca="1">IF(VLOOKUP(A46,Товары!B:B,1,FALSE)=A46,"Есть в 1С","ERR")</f>
        <v>Есть в 1С</v>
      </c>
      <c r="AU46" s="96" t="str">
        <f ca="1">VLOOKUP(V46,Товары!A:B,2,FALSE)</f>
        <v>02-359-02</v>
      </c>
      <c r="AV46" s="94" t="str">
        <f ca="1">VLOOKUP(V46,Товары!A:B,1,FALSE)</f>
        <v>Шляпа STETSON арт. 2498502 TRAVELLER RAFFIA (бежевый) {7}</v>
      </c>
    </row>
    <row r="47" spans="1:48" x14ac:dyDescent="0.25">
      <c r="A47" s="110" t="str">
        <f t="shared" ca="1" si="2"/>
        <v>02-334-36</v>
      </c>
      <c r="B47" s="107" t="str">
        <f ca="1">_xlfn.LET(_xlpm.CAPS,1,_xlpm.Style,TRIM(_xlfn.XLOOKUP($A47,Строчный!$A:$A,Строчный!B:B,"ERR",0)),IF(_xlpm.CAPS=0,_xlpm.Style,UPPER(_xlpm.Style)))</f>
        <v>6841504 HATTERAS COTTON LINEN</v>
      </c>
      <c r="C47" s="81" t="str">
        <f ca="1">TRIM(PROPER(_xlfn.XLOOKUP($A47,Строчный!$A:$A,Строчный!C:C,"ERR",0)))</f>
        <v>Кепки</v>
      </c>
      <c r="D47" s="81" t="str">
        <f ca="1">_xlfn.LET(_xlpm.DATA,TRIM(_xlfn.XLOOKUP($A47,Строчный!$A:$A,Строчный!D:D,"ERR",0)),UPPER(MID(_xlpm.DATA,1,1))&amp;LOWER(MID(_xlpm.DATA,2,LEN(_xlpm.DATA)-1)))</f>
        <v>Кепка восьмиклинка</v>
      </c>
      <c r="E47" s="81" t="str">
        <f ca="1">PROPER(TRIM(_xlfn.XLOOKUP($A47,Строчный!$A:$A,Строчный!E:E,"ERR",0)))</f>
        <v>Stetson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STETSON</v>
      </c>
      <c r="H47" s="81" t="str">
        <f ca="1">LOWER(TRIM(_xlfn.XLOOKUP($A47,Строчный!$A:$A,Строчный!H:H,"ERR",0)))</f>
        <v>310</v>
      </c>
      <c r="I47" s="81" t="str">
        <f ca="1">LOWER(TRIM(_xlfn.XLOOKUP($A47,Строчный!$A:$A,Строчный!I:I,"ERR",0)))</f>
        <v>белый</v>
      </c>
      <c r="J47" s="81" t="str">
        <f ca="1">SUBSTITUTE(LOWER(TRIM(_xlfn.XLOOKUP($A47,Строчный!$A:$A,Строчный!J:J,"ERR",0))),"подклад","Подклад")</f>
        <v>50% хлопок - 49% лен - 1% эластан / Подклад: 68% хлопок - 32% полиэстер</v>
      </c>
      <c r="K47" s="81" t="str">
        <f ca="1">LOWER(TRIM(_xlfn.XLOOKUP($A47,Строчный!$A:$A,Строчный!K:K,"ERR",0)))</f>
        <v>хлопковые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Болгария</v>
      </c>
      <c r="N47" s="81" t="str">
        <f ca="1">UPPER(TRIM(_xlfn.XLOOKUP($A47,Строчный!$A:$A,Строчный!O:O,"ERR",0)))</f>
        <v/>
      </c>
      <c r="O47" s="107" t="str">
        <f ca="1">PROPER(TRIM(_xlfn.XLOOKUP($A47,Строчный!$A:$A,Строчный!P:P,"ERR",0)))</f>
        <v/>
      </c>
      <c r="P47" s="90">
        <f ca="1">VALUE(_xlfn.XLOOKUP($A47,Строчный!$A:$A,Строчный!N:N,"ERR",0))</f>
        <v>2365.6880000000001</v>
      </c>
      <c r="Q47" s="89" t="str">
        <f ca="1">_xlfn.XLOOKUP($G47,Фабрика!A:A,Фабрика!B:B,"ERR",0)</f>
        <v>Friedrich W. Schneider GmbH &amp; Co. KG; Oskar-Schindler-Str. 11, D 50769 Köln, Germany</v>
      </c>
      <c r="R47" s="80" t="str">
        <f ca="1">_xlfn.XLOOKUP(RIGHT(Z47,2),Размеры!D:D,Размеры!A:A,"ERR",0)</f>
        <v>63</v>
      </c>
      <c r="S47" s="80">
        <f ca="1">VALUE(_xlfn.XLOOKUP($Z47,Строчный!$R:$R,Строчный!T:T,"ERR",0))</f>
        <v>1</v>
      </c>
      <c r="T47" s="14" t="s">
        <v>265</v>
      </c>
      <c r="U47" s="101" t="str">
        <f t="shared" ca="1" si="3"/>
        <v>Кепка STETSON арт. 6841504 HATTERAS COTTON LINEN (белый)</v>
      </c>
      <c r="V47" s="100" t="str">
        <f t="shared" ca="1" si="4"/>
        <v>Кепка STETSON арт. 6841504 HATTERAS COTTON LINEN (белый) {310}</v>
      </c>
      <c r="W47" s="18" t="str">
        <f t="shared" ca="1" si="5"/>
        <v>белый</v>
      </c>
      <c r="X47" s="18" t="str">
        <f t="shared" ca="1" si="6"/>
        <v>белый</v>
      </c>
      <c r="Y47" s="117" t="str">
        <f ca="1">_xlfn.LET(_xlpm.FormColors,_xlfn.XLOOKUP(A47,Строчный!A:A,Строчный!Q:Q,"",0),IF(_xlpm.FormColors=0,IFERROR(MID(I47,FIND("-",I47)+1,LEN(I47)),IFERROR(MID(I47,1,FIND("/",I47)-2),I47)),_xlpm.FormColors))</f>
        <v>белый</v>
      </c>
      <c r="Z47" s="73" t="str">
        <f ca="1"/>
        <v>02-334-36-63</v>
      </c>
      <c r="AA47" s="75" t="str">
        <f ca="1">VLOOKUP(C47,Группа!A:B,2,FALSE)</f>
        <v>Кепка</v>
      </c>
      <c r="AB47" s="97" t="str">
        <f ca="1">IFERROR(VLOOKUP(R47,Размеры!A:C,3,FALSE),"")</f>
        <v>63 XXL</v>
      </c>
      <c r="AC47" s="97" t="str">
        <f ca="1">VLOOKUP(I47,ЦветПолный!A:B,2,FALSE)</f>
        <v>17</v>
      </c>
      <c r="AD47" s="97" t="str">
        <f ca="1">IFERROR(VLOOKUP(R47,Размеры!A:D,4,FALSE),"")</f>
        <v>63</v>
      </c>
      <c r="AE47" s="97">
        <f ca="1">IF(LEFT(IFERROR(VLOOKUP(LOOKUP(2,1/SEARCH(B47,Товары!A:A),Товары!A:A),Товары!A:B,2,0),""),6)=MID(Z47,1,6),1,0)</f>
        <v>1</v>
      </c>
      <c r="AG47" s="97">
        <f ca="1">SUMIF(Группа!A:A,C47,Группа!C:C)</f>
        <v>1</v>
      </c>
      <c r="AH47" s="97">
        <f ca="1">SUMIF(Группа!B:B,AA47,Группа!C:C)</f>
        <v>1</v>
      </c>
      <c r="AI47" s="97">
        <f ca="1">SUMIF(Формы!A:A,D47,Формы!B:B)</f>
        <v>1</v>
      </c>
      <c r="AJ47" s="97">
        <f ca="1">SUMIF(Материал!A:A,K47,Материал!B:B)</f>
        <v>1</v>
      </c>
      <c r="AK47" s="97">
        <f ca="1">SUMIF(Размеры!A:A,R47,Размеры!E:E)</f>
        <v>1</v>
      </c>
      <c r="AL47" s="97">
        <f ca="1">SUMIF(Сезон!A:A,F47,Сезон!B:B)</f>
        <v>1</v>
      </c>
      <c r="AM47" s="97">
        <f ca="1">SUMIF(Состав!A:A,J47,Состав!B:B)</f>
        <v>0</v>
      </c>
      <c r="AN47" s="97">
        <f ca="1">VLOOKUP(I47,ЦветПолный!A:C,3,0)</f>
        <v>1</v>
      </c>
      <c r="AO47" s="97">
        <f ca="1">SUMIF(Цвет!A:A,Y47,Цвет!B:B)</f>
        <v>1</v>
      </c>
      <c r="AP47" s="97">
        <f ca="1">_xlfn.XLOOKUP(L47,Пол!A:A,Пол!B:B,0,0)</f>
        <v>1</v>
      </c>
      <c r="AQ47" s="97">
        <f ca="1">SUMIF(Марка!A:A,G47,Марка!B:B)</f>
        <v>1</v>
      </c>
      <c r="AR47" s="97">
        <f ca="1">SUMIF(Страна!A:A,M47,Страна!B:B)</f>
        <v>1</v>
      </c>
      <c r="AS47" s="64" t="str">
        <f ca="1">IF(VLOOKUP(V47,Товары!A:B,2,FALSE)=A47,"Есть в 1С","ERR")</f>
        <v>Есть в 1С</v>
      </c>
      <c r="AT47" s="65" t="str">
        <f ca="1">IF(VLOOKUP(A47,Товары!B:B,1,FALSE)=A47,"Есть в 1С","ERR")</f>
        <v>Есть в 1С</v>
      </c>
      <c r="AU47" s="96" t="str">
        <f ca="1">VLOOKUP(V47,Товары!A:B,2,FALSE)</f>
        <v>02-334-36</v>
      </c>
      <c r="AV47" s="94" t="str">
        <f ca="1">VLOOKUP(V47,Товары!A:B,1,FALSE)</f>
        <v>Кепка STETSON арт. 6841504 HATTERAS COTTON LINEN (белый) {310}</v>
      </c>
    </row>
    <row r="48" spans="1:48" x14ac:dyDescent="0.25">
      <c r="A48" s="110" t="str">
        <f t="shared" ca="1" si="2"/>
        <v>02-334-36</v>
      </c>
      <c r="B48" s="107" t="str">
        <f ca="1">_xlfn.LET(_xlpm.CAPS,1,_xlpm.Style,TRIM(_xlfn.XLOOKUP($A48,Строчный!$A:$A,Строчный!B:B,"ERR",0)),IF(_xlpm.CAPS=0,_xlpm.Style,UPPER(_xlpm.Style)))</f>
        <v>6841504 HATTERAS COTTON LINEN</v>
      </c>
      <c r="C48" s="81" t="str">
        <f ca="1">TRIM(PROPER(_xlfn.XLOOKUP($A48,Строчный!$A:$A,Строчный!C:C,"ERR",0)))</f>
        <v>Кепки</v>
      </c>
      <c r="D48" s="81" t="str">
        <f ca="1">_xlfn.LET(_xlpm.DATA,TRIM(_xlfn.XLOOKUP($A48,Строчный!$A:$A,Строчный!D:D,"ERR",0)),UPPER(MID(_xlpm.DATA,1,1))&amp;LOWER(MID(_xlpm.DATA,2,LEN(_xlpm.DATA)-1)))</f>
        <v>Кепка восьмиклинка</v>
      </c>
      <c r="E48" s="81" t="str">
        <f ca="1">PROPER(TRIM(_xlfn.XLOOKUP($A48,Строчный!$A:$A,Строчный!E:E,"ERR",0)))</f>
        <v>Stetson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STETSON</v>
      </c>
      <c r="H48" s="81" t="str">
        <f ca="1">LOWER(TRIM(_xlfn.XLOOKUP($A48,Строчный!$A:$A,Строчный!H:H,"ERR",0)))</f>
        <v>310</v>
      </c>
      <c r="I48" s="81" t="str">
        <f ca="1">LOWER(TRIM(_xlfn.XLOOKUP($A48,Строчный!$A:$A,Строчный!I:I,"ERR",0)))</f>
        <v>белый</v>
      </c>
      <c r="J48" s="81" t="str">
        <f ca="1">SUBSTITUTE(LOWER(TRIM(_xlfn.XLOOKUP($A48,Строчный!$A:$A,Строчный!J:J,"ERR",0))),"подклад","Подклад")</f>
        <v>50% хлопок - 49% лен - 1% эластан / Подклад: 68% хлопок - 32% полиэстер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Болгария</v>
      </c>
      <c r="N48" s="81" t="str">
        <f ca="1">UPPER(TRIM(_xlfn.XLOOKUP($A48,Строчный!$A:$A,Строчный!O:O,"ERR",0)))</f>
        <v/>
      </c>
      <c r="O48" s="107" t="str">
        <f ca="1">PROPER(TRIM(_xlfn.XLOOKUP($A48,Строчный!$A:$A,Строчный!P:P,"ERR",0)))</f>
        <v/>
      </c>
      <c r="P48" s="90">
        <f ca="1">VALUE(_xlfn.XLOOKUP($A48,Строчный!$A:$A,Строчный!N:N,"ERR",0))</f>
        <v>2365.6880000000001</v>
      </c>
      <c r="Q48" s="89" t="str">
        <f ca="1">_xlfn.XLOOKUP($G48,Фабрика!A:A,Фабрика!B:B,"ERR",0)</f>
        <v>Friedrich W. Schneider GmbH &amp; Co. KG; Oskar-Schindler-Str. 11, D 50769 Köln, Germany</v>
      </c>
      <c r="R48" s="80" t="str">
        <f ca="1">_xlfn.XLOOKUP(RIGHT(Z48,2),Размеры!D:D,Размеры!A:A,"ERR",0)</f>
        <v>59</v>
      </c>
      <c r="S48" s="80">
        <f ca="1">VALUE(_xlfn.XLOOKUP($Z48,Строчный!$R:$R,Строчный!T:T,"ERR",0))</f>
        <v>2</v>
      </c>
      <c r="T48" s="14" t="s">
        <v>265</v>
      </c>
      <c r="U48" s="101" t="str">
        <f t="shared" ca="1" si="3"/>
        <v>Кепка STETSON арт. 6841504 HATTERAS COTTON LINEN (белый)</v>
      </c>
      <c r="V48" s="100" t="str">
        <f t="shared" ca="1" si="4"/>
        <v>Кепка STETSON арт. 6841504 HATTERAS COTTON LINEN (белый) {310}</v>
      </c>
      <c r="W48" s="18" t="str">
        <f t="shared" ca="1" si="5"/>
        <v>белый</v>
      </c>
      <c r="X48" s="18" t="str">
        <f t="shared" ca="1" si="6"/>
        <v>белый</v>
      </c>
      <c r="Y48" s="117" t="str">
        <f ca="1">_xlfn.LET(_xlpm.FormColors,_xlfn.XLOOKUP(A48,Строчный!A:A,Строчный!Q:Q,"",0),IF(_xlpm.FormColors=0,IFERROR(MID(I48,FIND("-",I48)+1,LEN(I48)),IFERROR(MID(I48,1,FIND("/",I48)-2),I48)),_xlpm.FormColors))</f>
        <v>белый</v>
      </c>
      <c r="Z48" s="73" t="str">
        <f ca="1"/>
        <v>02-334-36-59</v>
      </c>
      <c r="AA48" s="75" t="str">
        <f ca="1">VLOOKUP(C48,Группа!A:B,2,FALSE)</f>
        <v>Кепка</v>
      </c>
      <c r="AB48" s="97" t="str">
        <f ca="1">IFERROR(VLOOKUP(R48,Размеры!A:C,3,FALSE),"")</f>
        <v>59 L</v>
      </c>
      <c r="AC48" s="97" t="str">
        <f ca="1">VLOOKUP(I48,ЦветПолный!A:B,2,FALSE)</f>
        <v>17</v>
      </c>
      <c r="AD48" s="97" t="str">
        <f ca="1">IFERROR(VLOOKUP(R48,Размеры!A:D,4,FALSE),"")</f>
        <v>59</v>
      </c>
      <c r="AE48" s="97">
        <f ca="1">IF(LEFT(IFERROR(VLOOKUP(LOOKUP(2,1/SEARCH(B48,Товары!A:A),Товары!A:A),Товары!A:B,2,0),""),6)=MID(Z48,1,6),1,0)</f>
        <v>1</v>
      </c>
      <c r="AG48" s="97">
        <f ca="1">SUMIF(Группа!A:A,C48,Группа!C:C)</f>
        <v>1</v>
      </c>
      <c r="AH48" s="97">
        <f ca="1">SUMIF(Группа!B:B,AA48,Группа!C:C)</f>
        <v>1</v>
      </c>
      <c r="AI48" s="97">
        <f ca="1">SUMIF(Формы!A:A,D48,Формы!B:B)</f>
        <v>1</v>
      </c>
      <c r="AJ48" s="97">
        <f ca="1">SUMIF(Материал!A:A,K48,Материал!B:B)</f>
        <v>1</v>
      </c>
      <c r="AK48" s="97">
        <f ca="1">SUMIF(Размеры!A:A,R48,Размеры!E:E)</f>
        <v>1</v>
      </c>
      <c r="AL48" s="97">
        <f ca="1">SUMIF(Сезон!A:A,F48,Сезон!B:B)</f>
        <v>1</v>
      </c>
      <c r="AM48" s="97">
        <f ca="1">SUMIF(Состав!A:A,J48,Состав!B:B)</f>
        <v>0</v>
      </c>
      <c r="AN48" s="97">
        <f ca="1">VLOOKUP(I48,ЦветПолный!A:C,3,0)</f>
        <v>1</v>
      </c>
      <c r="AO48" s="97">
        <f ca="1">SUMIF(Цвет!A:A,Y48,Цвет!B:B)</f>
        <v>1</v>
      </c>
      <c r="AP48" s="97">
        <f ca="1">_xlfn.XLOOKUP(L48,Пол!A:A,Пол!B:B,0,0)</f>
        <v>1</v>
      </c>
      <c r="AQ48" s="97">
        <f ca="1">SUMIF(Марка!A:A,G48,Марка!B:B)</f>
        <v>1</v>
      </c>
      <c r="AR48" s="97">
        <f ca="1">SUMIF(Страна!A:A,M48,Страна!B:B)</f>
        <v>1</v>
      </c>
      <c r="AS48" s="64" t="str">
        <f ca="1">IF(VLOOKUP(V48,Товары!A:B,2,FALSE)=A48,"Есть в 1С","ERR")</f>
        <v>Есть в 1С</v>
      </c>
      <c r="AT48" s="65" t="str">
        <f ca="1">IF(VLOOKUP(A48,Товары!B:B,1,FALSE)=A48,"Есть в 1С","ERR")</f>
        <v>Есть в 1С</v>
      </c>
      <c r="AU48" s="96" t="str">
        <f ca="1">VLOOKUP(V48,Товары!A:B,2,FALSE)</f>
        <v>02-334-36</v>
      </c>
      <c r="AV48" s="94" t="str">
        <f ca="1">VLOOKUP(V48,Товары!A:B,1,FALSE)</f>
        <v>Кепка STETSON арт. 6841504 HATTERAS COTTON LINEN (белый) {310}</v>
      </c>
    </row>
    <row r="49" spans="1:48" x14ac:dyDescent="0.25">
      <c r="A49" s="110" t="str">
        <f t="shared" ca="1" si="2"/>
        <v>02-334-36</v>
      </c>
      <c r="B49" s="107" t="str">
        <f ca="1">_xlfn.LET(_xlpm.CAPS,1,_xlpm.Style,TRIM(_xlfn.XLOOKUP($A49,Строчный!$A:$A,Строчный!B:B,"ERR",0)),IF(_xlpm.CAPS=0,_xlpm.Style,UPPER(_xlpm.Style)))</f>
        <v>6841504 HATTERAS COTTON LINEN</v>
      </c>
      <c r="C49" s="81" t="str">
        <f ca="1">TRIM(PROPER(_xlfn.XLOOKUP($A49,Строчный!$A:$A,Строчный!C:C,"ERR",0)))</f>
        <v>Кепки</v>
      </c>
      <c r="D49" s="81" t="str">
        <f ca="1">_xlfn.LET(_xlpm.DATA,TRIM(_xlfn.XLOOKUP($A49,Строчный!$A:$A,Строчный!D:D,"ERR",0)),UPPER(MID(_xlpm.DATA,1,1))&amp;LOWER(MID(_xlpm.DATA,2,LEN(_xlpm.DATA)-1)))</f>
        <v>Кепка восьмиклинка</v>
      </c>
      <c r="E49" s="81" t="str">
        <f ca="1">PROPER(TRIM(_xlfn.XLOOKUP($A49,Строчный!$A:$A,Строчный!E:E,"ERR",0)))</f>
        <v>Stetson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STETSON</v>
      </c>
      <c r="H49" s="81" t="str">
        <f ca="1">LOWER(TRIM(_xlfn.XLOOKUP($A49,Строчный!$A:$A,Строчный!H:H,"ERR",0)))</f>
        <v>310</v>
      </c>
      <c r="I49" s="81" t="str">
        <f ca="1">LOWER(TRIM(_xlfn.XLOOKUP($A49,Строчный!$A:$A,Строчный!I:I,"ERR",0)))</f>
        <v>белый</v>
      </c>
      <c r="J49" s="81" t="str">
        <f ca="1">SUBSTITUTE(LOWER(TRIM(_xlfn.XLOOKUP($A49,Строчный!$A:$A,Строчный!J:J,"ERR",0))),"подклад","Подклад")</f>
        <v>50% хлопок - 49% лен - 1% эластан / Подклад: 68% хлопок - 32% полиэстер</v>
      </c>
      <c r="K49" s="81" t="str">
        <f ca="1">LOWER(TRIM(_xlfn.XLOOKUP($A49,Строчный!$A:$A,Строчный!K:K,"ERR",0)))</f>
        <v>хлопковые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Болгария</v>
      </c>
      <c r="N49" s="81" t="str">
        <f ca="1">UPPER(TRIM(_xlfn.XLOOKUP($A49,Строчный!$A:$A,Строчный!O:O,"ERR",0)))</f>
        <v/>
      </c>
      <c r="O49" s="107" t="str">
        <f ca="1">PROPER(TRIM(_xlfn.XLOOKUP($A49,Строчный!$A:$A,Строчный!P:P,"ERR",0)))</f>
        <v/>
      </c>
      <c r="P49" s="90">
        <f ca="1">VALUE(_xlfn.XLOOKUP($A49,Строчный!$A:$A,Строчный!N:N,"ERR",0))</f>
        <v>2365.6880000000001</v>
      </c>
      <c r="Q49" s="89" t="str">
        <f ca="1">_xlfn.XLOOKUP($G49,Фабрика!A:A,Фабрика!B:B,"ERR",0)</f>
        <v>Friedrich W. Schneider GmbH &amp; Co. KG; Oskar-Schindler-Str. 11, D 50769 Köln, Germany</v>
      </c>
      <c r="R49" s="80" t="str">
        <f ca="1">_xlfn.XLOOKUP(RIGHT(Z49,2),Размеры!D:D,Размеры!A:A,"ERR",0)</f>
        <v>57</v>
      </c>
      <c r="S49" s="80">
        <f ca="1">VALUE(_xlfn.XLOOKUP($Z49,Строчный!$R:$R,Строчный!T:T,"ERR",0))</f>
        <v>1</v>
      </c>
      <c r="T49" s="14" t="s">
        <v>265</v>
      </c>
      <c r="U49" s="101" t="str">
        <f t="shared" ca="1" si="3"/>
        <v>Кепка STETSON арт. 6841504 HATTERAS COTTON LINEN (белый)</v>
      </c>
      <c r="V49" s="100" t="str">
        <f t="shared" ca="1" si="4"/>
        <v>Кепка STETSON арт. 6841504 HATTERAS COTTON LINEN (белый) {310}</v>
      </c>
      <c r="W49" s="18" t="str">
        <f t="shared" ca="1" si="5"/>
        <v>белый</v>
      </c>
      <c r="X49" s="18" t="str">
        <f t="shared" ca="1" si="6"/>
        <v>белый</v>
      </c>
      <c r="Y49" s="117" t="str">
        <f ca="1">_xlfn.LET(_xlpm.FormColors,_xlfn.XLOOKUP(A49,Строчный!A:A,Строчный!Q:Q,"",0),IF(_xlpm.FormColors=0,IFERROR(MID(I49,FIND("-",I49)+1,LEN(I49)),IFERROR(MID(I49,1,FIND("/",I49)-2),I49)),_xlpm.FormColors))</f>
        <v>белый</v>
      </c>
      <c r="Z49" s="73" t="str">
        <f ca="1"/>
        <v>02-334-36-57</v>
      </c>
      <c r="AA49" s="75" t="str">
        <f ca="1">VLOOKUP(C49,Группа!A:B,2,FALSE)</f>
        <v>Кепка</v>
      </c>
      <c r="AB49" s="97" t="str">
        <f ca="1">IFERROR(VLOOKUP(R49,Размеры!A:C,3,FALSE),"")</f>
        <v>57 M</v>
      </c>
      <c r="AC49" s="97" t="str">
        <f ca="1">VLOOKUP(I49,ЦветПолный!A:B,2,FALSE)</f>
        <v>17</v>
      </c>
      <c r="AD49" s="97" t="str">
        <f ca="1">IFERROR(VLOOKUP(R49,Размеры!A:D,4,FALSE),"")</f>
        <v>57</v>
      </c>
      <c r="AE49" s="97">
        <f ca="1">IF(LEFT(IFERROR(VLOOKUP(LOOKUP(2,1/SEARCH(B49,Товары!A:A),Товары!A:A),Товары!A:B,2,0),""),6)=MID(Z49,1,6),1,0)</f>
        <v>1</v>
      </c>
      <c r="AG49" s="97">
        <f ca="1">SUMIF(Группа!A:A,C49,Группа!C:C)</f>
        <v>1</v>
      </c>
      <c r="AH49" s="97">
        <f ca="1">SUMIF(Группа!B:B,AA49,Группа!C:C)</f>
        <v>1</v>
      </c>
      <c r="AI49" s="97">
        <f ca="1">SUMIF(Формы!A:A,D49,Формы!B:B)</f>
        <v>1</v>
      </c>
      <c r="AJ49" s="97">
        <f ca="1">SUMIF(Материал!A:A,K49,Материал!B:B)</f>
        <v>1</v>
      </c>
      <c r="AK49" s="97">
        <f ca="1">SUMIF(Размеры!A:A,R49,Размеры!E:E)</f>
        <v>1</v>
      </c>
      <c r="AL49" s="97">
        <f ca="1">SUMIF(Сезон!A:A,F49,Сезон!B:B)</f>
        <v>1</v>
      </c>
      <c r="AM49" s="97">
        <f ca="1">SUMIF(Состав!A:A,J49,Состав!B:B)</f>
        <v>0</v>
      </c>
      <c r="AN49" s="97">
        <f ca="1">VLOOKUP(I49,ЦветПолный!A:C,3,0)</f>
        <v>1</v>
      </c>
      <c r="AO49" s="97">
        <f ca="1">SUMIF(Цвет!A:A,Y49,Цвет!B:B)</f>
        <v>1</v>
      </c>
      <c r="AP49" s="97">
        <f ca="1">_xlfn.XLOOKUP(L49,Пол!A:A,Пол!B:B,0,0)</f>
        <v>1</v>
      </c>
      <c r="AQ49" s="97">
        <f ca="1">SUMIF(Марка!A:A,G49,Марка!B:B)</f>
        <v>1</v>
      </c>
      <c r="AR49" s="97">
        <f ca="1">SUMIF(Страна!A:A,M49,Страна!B:B)</f>
        <v>1</v>
      </c>
      <c r="AS49" s="64" t="str">
        <f ca="1">IF(VLOOKUP(V49,Товары!A:B,2,FALSE)=A49,"Есть в 1С","ERR")</f>
        <v>Есть в 1С</v>
      </c>
      <c r="AT49" s="65" t="str">
        <f ca="1">IF(VLOOKUP(A49,Товары!B:B,1,FALSE)=A49,"Есть в 1С","ERR")</f>
        <v>Есть в 1С</v>
      </c>
      <c r="AU49" s="96" t="str">
        <f ca="1">VLOOKUP(V49,Товары!A:B,2,FALSE)</f>
        <v>02-334-36</v>
      </c>
      <c r="AV49" s="94" t="str">
        <f ca="1">VLOOKUP(V49,Товары!A:B,1,FALSE)</f>
        <v>Кепка STETSON арт. 6841504 HATTERAS COTTON LINEN (белый) {310}</v>
      </c>
    </row>
    <row r="50" spans="1:48" x14ac:dyDescent="0.25">
      <c r="A50" s="110" t="str">
        <f t="shared" ca="1" si="2"/>
        <v>02-214-36</v>
      </c>
      <c r="B50" s="107" t="str">
        <f ca="1">_xlfn.LET(_xlpm.CAPS,1,_xlpm.Style,TRIM(_xlfn.XLOOKUP($A50,Строчный!$A:$A,Строчный!B:B,"ERR",0)),IF(_xlpm.CAPS=0,_xlpm.Style,UPPER(_xlpm.Style)))</f>
        <v>7711101 BASEBALL CAP COTTON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Stetson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STETSON</v>
      </c>
      <c r="H50" s="81" t="str">
        <f ca="1">LOWER(TRIM(_xlfn.XLOOKUP($A50,Строчный!$A:$A,Строчный!H:H,"ERR",0)))</f>
        <v>71</v>
      </c>
      <c r="I50" s="81" t="str">
        <f ca="1">LOWER(TRIM(_xlfn.XLOOKUP($A50,Строчный!$A:$A,Строчный!I:I,"ERR",0)))</f>
        <v>кремовый</v>
      </c>
      <c r="J50" s="81" t="str">
        <f ca="1">SUBSTITUTE(LOWER(TRIM(_xlfn.XLOOKUP($A50,Строчный!$A:$A,Строчный!J:J,"ERR",0))),"подклад","Подклад")</f>
        <v>100% хлопок / Подклад: 100% хлопок</v>
      </c>
      <c r="K50" s="81" t="str">
        <f ca="1">LOWER(TRIM(_xlfn.XLOOKUP($A50,Строчный!$A:$A,Строчный!K:K,"ERR",0)))</f>
        <v>хлопковые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7" t="str">
        <f ca="1">PROPER(TRIM(_xlfn.XLOOKUP($A50,Строчный!$A:$A,Строчный!P:P,"ERR",0)))</f>
        <v/>
      </c>
      <c r="P50" s="90">
        <f ca="1">VALUE(_xlfn.XLOOKUP($A50,Строчный!$A:$A,Строчный!N:N,"ERR",0))</f>
        <v>862.40800000000002</v>
      </c>
      <c r="Q50" s="89" t="str">
        <f ca="1">_xlfn.XLOOKUP($G50,Фабрика!A:A,Фабрика!B:B,"ERR",0)</f>
        <v>Friedrich W. Schneider GmbH &amp; Co. KG; Oskar-Schindler-Str. 11, D 50769 Köln, Germany</v>
      </c>
      <c r="R50" s="80" t="str">
        <f ca="1">_xlfn.XLOOKUP(RIGHT(Z50,2),Размеры!D:D,Размеры!A:A,"ERR",0)</f>
        <v>ONE</v>
      </c>
      <c r="S50" s="80">
        <f ca="1">VALUE(_xlfn.XLOOKUP($Z50,Строчный!$R:$R,Строчный!T:T,"ERR",0))</f>
        <v>72</v>
      </c>
      <c r="T50" s="14" t="s">
        <v>265</v>
      </c>
      <c r="U50" s="101" t="str">
        <f t="shared" ca="1" si="3"/>
        <v>Бейсболка STETSON арт. 7711101 BASEBALL CAP COTTON (кремовый)</v>
      </c>
      <c r="V50" s="100" t="str">
        <f t="shared" ca="1" si="4"/>
        <v>Бейсболка STETSON арт. 7711101 BASEBALL CAP COTTON (кремовый) {71}</v>
      </c>
      <c r="W50" s="18" t="str">
        <f t="shared" ca="1" si="5"/>
        <v>кремовый</v>
      </c>
      <c r="X50" s="18" t="str">
        <f t="shared" ca="1" si="6"/>
        <v>кремовый</v>
      </c>
      <c r="Y50" s="117" t="s">
        <v>52</v>
      </c>
      <c r="Z50" s="73" t="str">
        <f ca="1"/>
        <v>02-214-36-00</v>
      </c>
      <c r="AA50" s="75" t="str">
        <f ca="1">VLOOKUP(C50,Группа!A:B,2,FALSE)</f>
        <v>Бейсболка</v>
      </c>
      <c r="AB50" s="97" t="str">
        <f ca="1">IFERROR(VLOOKUP(R50,Размеры!A:C,3,FALSE),"")</f>
        <v>ONE</v>
      </c>
      <c r="AC50" s="97" t="str">
        <f ca="1">VLOOKUP(I50,ЦветПолный!A:B,2,FALSE)</f>
        <v>36</v>
      </c>
      <c r="AD50" s="97" t="str">
        <f ca="1">IFERROR(VLOOKUP(R50,Размеры!A:D,4,FALSE),"")</f>
        <v>00</v>
      </c>
      <c r="AE50" s="97">
        <f ca="1">IF(LEFT(IFERROR(VLOOKUP(LOOKUP(2,1/SEARCH(B50,Товары!A:A),Товары!A:A),Товары!A:B,2,0),""),6)=MID(Z50,1,6),1,0)</f>
        <v>1</v>
      </c>
      <c r="AG50" s="97">
        <f ca="1">SUMIF(Группа!A:A,C50,Группа!C:C)</f>
        <v>1</v>
      </c>
      <c r="AH50" s="97">
        <f ca="1">SUMIF(Группа!B:B,AA50,Группа!C:C)</f>
        <v>1</v>
      </c>
      <c r="AI50" s="97">
        <f ca="1">SUMIF(Формы!A:A,D50,Формы!B:B)</f>
        <v>1</v>
      </c>
      <c r="AJ50" s="97">
        <f ca="1">SUMIF(Материал!A:A,K50,Материал!B:B)</f>
        <v>1</v>
      </c>
      <c r="AK50" s="97">
        <f ca="1">SUMIF(Размеры!A:A,R50,Размеры!E:E)</f>
        <v>1</v>
      </c>
      <c r="AL50" s="97">
        <f ca="1">SUMIF(Сезон!A:A,F50,Сезон!B:B)</f>
        <v>1</v>
      </c>
      <c r="AM50" s="97">
        <f ca="1">SUMIF(Состав!A:A,J50,Состав!B:B)</f>
        <v>0</v>
      </c>
      <c r="AN50" s="97">
        <f ca="1">VLOOKUP(I50,ЦветПолный!A:C,3,0)</f>
        <v>1</v>
      </c>
      <c r="AO50" s="97">
        <f>SUMIF(Цвет!A:A,Y50,Цвет!B:B)</f>
        <v>1</v>
      </c>
      <c r="AP50" s="97">
        <f ca="1">_xlfn.XLOOKUP(L50,Пол!A:A,Пол!B:B,0,0)</f>
        <v>1</v>
      </c>
      <c r="AQ50" s="97">
        <f ca="1">SUMIF(Марка!A:A,G50,Марка!B:B)</f>
        <v>1</v>
      </c>
      <c r="AR50" s="97">
        <f ca="1">SUMIF(Страна!A:A,M50,Страна!B:B)</f>
        <v>1</v>
      </c>
      <c r="AS50" s="64" t="e">
        <f ca="1">IF(VLOOKUP(V50,Товары!A:B,2,FALSE)=A50,"Есть в 1С","ERR")</f>
        <v>#N/A</v>
      </c>
      <c r="AT50" s="65" t="e">
        <f ca="1">IF(VLOOKUP(A50,Товары!B:B,1,FALSE)=A50,"Есть в 1С","ERR")</f>
        <v>#N/A</v>
      </c>
      <c r="AU50" s="96" t="e">
        <f ca="1">VLOOKUP(V50,Товары!A:B,2,FALSE)</f>
        <v>#N/A</v>
      </c>
      <c r="AV50" s="94" t="e">
        <f ca="1">VLOOKUP(V50,Товары!A:B,1,FALSE)</f>
        <v>#N/A</v>
      </c>
    </row>
    <row r="51" spans="1:48" x14ac:dyDescent="0.25">
      <c r="A51" s="110" t="str">
        <f t="shared" ca="1" si="2"/>
        <v>02-214-16</v>
      </c>
      <c r="B51" s="107" t="str">
        <f ca="1">_xlfn.LET(_xlpm.CAPS,1,_xlpm.Style,TRIM(_xlfn.XLOOKUP($A51,Строчный!$A:$A,Строчный!B:B,"ERR",0)),IF(_xlpm.CAPS=0,_xlpm.Style,UPPER(_xlpm.Style)))</f>
        <v>7711101 BASEBALL CAP COTTON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Stetson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STETSON</v>
      </c>
      <c r="H51" s="81" t="str">
        <f ca="1">LOWER(TRIM(_xlfn.XLOOKUP($A51,Строчный!$A:$A,Строчный!H:H,"ERR",0)))</f>
        <v>2</v>
      </c>
      <c r="I51" s="81" t="str">
        <f ca="1">LOWER(TRIM(_xlfn.XLOOKUP($A51,Строчный!$A:$A,Строчный!I:I,"ERR",0)))</f>
        <v>темно-синий</v>
      </c>
      <c r="J51" s="81" t="str">
        <f ca="1">SUBSTITUTE(LOWER(TRIM(_xlfn.XLOOKUP($A51,Строчный!$A:$A,Строчный!J:J,"ERR",0))),"подклад","Подклад")</f>
        <v>100% хлопок / Подклад: 100% хлопок</v>
      </c>
      <c r="K51" s="81" t="str">
        <f ca="1">LOWER(TRIM(_xlfn.XLOOKUP($A51,Строчный!$A:$A,Строчный!K:K,"ERR",0)))</f>
        <v>хлопковые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7" t="str">
        <f ca="1">PROPER(TRIM(_xlfn.XLOOKUP($A51,Строчный!$A:$A,Строчный!P:P,"ERR",0)))</f>
        <v/>
      </c>
      <c r="P51" s="90">
        <f ca="1">VALUE(_xlfn.XLOOKUP($A51,Строчный!$A:$A,Строчный!N:N,"ERR",0))</f>
        <v>862.40800000000002</v>
      </c>
      <c r="Q51" s="89" t="str">
        <f ca="1">_xlfn.XLOOKUP($G51,Фабрика!A:A,Фабрика!B:B,"ERR",0)</f>
        <v>Friedrich W. Schneider GmbH &amp; Co. KG; Oskar-Schindler-Str. 11, D 50769 Köln, Germany</v>
      </c>
      <c r="R51" s="80" t="str">
        <f ca="1">_xlfn.XLOOKUP(RIGHT(Z51,2),Размеры!D:D,Размеры!A:A,"ERR",0)</f>
        <v>ONE</v>
      </c>
      <c r="S51" s="80">
        <f ca="1">VALUE(_xlfn.XLOOKUP($Z51,Строчный!$R:$R,Строчный!T:T,"ERR",0))</f>
        <v>45</v>
      </c>
      <c r="T51" s="14" t="s">
        <v>265</v>
      </c>
      <c r="U51" s="101" t="str">
        <f t="shared" ca="1" si="3"/>
        <v>Бейсболка STETSON арт. 7711101 BASEBALL CAP COTTON (темно-синий)</v>
      </c>
      <c r="V51" s="100" t="str">
        <f t="shared" ca="1" si="4"/>
        <v>Бейсболка STETSON арт. 7711101 BASEBALL CAP COTTON (темно-синий) {2}</v>
      </c>
      <c r="W51" s="18" t="str">
        <f t="shared" ca="1" si="5"/>
        <v>синий</v>
      </c>
      <c r="X51" s="18" t="str">
        <f t="shared" ca="1" si="6"/>
        <v>синий</v>
      </c>
      <c r="Y51" s="117" t="str">
        <f ca="1">_xlfn.LET(_xlpm.FormColors,_xlfn.XLOOKUP(A51,Строчный!A:A,Строчный!Q:Q,"",0),IF(_xlpm.FormColors=0,IFERROR(MID(I51,FIND("-",I51)+1,LEN(I51)),IFERROR(MID(I51,1,FIND("/",I51)-2),I51)),_xlpm.FormColors))</f>
        <v>синий</v>
      </c>
      <c r="Z51" s="73" t="str">
        <f ca="1"/>
        <v>02-214-16-00</v>
      </c>
      <c r="AA51" s="75" t="str">
        <f ca="1">VLOOKUP(C51,Группа!A:B,2,FALSE)</f>
        <v>Бейсболка</v>
      </c>
      <c r="AB51" s="97" t="str">
        <f ca="1">IFERROR(VLOOKUP(R51,Размеры!A:C,3,FALSE),"")</f>
        <v>ONE</v>
      </c>
      <c r="AC51" s="97" t="str">
        <f ca="1">VLOOKUP(I51,ЦветПолный!A:B,2,FALSE)</f>
        <v>16</v>
      </c>
      <c r="AD51" s="97" t="str">
        <f ca="1">IFERROR(VLOOKUP(R51,Размеры!A:D,4,FALSE),"")</f>
        <v>00</v>
      </c>
      <c r="AE51" s="97">
        <f ca="1">IF(LEFT(IFERROR(VLOOKUP(LOOKUP(2,1/SEARCH(B51,Товары!A:A),Товары!A:A),Товары!A:B,2,0),""),6)=MID(Z51,1,6),1,0)</f>
        <v>1</v>
      </c>
      <c r="AG51" s="97">
        <f ca="1">SUMIF(Группа!A:A,C51,Группа!C:C)</f>
        <v>1</v>
      </c>
      <c r="AH51" s="97">
        <f ca="1">SUMIF(Группа!B:B,AA51,Группа!C:C)</f>
        <v>1</v>
      </c>
      <c r="AI51" s="97">
        <f ca="1">SUMIF(Формы!A:A,D51,Формы!B:B)</f>
        <v>1</v>
      </c>
      <c r="AJ51" s="97">
        <f ca="1">SUMIF(Материал!A:A,K51,Материал!B:B)</f>
        <v>1</v>
      </c>
      <c r="AK51" s="97">
        <f ca="1">SUMIF(Размеры!A:A,R51,Размеры!E:E)</f>
        <v>1</v>
      </c>
      <c r="AL51" s="97">
        <f ca="1">SUMIF(Сезон!A:A,F51,Сезон!B:B)</f>
        <v>1</v>
      </c>
      <c r="AM51" s="97">
        <f ca="1">SUMIF(Состав!A:A,J51,Состав!B:B)</f>
        <v>0</v>
      </c>
      <c r="AN51" s="97">
        <f ca="1">VLOOKUP(I51,ЦветПолный!A:C,3,0)</f>
        <v>1</v>
      </c>
      <c r="AO51" s="97">
        <f ca="1">SUMIF(Цвет!A:A,Y51,Цвет!B:B)</f>
        <v>1</v>
      </c>
      <c r="AP51" s="97">
        <f ca="1">_xlfn.XLOOKUP(L51,Пол!A:A,Пол!B:B,0,0)</f>
        <v>1</v>
      </c>
      <c r="AQ51" s="97">
        <f ca="1">SUMIF(Марка!A:A,G51,Марка!B:B)</f>
        <v>1</v>
      </c>
      <c r="AR51" s="97">
        <f ca="1">SUMIF(Страна!A:A,M51,Страна!B:B)</f>
        <v>1</v>
      </c>
      <c r="AS51" s="64" t="str">
        <f ca="1">IF(VLOOKUP(V51,Товары!A:B,2,FALSE)=A51,"Есть в 1С","ERR")</f>
        <v>Есть в 1С</v>
      </c>
      <c r="AT51" s="65" t="str">
        <f ca="1">IF(VLOOKUP(A51,Товары!B:B,1,FALSE)=A51,"Есть в 1С","ERR")</f>
        <v>Есть в 1С</v>
      </c>
      <c r="AU51" s="96" t="str">
        <f ca="1">VLOOKUP(V51,Товары!A:B,2,FALSE)</f>
        <v>02-214-16</v>
      </c>
      <c r="AV51" s="94" t="str">
        <f ca="1">VLOOKUP(V51,Товары!A:B,1,FALSE)</f>
        <v>Бейсболка STETSON арт. 7711101 BASEBALL CAP COTTON (темно-синий) {2}</v>
      </c>
    </row>
    <row r="52" spans="1:48" x14ac:dyDescent="0.25">
      <c r="A52" s="110" t="str">
        <f t="shared" ca="1" si="2"/>
        <v>02-214-12</v>
      </c>
      <c r="B52" s="107" t="str">
        <f ca="1">_xlfn.LET(_xlpm.CAPS,1,_xlpm.Style,TRIM(_xlfn.XLOOKUP($A52,Строчный!$A:$A,Строчный!B:B,"ERR",0)),IF(_xlpm.CAPS=0,_xlpm.Style,UPPER(_xlpm.Style)))</f>
        <v>7711101 BASEBALL CAP COTTON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Stetson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STETSON</v>
      </c>
      <c r="H52" s="81" t="str">
        <f ca="1">LOWER(TRIM(_xlfn.XLOOKUP($A52,Строчный!$A:$A,Строчный!H:H,"ERR",0)))</f>
        <v>86</v>
      </c>
      <c r="I52" s="81" t="str">
        <f ca="1">LOWER(TRIM(_xlfn.XLOOKUP($A52,Строчный!$A:$A,Строчный!I:I,"ERR",0)))</f>
        <v>бордовый</v>
      </c>
      <c r="J52" s="81" t="str">
        <f ca="1">SUBSTITUTE(LOWER(TRIM(_xlfn.XLOOKUP($A52,Строчный!$A:$A,Строчный!J:J,"ERR",0))),"подклад","Подклад")</f>
        <v>100% хлопок / Подклад: 100%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7" t="str">
        <f ca="1">PROPER(TRIM(_xlfn.XLOOKUP($A52,Строчный!$A:$A,Строчный!P:P,"ERR",0)))</f>
        <v/>
      </c>
      <c r="P52" s="90">
        <f ca="1">VALUE(_xlfn.XLOOKUP($A52,Строчный!$A:$A,Строчный!N:N,"ERR",0))</f>
        <v>862.40800000000002</v>
      </c>
      <c r="Q52" s="89" t="str">
        <f ca="1">_xlfn.XLOOKUP($G52,Фабрика!A:A,Фабрика!B:B,"ERR",0)</f>
        <v>Friedrich W. Schneider GmbH &amp; Co. KG; Oskar-Schindler-Str. 11, D 50769 Köln, Germany</v>
      </c>
      <c r="R52" s="80" t="str">
        <f ca="1">_xlfn.XLOOKUP(RIGHT(Z52,2),Размеры!D:D,Размеры!A:A,"ERR",0)</f>
        <v>ONE</v>
      </c>
      <c r="S52" s="80">
        <f ca="1">VALUE(_xlfn.XLOOKUP($Z52,Строчный!$R:$R,Строчный!T:T,"ERR",0))</f>
        <v>60</v>
      </c>
      <c r="T52" s="14" t="s">
        <v>265</v>
      </c>
      <c r="U52" s="101" t="str">
        <f t="shared" ca="1" si="3"/>
        <v>Бейсболка STETSON арт. 7711101 BASEBALL CAP COTTON (бордовый)</v>
      </c>
      <c r="V52" s="100" t="str">
        <f t="shared" ca="1" si="4"/>
        <v>Бейсболка STETSON арт. 7711101 BASEBALL CAP COTTON (бордовый) {86}</v>
      </c>
      <c r="W52" s="18" t="str">
        <f t="shared" ref="W52:W53" ca="1" si="7">IFERROR(MID(I52,FIND("-",I52)+1,LEN(I52)),IFERROR(MID(I52,1,FIND("/",I52)-2),I52))</f>
        <v>бордовый</v>
      </c>
      <c r="X52" s="18" t="str">
        <f t="shared" ref="X52:X53" ca="1" si="8">IFERROR(MID(I52,FIND("-",I52)+1,LEN(I52)),IFERROR(MID(I52,FIND("/",I52)+2,LEN(I52)),I52))</f>
        <v>бордовый</v>
      </c>
      <c r="Y52" s="117" t="str">
        <f ca="1">_xlfn.LET(_xlpm.FormColors,_xlfn.XLOOKUP(A52,Строчный!A:A,Строчный!Q:Q,"",0),IF(_xlpm.FormColors=0,IFERROR(MID(I52,FIND("-",I52)+1,LEN(I52)),IFERROR(MID(I52,1,FIND("/",I52)-2),I52)),_xlpm.FormColors))</f>
        <v>бордовый</v>
      </c>
      <c r="Z52" s="73" t="str">
        <f ca="1"/>
        <v>02-214-12-00</v>
      </c>
      <c r="AA52" s="75" t="str">
        <f ca="1">VLOOKUP(C52,Группа!A:B,2,FALSE)</f>
        <v>Бейсболка</v>
      </c>
      <c r="AB52" s="97" t="str">
        <f ca="1">IFERROR(VLOOKUP(R52,Размеры!A:C,3,FALSE),"")</f>
        <v>ONE</v>
      </c>
      <c r="AC52" s="97" t="str">
        <f ca="1">VLOOKUP(I52,ЦветПолный!A:B,2,FALSE)</f>
        <v>12</v>
      </c>
      <c r="AD52" s="97" t="str">
        <f ca="1">IFERROR(VLOOKUP(R52,Размеры!A:D,4,FALSE),"")</f>
        <v>00</v>
      </c>
      <c r="AE52" s="97">
        <f ca="1">IF(LEFT(IFERROR(VLOOKUP(LOOKUP(2,1/SEARCH(B52,Товары!A:A),Товары!A:A),Товары!A:B,2,0),""),6)=MID(Z52,1,6),1,0)</f>
        <v>1</v>
      </c>
      <c r="AG52" s="97">
        <f ca="1">SUMIF(Группа!A:A,C52,Группа!C:C)</f>
        <v>1</v>
      </c>
      <c r="AH52" s="97">
        <f ca="1">SUMIF(Группа!B:B,AA52,Группа!C:C)</f>
        <v>1</v>
      </c>
      <c r="AI52" s="97">
        <f ca="1">SUMIF(Формы!A:A,D52,Формы!B:B)</f>
        <v>1</v>
      </c>
      <c r="AJ52" s="97">
        <f ca="1">SUMIF(Материал!A:A,K52,Материал!B:B)</f>
        <v>1</v>
      </c>
      <c r="AK52" s="97">
        <f ca="1">SUMIF(Размеры!A:A,R52,Размеры!E:E)</f>
        <v>1</v>
      </c>
      <c r="AL52" s="97">
        <f ca="1">SUMIF(Сезон!A:A,F52,Сезон!B:B)</f>
        <v>1</v>
      </c>
      <c r="AM52" s="97">
        <f ca="1">SUMIF(Состав!A:A,J52,Состав!B:B)</f>
        <v>0</v>
      </c>
      <c r="AN52" s="97">
        <f ca="1">VLOOKUP(I52,ЦветПолный!A:C,3,0)</f>
        <v>1</v>
      </c>
      <c r="AO52" s="97">
        <f ca="1">SUMIF(Цвет!A:A,Y52,Цвет!B:B)</f>
        <v>1</v>
      </c>
      <c r="AP52" s="97">
        <f ca="1">_xlfn.XLOOKUP(L52,Пол!A:A,Пол!B:B,0,0)</f>
        <v>1</v>
      </c>
      <c r="AQ52" s="97">
        <f ca="1">SUMIF(Марка!A:A,G52,Марка!B:B)</f>
        <v>1</v>
      </c>
      <c r="AR52" s="97">
        <f ca="1">SUMIF(Страна!A:A,M52,Страна!B:B)</f>
        <v>1</v>
      </c>
      <c r="AS52" s="64" t="str">
        <f ca="1">IF(VLOOKUP(V52,Товары!A:B,2,FALSE)=A52,"Есть в 1С","ERR")</f>
        <v>Есть в 1С</v>
      </c>
      <c r="AT52" s="65" t="str">
        <f ca="1">IF(VLOOKUP(A52,Товары!B:B,1,FALSE)=A52,"Есть в 1С","ERR")</f>
        <v>Есть в 1С</v>
      </c>
      <c r="AU52" s="96" t="str">
        <f ca="1">VLOOKUP(V52,Товары!A:B,2,FALSE)</f>
        <v>02-214-12</v>
      </c>
      <c r="AV52" s="94" t="str">
        <f ca="1">VLOOKUP(V52,Товары!A:B,1,FALSE)</f>
        <v>Бейсболка STETSON арт. 7711101 BASEBALL CAP COTTON (бордовый) {86}</v>
      </c>
    </row>
    <row r="53" spans="1:48" x14ac:dyDescent="0.25">
      <c r="A53" s="110" t="str">
        <f t="shared" ca="1" si="2"/>
        <v>02-214-09</v>
      </c>
      <c r="B53" s="107" t="str">
        <f ca="1">_xlfn.LET(_xlpm.CAPS,1,_xlpm.Style,TRIM(_xlfn.XLOOKUP($A53,Строчный!$A:$A,Строчный!B:B,"ERR",0)),IF(_xlpm.CAPS=0,_xlpm.Style,UPPER(_xlpm.Style)))</f>
        <v>7711101 BASEBALL CAP COTTON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Stetson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STETSON</v>
      </c>
      <c r="H53" s="81" t="str">
        <f ca="1">LOWER(TRIM(_xlfn.XLOOKUP($A53,Строчный!$A:$A,Строчный!H:H,"ERR",0)))</f>
        <v>1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100% хлопок / Подклад: 100% хлопок</v>
      </c>
      <c r="K53" s="81" t="str">
        <f ca="1">LOWER(TRIM(_xlfn.XLOOKUP($A53,Строчный!$A:$A,Строчный!K:K,"ERR",0)))</f>
        <v>хлопковые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7" t="str">
        <f ca="1">PROPER(TRIM(_xlfn.XLOOKUP($A53,Строчный!$A:$A,Строчный!P:P,"ERR",0)))</f>
        <v/>
      </c>
      <c r="P53" s="90">
        <f ca="1">VALUE(_xlfn.XLOOKUP($A53,Строчный!$A:$A,Строчный!N:N,"ERR",0))</f>
        <v>862.40800000000002</v>
      </c>
      <c r="Q53" s="89" t="str">
        <f ca="1">_xlfn.XLOOKUP($G53,Фабрика!A:A,Фабрика!B:B,"ERR",0)</f>
        <v>Friedrich W. Schneider GmbH &amp; Co. KG; Oskar-Schindler-Str. 11, D 50769 Köln, Germany</v>
      </c>
      <c r="R53" s="80" t="str">
        <f ca="1">_xlfn.XLOOKUP(RIGHT(Z53,2),Размеры!D:D,Размеры!A:A,"ERR",0)</f>
        <v>ONE</v>
      </c>
      <c r="S53" s="80">
        <f ca="1">VALUE(_xlfn.XLOOKUP($Z53,Строчный!$R:$R,Строчный!T:T,"ERR",0))</f>
        <v>95</v>
      </c>
      <c r="T53" s="14" t="s">
        <v>265</v>
      </c>
      <c r="U53" s="101" t="str">
        <f t="shared" ca="1" si="3"/>
        <v>Бейсболка STETSON арт. 7711101 BASEBALL CAP COTTON (черный)</v>
      </c>
      <c r="V53" s="100" t="str">
        <f t="shared" ca="1" si="4"/>
        <v>Бейсболка STETSON арт. 7711101 BASEBALL CAP COTTON (черный) {1}</v>
      </c>
      <c r="W53" s="18" t="str">
        <f t="shared" ca="1" si="7"/>
        <v>черный</v>
      </c>
      <c r="X53" s="18" t="str">
        <f t="shared" ca="1" si="8"/>
        <v>черный</v>
      </c>
      <c r="Y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Z53" s="73" t="str">
        <f ca="1"/>
        <v>02-214-09-00</v>
      </c>
      <c r="AA53" s="75" t="str">
        <f ca="1">VLOOKUP(C53,Группа!A:B,2,FALSE)</f>
        <v>Бейсболка</v>
      </c>
      <c r="AB53" s="97" t="str">
        <f ca="1">IFERROR(VLOOKUP(R53,Размеры!A:C,3,FALSE),"")</f>
        <v>ONE</v>
      </c>
      <c r="AC53" s="97" t="str">
        <f ca="1">VLOOKUP(I53,ЦветПолный!A:B,2,FALSE)</f>
        <v>09</v>
      </c>
      <c r="AD53" s="97" t="str">
        <f ca="1">IFERROR(VLOOKUP(R53,Размеры!A:D,4,FALSE),"")</f>
        <v>00</v>
      </c>
      <c r="AE53" s="97">
        <f ca="1">IF(LEFT(IFERROR(VLOOKUP(LOOKUP(2,1/SEARCH(B53,Товары!A:A),Товары!A:A),Товары!A:B,2,0),""),6)=MID(Z53,1,6),1,0)</f>
        <v>1</v>
      </c>
      <c r="AG53" s="97">
        <f ca="1">SUMIF(Группа!A:A,C53,Группа!C:C)</f>
        <v>1</v>
      </c>
      <c r="AH53" s="97">
        <f ca="1">SUMIF(Группа!B:B,AA53,Группа!C:C)</f>
        <v>1</v>
      </c>
      <c r="AI53" s="97">
        <f ca="1">SUMIF(Формы!A:A,D53,Формы!B:B)</f>
        <v>1</v>
      </c>
      <c r="AJ53" s="97">
        <f ca="1">SUMIF(Материал!A:A,K53,Материал!B:B)</f>
        <v>1</v>
      </c>
      <c r="AK53" s="97">
        <f ca="1">SUMIF(Размеры!A:A,R53,Размеры!E:E)</f>
        <v>1</v>
      </c>
      <c r="AL53" s="97">
        <f ca="1">SUMIF(Сезон!A:A,F53,Сезон!B:B)</f>
        <v>1</v>
      </c>
      <c r="AM53" s="97">
        <f ca="1">SUMIF(Состав!A:A,J53,Состав!B:B)</f>
        <v>0</v>
      </c>
      <c r="AN53" s="97">
        <f ca="1">VLOOKUP(I53,ЦветПолный!A:C,3,0)</f>
        <v>1</v>
      </c>
      <c r="AO53" s="97">
        <f ca="1">SUMIF(Цвет!A:A,Y53,Цвет!B:B)</f>
        <v>1</v>
      </c>
      <c r="AP53" s="97">
        <f ca="1">_xlfn.XLOOKUP(L53,Пол!A:A,Пол!B:B,0,0)</f>
        <v>1</v>
      </c>
      <c r="AQ53" s="97">
        <f ca="1">SUMIF(Марка!A:A,G53,Марка!B:B)</f>
        <v>1</v>
      </c>
      <c r="AR53" s="97">
        <f ca="1">SUMIF(Страна!A:A,M53,Страна!B:B)</f>
        <v>1</v>
      </c>
      <c r="AS53" s="64" t="str">
        <f ca="1">IF(VLOOKUP(V53,Товары!A:B,2,FALSE)=A53,"Есть в 1С","ERR")</f>
        <v>Есть в 1С</v>
      </c>
      <c r="AT53" s="65" t="str">
        <f ca="1">IF(VLOOKUP(A53,Товары!B:B,1,FALSE)=A53,"Есть в 1С","ERR")</f>
        <v>Есть в 1С</v>
      </c>
      <c r="AU53" s="96" t="str">
        <f ca="1">VLOOKUP(V53,Товары!A:B,2,FALSE)</f>
        <v>02-214-09</v>
      </c>
      <c r="AV53" s="94" t="str">
        <f ca="1">VLOOKUP(V53,Товары!A:B,1,FALSE)</f>
        <v>Бейсболка STETSON арт. 7711101 BASEBALL CAP COTTON (черный) {1}</v>
      </c>
    </row>
    <row r="54" spans="1:48" x14ac:dyDescent="0.25">
      <c r="A54" s="110" t="str">
        <f t="shared" ca="1" si="2"/>
        <v>02-214-08</v>
      </c>
      <c r="B54" s="107" t="str">
        <f ca="1">_xlfn.LET(_xlpm.CAPS,1,_xlpm.Style,TRIM(_xlfn.XLOOKUP($A54,Строчный!$A:$A,Строчный!B:B,"ERR",0)),IF(_xlpm.CAPS=0,_xlpm.Style,UPPER(_xlpm.Style)))</f>
        <v>7711101 BASEBALL CAP COTTON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Stetson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STETSON</v>
      </c>
      <c r="H54" s="81" t="str">
        <f ca="1">LOWER(TRIM(_xlfn.XLOOKUP($A54,Строчный!$A:$A,Строчный!H:H,"ERR",0)))</f>
        <v>32</v>
      </c>
      <c r="I54" s="81" t="str">
        <f ca="1">LOWER(TRIM(_xlfn.XLOOKUP($A54,Строчный!$A:$A,Строчный!I:I,"ERR",0)))</f>
        <v>серый</v>
      </c>
      <c r="J54" s="81" t="str">
        <f ca="1">SUBSTITUTE(LOWER(TRIM(_xlfn.XLOOKUP($A54,Строчный!$A:$A,Строчный!J:J,"ERR",0))),"подклад","Подклад")</f>
        <v>100% хлопок / Подклад: 100% хлопок</v>
      </c>
      <c r="K54" s="81" t="str">
        <f ca="1">LOWER(TRIM(_xlfn.XLOOKUP($A54,Строчный!$A:$A,Строчный!K:K,"ERR",0)))</f>
        <v>хлопковые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7" t="str">
        <f ca="1">PROPER(TRIM(_xlfn.XLOOKUP($A54,Строчный!$A:$A,Строчный!P:P,"ERR",0)))</f>
        <v/>
      </c>
      <c r="P54" s="90">
        <f ca="1">VALUE(_xlfn.XLOOKUP($A54,Строчный!$A:$A,Строчный!N:N,"ERR",0))</f>
        <v>862.40800000000002</v>
      </c>
      <c r="Q54" s="89" t="str">
        <f ca="1">_xlfn.XLOOKUP($G54,Фабрика!A:A,Фабрика!B:B,"ERR",0)</f>
        <v>Friedrich W. Schneider GmbH &amp; Co. KG; Oskar-Schindler-Str. 11, D 50769 Köln, Germany</v>
      </c>
      <c r="R54" s="80" t="str">
        <f ca="1">_xlfn.XLOOKUP(RIGHT(Z54,2),Размеры!D:D,Размеры!A:A,"ERR",0)</f>
        <v>ONE</v>
      </c>
      <c r="S54" s="80">
        <f ca="1">VALUE(_xlfn.XLOOKUP($Z54,Строчный!$R:$R,Строчный!T:T,"ERR",0))</f>
        <v>75</v>
      </c>
      <c r="T54" s="14" t="s">
        <v>265</v>
      </c>
      <c r="U54" s="101" t="str">
        <f t="shared" ca="1" si="3"/>
        <v>Бейсболка STETSON арт. 7711101 BASEBALL CAP COTTON (серый)</v>
      </c>
      <c r="V54" s="100" t="str">
        <f t="shared" ca="1" si="4"/>
        <v>Бейсболка STETSON арт. 7711101 BASEBALL CAP COTTON (серый) {32}</v>
      </c>
      <c r="W54" s="18" t="str">
        <f t="shared" ref="W54:W73" ca="1" si="9">IFERROR(MID(I54,FIND("-",I54)+1,LEN(I54)),IFERROR(MID(I54,1,FIND("/",I54)-2),I54))</f>
        <v>серый</v>
      </c>
      <c r="X54" s="18" t="str">
        <f t="shared" ref="X54:X73" ca="1" si="10">IFERROR(MID(I54,FIND("-",I54)+1,LEN(I54)),IFERROR(MID(I54,FIND("/",I54)+2,LEN(I54)),I54))</f>
        <v>серый</v>
      </c>
      <c r="Y54" s="117" t="str">
        <f ca="1">_xlfn.LET(_xlpm.FormColors,_xlfn.XLOOKUP(A54,Строчный!A:A,Строчный!Q:Q,"",0),IF(_xlpm.FormColors=0,IFERROR(MID(I54,FIND("-",I54)+1,LEN(I54)),IFERROR(MID(I54,1,FIND("/",I54)-2),I54)),_xlpm.FormColors))</f>
        <v>серый</v>
      </c>
      <c r="Z54" s="73" t="str">
        <f ca="1"/>
        <v>02-214-08-00</v>
      </c>
      <c r="AA54" s="75" t="str">
        <f ca="1">VLOOKUP(C54,Группа!A:B,2,FALSE)</f>
        <v>Бейсболка</v>
      </c>
      <c r="AB54" s="97" t="str">
        <f ca="1">IFERROR(VLOOKUP(R54,Размеры!A:C,3,FALSE),"")</f>
        <v>ONE</v>
      </c>
      <c r="AC54" s="97" t="str">
        <f ca="1">VLOOKUP(I54,ЦветПолный!A:B,2,FALSE)</f>
        <v>08</v>
      </c>
      <c r="AD54" s="97" t="str">
        <f ca="1">IFERROR(VLOOKUP(R54,Размеры!A:D,4,FALSE),"")</f>
        <v>00</v>
      </c>
      <c r="AE54" s="97">
        <f ca="1">IF(LEFT(IFERROR(VLOOKUP(LOOKUP(2,1/SEARCH(B54,Товары!A:A),Товары!A:A),Товары!A:B,2,0),""),6)=MID(Z54,1,6),1,0)</f>
        <v>1</v>
      </c>
      <c r="AG54" s="97">
        <f ca="1">SUMIF(Группа!A:A,C54,Группа!C:C)</f>
        <v>1</v>
      </c>
      <c r="AH54" s="97">
        <f ca="1">SUMIF(Группа!B:B,AA54,Группа!C:C)</f>
        <v>1</v>
      </c>
      <c r="AI54" s="97">
        <f ca="1">SUMIF(Формы!A:A,D54,Формы!B:B)</f>
        <v>1</v>
      </c>
      <c r="AJ54" s="97">
        <f ca="1">SUMIF(Материал!A:A,K54,Материал!B:B)</f>
        <v>1</v>
      </c>
      <c r="AK54" s="97">
        <f ca="1">SUMIF(Размеры!A:A,R54,Размеры!E:E)</f>
        <v>1</v>
      </c>
      <c r="AL54" s="97">
        <f ca="1">SUMIF(Сезон!A:A,F54,Сезон!B:B)</f>
        <v>1</v>
      </c>
      <c r="AM54" s="97">
        <f ca="1">SUMIF(Состав!A:A,J54,Состав!B:B)</f>
        <v>0</v>
      </c>
      <c r="AN54" s="97">
        <f ca="1">VLOOKUP(I54,ЦветПолный!A:C,3,0)</f>
        <v>1</v>
      </c>
      <c r="AO54" s="97">
        <f ca="1">SUMIF(Цвет!A:A,Y54,Цвет!B:B)</f>
        <v>1</v>
      </c>
      <c r="AP54" s="97">
        <f ca="1">_xlfn.XLOOKUP(L54,Пол!A:A,Пол!B:B,0,0)</f>
        <v>1</v>
      </c>
      <c r="AQ54" s="97">
        <f ca="1">SUMIF(Марка!A:A,G54,Марка!B:B)</f>
        <v>1</v>
      </c>
      <c r="AR54" s="97">
        <f ca="1">SUMIF(Страна!A:A,M54,Страна!B:B)</f>
        <v>1</v>
      </c>
      <c r="AS54" s="64" t="str">
        <f ca="1">IF(VLOOKUP(V54,Товары!A:B,2,FALSE)=A54,"Есть в 1С","ERR")</f>
        <v>Есть в 1С</v>
      </c>
      <c r="AT54" s="65" t="str">
        <f ca="1">IF(VLOOKUP(A54,Товары!B:B,1,FALSE)=A54,"Есть в 1С","ERR")</f>
        <v>Есть в 1С</v>
      </c>
      <c r="AU54" s="96" t="str">
        <f ca="1">VLOOKUP(V54,Товары!A:B,2,FALSE)</f>
        <v>02-214-08</v>
      </c>
      <c r="AV54" s="94" t="str">
        <f ca="1">VLOOKUP(V54,Товары!A:B,1,FALSE)</f>
        <v>Бейсболка STETSON арт. 7711101 BASEBALL CAP COTTON (серый) {32}</v>
      </c>
    </row>
    <row r="55" spans="1:48" x14ac:dyDescent="0.25">
      <c r="A55" s="110" t="str">
        <f t="shared" ca="1" si="2"/>
        <v>02-214-03</v>
      </c>
      <c r="B55" s="107" t="str">
        <f ca="1">_xlfn.LET(_xlpm.CAPS,1,_xlpm.Style,TRIM(_xlfn.XLOOKUP($A55,Строчный!$A:$A,Строчный!B:B,"ERR",0)),IF(_xlpm.CAPS=0,_xlpm.Style,UPPER(_xlpm.Style)))</f>
        <v>7711101 BASEBALL CAP COTTON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Stetson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STETSON</v>
      </c>
      <c r="H55" s="81" t="str">
        <f ca="1">LOWER(TRIM(_xlfn.XLOOKUP($A55,Строчный!$A:$A,Строчный!H:H,"ERR",0)))</f>
        <v>55</v>
      </c>
      <c r="I55" s="81" t="str">
        <f ca="1">LOWER(TRIM(_xlfn.XLOOKUP($A55,Строчный!$A:$A,Строчный!I:I,"ERR",0)))</f>
        <v>оливковый</v>
      </c>
      <c r="J55" s="81" t="str">
        <f ca="1">SUBSTITUTE(LOWER(TRIM(_xlfn.XLOOKUP($A55,Строчный!$A:$A,Строчный!J:J,"ERR",0))),"подклад","Подклад")</f>
        <v>100% хлопок / Подклад: 100%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7" t="str">
        <f ca="1">PROPER(TRIM(_xlfn.XLOOKUP($A55,Строчный!$A:$A,Строчный!P:P,"ERR",0)))</f>
        <v/>
      </c>
      <c r="P55" s="90">
        <f ca="1">VALUE(_xlfn.XLOOKUP($A55,Строчный!$A:$A,Строчный!N:N,"ERR",0))</f>
        <v>862.40800000000002</v>
      </c>
      <c r="Q55" s="89" t="str">
        <f ca="1">_xlfn.XLOOKUP($G55,Фабрика!A:A,Фабрика!B:B,"ERR",0)</f>
        <v>Friedrich W. Schneider GmbH &amp; Co. KG; Oskar-Schindler-Str. 11, D 50769 Köln, Germany</v>
      </c>
      <c r="R55" s="80" t="str">
        <f ca="1">_xlfn.XLOOKUP(RIGHT(Z55,2),Размеры!D:D,Размеры!A:A,"ERR",0)</f>
        <v>ONE</v>
      </c>
      <c r="S55" s="80">
        <f ca="1">VALUE(_xlfn.XLOOKUP($Z55,Строчный!$R:$R,Строчный!T:T,"ERR",0))</f>
        <v>75</v>
      </c>
      <c r="T55" s="14" t="s">
        <v>265</v>
      </c>
      <c r="U55" s="101" t="str">
        <f t="shared" ca="1" si="3"/>
        <v>Бейсболка STETSON арт. 7711101 BASEBALL CAP COTTON (оливковый)</v>
      </c>
      <c r="V55" s="100" t="str">
        <f t="shared" ca="1" si="4"/>
        <v>Бейсболка STETSON арт. 7711101 BASEBALL CAP COTTON (оливковый) {55}</v>
      </c>
      <c r="W55" s="18" t="str">
        <f t="shared" ca="1" si="9"/>
        <v>оливковый</v>
      </c>
      <c r="X55" s="18" t="str">
        <f t="shared" ca="1" si="10"/>
        <v>оливковый</v>
      </c>
      <c r="Y55" s="117" t="str">
        <f ca="1">_xlfn.LET(_xlpm.FormColors,_xlfn.XLOOKUP(A55,Строчный!A:A,Строчный!Q:Q,"",0),IF(_xlpm.FormColors=0,IFERROR(MID(I55,FIND("-",I55)+1,LEN(I55)),IFERROR(MID(I55,1,FIND("/",I55)-2),I55)),_xlpm.FormColors))</f>
        <v>оливковый</v>
      </c>
      <c r="Z55" s="73" t="str">
        <f ca="1"/>
        <v>02-214-03-00</v>
      </c>
      <c r="AA55" s="75" t="str">
        <f ca="1">VLOOKUP(C55,Группа!A:B,2,FALSE)</f>
        <v>Бейсболка</v>
      </c>
      <c r="AB55" s="97" t="str">
        <f ca="1">IFERROR(VLOOKUP(R55,Размеры!A:C,3,FALSE),"")</f>
        <v>ONE</v>
      </c>
      <c r="AC55" s="97" t="str">
        <f ca="1">VLOOKUP(I55,ЦветПолный!A:B,2,FALSE)</f>
        <v>03</v>
      </c>
      <c r="AD55" s="97" t="str">
        <f ca="1">IFERROR(VLOOKUP(R55,Размеры!A:D,4,FALSE),"")</f>
        <v>00</v>
      </c>
      <c r="AE55" s="97">
        <f ca="1">IF(LEFT(IFERROR(VLOOKUP(LOOKUP(2,1/SEARCH(B55,Товары!A:A),Товары!A:A),Товары!A:B,2,0),""),6)=MID(Z55,1,6),1,0)</f>
        <v>1</v>
      </c>
      <c r="AG55" s="97">
        <f ca="1">SUMIF(Группа!A:A,C55,Группа!C:C)</f>
        <v>1</v>
      </c>
      <c r="AH55" s="97">
        <f ca="1">SUMIF(Группа!B:B,AA55,Группа!C:C)</f>
        <v>1</v>
      </c>
      <c r="AI55" s="97">
        <f ca="1">SUMIF(Формы!A:A,D55,Формы!B:B)</f>
        <v>1</v>
      </c>
      <c r="AJ55" s="97">
        <f ca="1">SUMIF(Материал!A:A,K55,Материал!B:B)</f>
        <v>1</v>
      </c>
      <c r="AK55" s="97">
        <f ca="1">SUMIF(Размеры!A:A,R55,Размеры!E:E)</f>
        <v>1</v>
      </c>
      <c r="AL55" s="97">
        <f ca="1">SUMIF(Сезон!A:A,F55,Сезон!B:B)</f>
        <v>1</v>
      </c>
      <c r="AM55" s="97">
        <f ca="1">SUMIF(Состав!A:A,J55,Состав!B:B)</f>
        <v>0</v>
      </c>
      <c r="AN55" s="97">
        <f ca="1">VLOOKUP(I55,ЦветПолный!A:C,3,0)</f>
        <v>1</v>
      </c>
      <c r="AO55" s="97">
        <f ca="1">SUMIF(Цвет!A:A,Y55,Цвет!B:B)</f>
        <v>1</v>
      </c>
      <c r="AP55" s="97">
        <f ca="1">_xlfn.XLOOKUP(L55,Пол!A:A,Пол!B:B,0,0)</f>
        <v>1</v>
      </c>
      <c r="AQ55" s="97">
        <f ca="1">SUMIF(Марка!A:A,G55,Марка!B:B)</f>
        <v>1</v>
      </c>
      <c r="AR55" s="97">
        <f ca="1">SUMIF(Страна!A:A,M55,Страна!B:B)</f>
        <v>1</v>
      </c>
      <c r="AS55" s="64" t="str">
        <f ca="1">IF(VLOOKUP(V55,Товары!A:B,2,FALSE)=A55,"Есть в 1С","ERR")</f>
        <v>Есть в 1С</v>
      </c>
      <c r="AT55" s="65" t="str">
        <f ca="1">IF(VLOOKUP(A55,Товары!B:B,1,FALSE)=A55,"Есть в 1С","ERR")</f>
        <v>Есть в 1С</v>
      </c>
      <c r="AU55" s="96" t="str">
        <f ca="1">VLOOKUP(V55,Товары!A:B,2,FALSE)</f>
        <v>02-214-03</v>
      </c>
      <c r="AV55" s="94" t="str">
        <f ca="1">VLOOKUP(V55,Товары!A:B,1,FALSE)</f>
        <v>Бейсболка STETSON арт. 7711101 BASEBALL CAP COTTON (оливковый) {55}</v>
      </c>
    </row>
    <row r="56" spans="1:48" x14ac:dyDescent="0.25">
      <c r="A56" s="110" t="str">
        <f t="shared" ca="1" si="2"/>
        <v>02-214-00</v>
      </c>
      <c r="B56" s="107" t="str">
        <f ca="1">_xlfn.LET(_xlpm.CAPS,1,_xlpm.Style,TRIM(_xlfn.XLOOKUP($A56,Строчный!$A:$A,Строчный!B:B,"ERR",0)),IF(_xlpm.CAPS=0,_xlpm.Style,UPPER(_xlpm.Style)))</f>
        <v>7711101 BASEBALL CAP COTTON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</v>
      </c>
      <c r="E56" s="81" t="str">
        <f ca="1">PROPER(TRIM(_xlfn.XLOOKUP($A56,Строчный!$A:$A,Строчный!E:E,"ERR",0)))</f>
        <v>Stetson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STETSON</v>
      </c>
      <c r="H56" s="81" t="str">
        <f ca="1">LOWER(TRIM(_xlfn.XLOOKUP($A56,Строчный!$A:$A,Строчный!H:H,"ERR",0)))</f>
        <v>20</v>
      </c>
      <c r="I56" s="81" t="str">
        <f ca="1">LOWER(TRIM(_xlfn.XLOOKUP($A56,Строчный!$A:$A,Строчный!I:I,"ERR",0)))</f>
        <v>небесный</v>
      </c>
      <c r="J56" s="81" t="str">
        <f ca="1">SUBSTITUTE(LOWER(TRIM(_xlfn.XLOOKUP($A56,Строчный!$A:$A,Строчный!J:J,"ERR",0))),"подклад","Подклад")</f>
        <v>100% хлопок / Подклад: 100%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7" t="str">
        <f ca="1">PROPER(TRIM(_xlfn.XLOOKUP($A56,Строчный!$A:$A,Строчный!P:P,"ERR",0)))</f>
        <v/>
      </c>
      <c r="P56" s="90">
        <f ca="1">VALUE(_xlfn.XLOOKUP($A56,Строчный!$A:$A,Строчный!N:N,"ERR",0))</f>
        <v>862.40800000000002</v>
      </c>
      <c r="Q56" s="89" t="str">
        <f ca="1">_xlfn.XLOOKUP($G56,Фабрика!A:A,Фабрика!B:B,"ERR",0)</f>
        <v>Friedrich W. Schneider GmbH &amp; Co. KG; Oskar-Schindler-Str. 11, D 50769 Köln, Germany</v>
      </c>
      <c r="R56" s="80" t="str">
        <f ca="1">_xlfn.XLOOKUP(RIGHT(Z56,2),Размеры!D:D,Размеры!A:A,"ERR",0)</f>
        <v>ONE</v>
      </c>
      <c r="S56" s="80">
        <f ca="1">VALUE(_xlfn.XLOOKUP($Z56,Строчный!$R:$R,Строчный!T:T,"ERR",0))</f>
        <v>25</v>
      </c>
      <c r="T56" s="14" t="s">
        <v>265</v>
      </c>
      <c r="U56" s="101" t="str">
        <f t="shared" ca="1" si="3"/>
        <v>Бейсболка STETSON арт. 7711101 BASEBALL CAP COTTON (небесный)</v>
      </c>
      <c r="V56" s="100" t="str">
        <f t="shared" ca="1" si="4"/>
        <v>Бейсболка STETSON арт. 7711101 BASEBALL CAP COTTON (небесный) {20}</v>
      </c>
      <c r="W56" s="18" t="str">
        <f t="shared" ca="1" si="9"/>
        <v>небесный</v>
      </c>
      <c r="X56" s="18" t="str">
        <f t="shared" ca="1" si="10"/>
        <v>небесный</v>
      </c>
      <c r="Y56" s="117" t="s">
        <v>147</v>
      </c>
      <c r="Z56" s="73" t="str">
        <f ca="1"/>
        <v>02-214-00-00</v>
      </c>
      <c r="AA56" s="75" t="str">
        <f ca="1">VLOOKUP(C56,Группа!A:B,2,FALSE)</f>
        <v>Бейсболка</v>
      </c>
      <c r="AB56" s="97" t="str">
        <f ca="1">IFERROR(VLOOKUP(R56,Размеры!A:C,3,FALSE),"")</f>
        <v>ONE</v>
      </c>
      <c r="AC56" s="97" t="str">
        <f ca="1">VLOOKUP(I56,ЦветПолный!A:B,2,FALSE)</f>
        <v>00</v>
      </c>
      <c r="AD56" s="97" t="str">
        <f ca="1">IFERROR(VLOOKUP(R56,Размеры!A:D,4,FALSE),"")</f>
        <v>00</v>
      </c>
      <c r="AE56" s="97">
        <f ca="1">IF(LEFT(IFERROR(VLOOKUP(LOOKUP(2,1/SEARCH(B56,Товары!A:A),Товары!A:A),Товары!A:B,2,0),""),6)=MID(Z56,1,6),1,0)</f>
        <v>1</v>
      </c>
      <c r="AG56" s="97">
        <f ca="1">SUMIF(Группа!A:A,C56,Группа!C:C)</f>
        <v>1</v>
      </c>
      <c r="AH56" s="97">
        <f ca="1">SUMIF(Группа!B:B,AA56,Группа!C:C)</f>
        <v>1</v>
      </c>
      <c r="AI56" s="97">
        <f ca="1">SUMIF(Формы!A:A,D56,Формы!B:B)</f>
        <v>1</v>
      </c>
      <c r="AJ56" s="97">
        <f ca="1">SUMIF(Материал!A:A,K56,Материал!B:B)</f>
        <v>1</v>
      </c>
      <c r="AK56" s="97">
        <f ca="1">SUMIF(Размеры!A:A,R56,Размеры!E:E)</f>
        <v>1</v>
      </c>
      <c r="AL56" s="97">
        <f ca="1">SUMIF(Сезон!A:A,F56,Сезон!B:B)</f>
        <v>1</v>
      </c>
      <c r="AM56" s="97">
        <f ca="1">SUMIF(Состав!A:A,J56,Состав!B:B)</f>
        <v>0</v>
      </c>
      <c r="AN56" s="97">
        <f ca="1">VLOOKUP(I56,ЦветПолный!A:C,3,0)</f>
        <v>1</v>
      </c>
      <c r="AO56" s="97">
        <f>SUMIF(Цвет!A:A,Y56,Цвет!B:B)</f>
        <v>1</v>
      </c>
      <c r="AP56" s="97">
        <f ca="1">_xlfn.XLOOKUP(L56,Пол!A:A,Пол!B:B,0,0)</f>
        <v>1</v>
      </c>
      <c r="AQ56" s="97">
        <f ca="1">SUMIF(Марка!A:A,G56,Марка!B:B)</f>
        <v>1</v>
      </c>
      <c r="AR56" s="97">
        <f ca="1">SUMIF(Страна!A:A,M56,Страна!B:B)</f>
        <v>1</v>
      </c>
      <c r="AS56" s="64" t="e">
        <f ca="1">IF(VLOOKUP(V56,Товары!A:B,2,FALSE)=A56,"Есть в 1С","ERR")</f>
        <v>#N/A</v>
      </c>
      <c r="AT56" s="65" t="e">
        <f ca="1">IF(VLOOKUP(A56,Товары!B:B,1,FALSE)=A56,"Есть в 1С","ERR")</f>
        <v>#N/A</v>
      </c>
      <c r="AU56" s="96" t="e">
        <f ca="1">VLOOKUP(V56,Товары!A:B,2,FALSE)</f>
        <v>#N/A</v>
      </c>
      <c r="AV56" s="94" t="e">
        <f ca="1">VLOOKUP(V56,Товары!A:B,1,FALSE)</f>
        <v>#N/A</v>
      </c>
    </row>
    <row r="57" spans="1:48" x14ac:dyDescent="0.25">
      <c r="A57" s="110" t="str">
        <f t="shared" ca="1" si="2"/>
        <v>02-201-09</v>
      </c>
      <c r="B57" s="107" t="str">
        <f ca="1">_xlfn.LET(_xlpm.CAPS,1,_xlpm.Style,TRIM(_xlfn.XLOOKUP($A57,Строчный!$A:$A,Строчный!B:B,"ERR",0)),IF(_xlpm.CAPS=0,_xlpm.Style,UPPER(_xlpm.Style)))</f>
        <v>6611105 TEXAS COTTON</v>
      </c>
      <c r="C57" s="81" t="str">
        <f ca="1">TRIM(PROPER(_xlfn.XLOOKUP($A57,Строчный!$A:$A,Строчный!C:C,"ERR",0)))</f>
        <v>Кепки</v>
      </c>
      <c r="D57" s="81" t="str">
        <f ca="1">_xlfn.LET(_xlpm.DATA,TRIM(_xlfn.XLOOKUP($A57,Строчный!$A:$A,Строчный!D:D,"ERR",0)),UPPER(MID(_xlpm.DATA,1,1))&amp;LOWER(MID(_xlpm.DATA,2,LEN(_xlpm.DATA)-1)))</f>
        <v>Кепка уточка</v>
      </c>
      <c r="E57" s="81" t="str">
        <f ca="1">PROPER(TRIM(_xlfn.XLOOKUP($A57,Строчный!$A:$A,Строчный!E:E,"ERR",0)))</f>
        <v>Stetson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STETSON</v>
      </c>
      <c r="H57" s="81" t="str">
        <f ca="1">LOWER(TRIM(_xlfn.XLOOKUP($A57,Строчный!$A:$A,Строчный!H:H,"ERR",0)))</f>
        <v>1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100% хлопок / Подклад: 100%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7" t="str">
        <f ca="1">PROPER(TRIM(_xlfn.XLOOKUP($A57,Строчный!$A:$A,Строчный!P:P,"ERR",0)))</f>
        <v/>
      </c>
      <c r="P57" s="90">
        <f ca="1">VALUE(_xlfn.XLOOKUP($A57,Строчный!$A:$A,Строчный!N:N,"ERR",0))</f>
        <v>1020.6479999999999</v>
      </c>
      <c r="Q57" s="89" t="str">
        <f ca="1">_xlfn.XLOOKUP($G57,Фабрика!A:A,Фабрика!B:B,"ERR",0)</f>
        <v>Friedrich W. Schneider GmbH &amp; Co. KG; Oskar-Schindler-Str. 11, D 50769 Köln, Germany</v>
      </c>
      <c r="R57" s="80" t="str">
        <f ca="1">_xlfn.XLOOKUP(RIGHT(Z57,2),Размеры!D:D,Размеры!A:A,"ERR",0)</f>
        <v>59</v>
      </c>
      <c r="S57" s="80">
        <f ca="1">VALUE(_xlfn.XLOOKUP($Z57,Строчный!$R:$R,Строчный!T:T,"ERR",0))</f>
        <v>3</v>
      </c>
      <c r="T57" s="14" t="s">
        <v>265</v>
      </c>
      <c r="U57" s="101" t="str">
        <f t="shared" ca="1" si="3"/>
        <v>Кепка STETSON арт. 6611105 TEXAS COTTON (черный)</v>
      </c>
      <c r="V57" s="100" t="str">
        <f t="shared" ca="1" si="4"/>
        <v>Кепка STETSON арт. 6611105 TEXAS COTTON (черный) {1}</v>
      </c>
      <c r="W57" s="18" t="str">
        <f t="shared" ca="1" si="9"/>
        <v>черный</v>
      </c>
      <c r="X57" s="18" t="str">
        <f t="shared" ca="1" si="10"/>
        <v>черный</v>
      </c>
      <c r="Y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Z57" s="73" t="str">
        <f ca="1"/>
        <v>02-201-09-59</v>
      </c>
      <c r="AA57" s="75" t="str">
        <f ca="1">VLOOKUP(C57,Группа!A:B,2,FALSE)</f>
        <v>Кепка</v>
      </c>
      <c r="AB57" s="97" t="str">
        <f ca="1">IFERROR(VLOOKUP(R57,Размеры!A:C,3,FALSE),"")</f>
        <v>59 L</v>
      </c>
      <c r="AC57" s="97" t="str">
        <f ca="1">VLOOKUP(I57,ЦветПолный!A:B,2,FALSE)</f>
        <v>09</v>
      </c>
      <c r="AD57" s="97" t="str">
        <f ca="1">IFERROR(VLOOKUP(R57,Размеры!A:D,4,FALSE),"")</f>
        <v>59</v>
      </c>
      <c r="AE57" s="97">
        <f ca="1">IF(LEFT(IFERROR(VLOOKUP(LOOKUP(2,1/SEARCH(B57,Товары!A:A),Товары!A:A),Товары!A:B,2,0),""),6)=MID(Z57,1,6),1,0)</f>
        <v>1</v>
      </c>
      <c r="AG57" s="97">
        <f ca="1">SUMIF(Группа!A:A,C57,Группа!C:C)</f>
        <v>1</v>
      </c>
      <c r="AH57" s="97">
        <f ca="1">SUMIF(Группа!B:B,AA57,Группа!C:C)</f>
        <v>1</v>
      </c>
      <c r="AI57" s="97">
        <f ca="1">SUMIF(Формы!A:A,D57,Формы!B:B)</f>
        <v>1</v>
      </c>
      <c r="AJ57" s="97">
        <f ca="1">SUMIF(Материал!A:A,K57,Материал!B:B)</f>
        <v>1</v>
      </c>
      <c r="AK57" s="97">
        <f ca="1">SUMIF(Размеры!A:A,R57,Размеры!E:E)</f>
        <v>1</v>
      </c>
      <c r="AL57" s="97">
        <f ca="1">SUMIF(Сезон!A:A,F57,Сезон!B:B)</f>
        <v>1</v>
      </c>
      <c r="AM57" s="97">
        <f ca="1">SUMIF(Состав!A:A,J57,Состав!B:B)</f>
        <v>0</v>
      </c>
      <c r="AN57" s="97">
        <f ca="1">VLOOKUP(I57,ЦветПолный!A:C,3,0)</f>
        <v>1</v>
      </c>
      <c r="AO57" s="97">
        <f ca="1">SUMIF(Цвет!A:A,Y57,Цвет!B:B)</f>
        <v>1</v>
      </c>
      <c r="AP57" s="97">
        <f ca="1">_xlfn.XLOOKUP(L57,Пол!A:A,Пол!B:B,0,0)</f>
        <v>1</v>
      </c>
      <c r="AQ57" s="97">
        <f ca="1">SUMIF(Марка!A:A,G57,Марка!B:B)</f>
        <v>1</v>
      </c>
      <c r="AR57" s="97">
        <f ca="1">SUMIF(Страна!A:A,M57,Страна!B:B)</f>
        <v>1</v>
      </c>
      <c r="AS57" s="64" t="str">
        <f ca="1">IF(VLOOKUP(V57,Товары!A:B,2,FALSE)=A57,"Есть в 1С","ERR")</f>
        <v>Есть в 1С</v>
      </c>
      <c r="AT57" s="65" t="str">
        <f ca="1">IF(VLOOKUP(A57,Товары!B:B,1,FALSE)=A57,"Есть в 1С","ERR")</f>
        <v>Есть в 1С</v>
      </c>
      <c r="AU57" s="96" t="str">
        <f ca="1">VLOOKUP(V57,Товары!A:B,2,FALSE)</f>
        <v>02-201-09</v>
      </c>
      <c r="AV57" s="94" t="str">
        <f ca="1">VLOOKUP(V57,Товары!A:B,1,FALSE)</f>
        <v>Кепка STETSON арт. 6611105 TEXAS COTTON (черный) {1}</v>
      </c>
    </row>
    <row r="58" spans="1:48" x14ac:dyDescent="0.25">
      <c r="A58" s="110" t="str">
        <f t="shared" ca="1" si="2"/>
        <v>02-201-09</v>
      </c>
      <c r="B58" s="107" t="str">
        <f ca="1">_xlfn.LET(_xlpm.CAPS,1,_xlpm.Style,TRIM(_xlfn.XLOOKUP($A58,Строчный!$A:$A,Строчный!B:B,"ERR",0)),IF(_xlpm.CAPS=0,_xlpm.Style,UPPER(_xlpm.Style)))</f>
        <v>6611105 TEXAS COTTON</v>
      </c>
      <c r="C58" s="81" t="str">
        <f ca="1">TRIM(PROPER(_xlfn.XLOOKUP($A58,Строчный!$A:$A,Строчный!C:C,"ERR",0)))</f>
        <v>Кепки</v>
      </c>
      <c r="D58" s="81" t="str">
        <f ca="1">_xlfn.LET(_xlpm.DATA,TRIM(_xlfn.XLOOKUP($A58,Строчный!$A:$A,Строчный!D:D,"ERR",0)),UPPER(MID(_xlpm.DATA,1,1))&amp;LOWER(MID(_xlpm.DATA,2,LEN(_xlpm.DATA)-1)))</f>
        <v>Кепка уточка</v>
      </c>
      <c r="E58" s="81" t="str">
        <f ca="1">PROPER(TRIM(_xlfn.XLOOKUP($A58,Строчный!$A:$A,Строчный!E:E,"ERR",0)))</f>
        <v>Stetson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STETSON</v>
      </c>
      <c r="H58" s="81" t="str">
        <f ca="1">LOWER(TRIM(_xlfn.XLOOKUP($A58,Строчный!$A:$A,Строчный!H:H,"ERR",0)))</f>
        <v>1</v>
      </c>
      <c r="I58" s="81" t="str">
        <f ca="1">LOWER(TRIM(_xlfn.XLOOKUP($A58,Строчный!$A:$A,Строчный!I:I,"ERR",0)))</f>
        <v>черный</v>
      </c>
      <c r="J58" s="81" t="str">
        <f ca="1">SUBSTITUTE(LOWER(TRIM(_xlfn.XLOOKUP($A58,Строчный!$A:$A,Строчный!J:J,"ERR",0))),"подклад","Подклад")</f>
        <v>100% хлопок / Подклад: 100%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7" t="str">
        <f ca="1">PROPER(TRIM(_xlfn.XLOOKUP($A58,Строчный!$A:$A,Строчный!P:P,"ERR",0)))</f>
        <v/>
      </c>
      <c r="P58" s="90">
        <f ca="1">VALUE(_xlfn.XLOOKUP($A58,Строчный!$A:$A,Строчный!N:N,"ERR",0))</f>
        <v>1020.6479999999999</v>
      </c>
      <c r="Q58" s="89" t="str">
        <f ca="1">_xlfn.XLOOKUP($G58,Фабрика!A:A,Фабрика!B:B,"ERR",0)</f>
        <v>Friedrich W. Schneider GmbH &amp; Co. KG; Oskar-Schindler-Str. 11, D 50769 Köln, Germany</v>
      </c>
      <c r="R58" s="80" t="str">
        <f ca="1">_xlfn.XLOOKUP(RIGHT(Z58,2),Размеры!D:D,Размеры!A:A,"ERR",0)</f>
        <v>57</v>
      </c>
      <c r="S58" s="80">
        <f ca="1">VALUE(_xlfn.XLOOKUP($Z58,Строчный!$R:$R,Строчный!T:T,"ERR",0))</f>
        <v>3</v>
      </c>
      <c r="T58" s="14" t="s">
        <v>265</v>
      </c>
      <c r="U58" s="101" t="str">
        <f t="shared" ca="1" si="3"/>
        <v>Кепка STETSON арт. 6611105 TEXAS COTTON (черный)</v>
      </c>
      <c r="V58" s="100" t="str">
        <f t="shared" ca="1" si="4"/>
        <v>Кепка STETSON арт. 6611105 TEXAS COTTON (черный) {1}</v>
      </c>
      <c r="W58" s="18" t="str">
        <f t="shared" ca="1" si="9"/>
        <v>черный</v>
      </c>
      <c r="X58" s="18" t="str">
        <f t="shared" ca="1" si="10"/>
        <v>черный</v>
      </c>
      <c r="Y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Z58" s="73" t="str">
        <f ca="1"/>
        <v>02-201-09-57</v>
      </c>
      <c r="AA58" s="75" t="str">
        <f ca="1">VLOOKUP(C58,Группа!A:B,2,FALSE)</f>
        <v>Кепка</v>
      </c>
      <c r="AB58" s="97" t="str">
        <f ca="1">IFERROR(VLOOKUP(R58,Размеры!A:C,3,FALSE),"")</f>
        <v>57 M</v>
      </c>
      <c r="AC58" s="97" t="str">
        <f ca="1">VLOOKUP(I58,ЦветПолный!A:B,2,FALSE)</f>
        <v>09</v>
      </c>
      <c r="AD58" s="97" t="str">
        <f ca="1">IFERROR(VLOOKUP(R58,Размеры!A:D,4,FALSE),"")</f>
        <v>57</v>
      </c>
      <c r="AE58" s="97">
        <f ca="1">IF(LEFT(IFERROR(VLOOKUP(LOOKUP(2,1/SEARCH(B58,Товары!A:A),Товары!A:A),Товары!A:B,2,0),""),6)=MID(Z58,1,6),1,0)</f>
        <v>1</v>
      </c>
      <c r="AG58" s="97">
        <f ca="1">SUMIF(Группа!A:A,C58,Группа!C:C)</f>
        <v>1</v>
      </c>
      <c r="AH58" s="97">
        <f ca="1">SUMIF(Группа!B:B,AA58,Группа!C:C)</f>
        <v>1</v>
      </c>
      <c r="AI58" s="97">
        <f ca="1">SUMIF(Формы!A:A,D58,Формы!B:B)</f>
        <v>1</v>
      </c>
      <c r="AJ58" s="97">
        <f ca="1">SUMIF(Материал!A:A,K58,Материал!B:B)</f>
        <v>1</v>
      </c>
      <c r="AK58" s="97">
        <f ca="1">SUMIF(Размеры!A:A,R58,Размеры!E:E)</f>
        <v>1</v>
      </c>
      <c r="AL58" s="97">
        <f ca="1">SUMIF(Сезон!A:A,F58,Сезон!B:B)</f>
        <v>1</v>
      </c>
      <c r="AM58" s="97">
        <f ca="1">SUMIF(Состав!A:A,J58,Состав!B:B)</f>
        <v>0</v>
      </c>
      <c r="AN58" s="97">
        <f ca="1">VLOOKUP(I58,ЦветПолный!A:C,3,0)</f>
        <v>1</v>
      </c>
      <c r="AO58" s="97">
        <f ca="1">SUMIF(Цвет!A:A,Y58,Цвет!B:B)</f>
        <v>1</v>
      </c>
      <c r="AP58" s="97">
        <f ca="1">_xlfn.XLOOKUP(L58,Пол!A:A,Пол!B:B,0,0)</f>
        <v>1</v>
      </c>
      <c r="AQ58" s="97">
        <f ca="1">SUMIF(Марка!A:A,G58,Марка!B:B)</f>
        <v>1</v>
      </c>
      <c r="AR58" s="97">
        <f ca="1">SUMIF(Страна!A:A,M58,Страна!B:B)</f>
        <v>1</v>
      </c>
      <c r="AS58" s="64" t="str">
        <f ca="1">IF(VLOOKUP(V58,Товары!A:B,2,FALSE)=A58,"Есть в 1С","ERR")</f>
        <v>Есть в 1С</v>
      </c>
      <c r="AT58" s="65" t="str">
        <f ca="1">IF(VLOOKUP(A58,Товары!B:B,1,FALSE)=A58,"Есть в 1С","ERR")</f>
        <v>Есть в 1С</v>
      </c>
      <c r="AU58" s="96" t="str">
        <f ca="1">VLOOKUP(V58,Товары!A:B,2,FALSE)</f>
        <v>02-201-09</v>
      </c>
      <c r="AV58" s="94" t="str">
        <f ca="1">VLOOKUP(V58,Товары!A:B,1,FALSE)</f>
        <v>Кепка STETSON арт. 6611105 TEXAS COTTON (черный) {1}</v>
      </c>
    </row>
    <row r="59" spans="1:48" x14ac:dyDescent="0.25">
      <c r="A59" s="110" t="str">
        <f t="shared" ca="1" si="2"/>
        <v>02-201-06</v>
      </c>
      <c r="B59" s="107" t="str">
        <f ca="1">_xlfn.LET(_xlpm.CAPS,1,_xlpm.Style,TRIM(_xlfn.XLOOKUP($A59,Строчный!$A:$A,Строчный!B:B,"ERR",0)),IF(_xlpm.CAPS=0,_xlpm.Style,UPPER(_xlpm.Style)))</f>
        <v>6611105 TEXAS COTTON</v>
      </c>
      <c r="C59" s="81" t="str">
        <f ca="1">TRIM(PROPER(_xlfn.XLOOKUP($A59,Строчный!$A:$A,Строчный!C:C,"ERR",0)))</f>
        <v>Кепки</v>
      </c>
      <c r="D59" s="81" t="str">
        <f ca="1">_xlfn.LET(_xlpm.DATA,TRIM(_xlfn.XLOOKUP($A59,Строчный!$A:$A,Строчный!D:D,"ERR",0)),UPPER(MID(_xlpm.DATA,1,1))&amp;LOWER(MID(_xlpm.DATA,2,LEN(_xlpm.DATA)-1)))</f>
        <v>Кепка уточка</v>
      </c>
      <c r="E59" s="81" t="str">
        <f ca="1">PROPER(TRIM(_xlfn.XLOOKUP($A59,Строчный!$A:$A,Строчный!E:E,"ERR",0)))</f>
        <v>Stetson</v>
      </c>
      <c r="F59" s="81" t="str">
        <f ca="1">LOWER(TRIM(_xlfn.XLOOKUP($A59,Строчный!$A:$A,Строчный!F:F,"ERR",0)))</f>
        <v>летний</v>
      </c>
      <c r="G59" s="81" t="str">
        <f ca="1">UPPER(TRIM(_xlfn.XLOOKUP($A59,Строчный!$A:$A,Строчный!G:G,"ERR",0)))</f>
        <v>STETSON</v>
      </c>
      <c r="H59" s="81" t="str">
        <f ca="1">LOWER(TRIM(_xlfn.XLOOKUP($A59,Строчный!$A:$A,Строчный!H:H,"ERR",0)))</f>
        <v>23</v>
      </c>
      <c r="I59" s="81" t="str">
        <f ca="1">LOWER(TRIM(_xlfn.XLOOKUP($A59,Строчный!$A:$A,Строчный!I:I,"ERR",0)))</f>
        <v>синий</v>
      </c>
      <c r="J59" s="81" t="str">
        <f ca="1">SUBSTITUTE(LOWER(TRIM(_xlfn.XLOOKUP($A59,Строчный!$A:$A,Строчный!J:J,"ERR",0))),"подклад","Подклад")</f>
        <v>100% хлопок / Подклад: 100%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7" t="str">
        <f ca="1">PROPER(TRIM(_xlfn.XLOOKUP($A59,Строчный!$A:$A,Строчный!P:P,"ERR",0)))</f>
        <v/>
      </c>
      <c r="P59" s="90">
        <f ca="1">VALUE(_xlfn.XLOOKUP($A59,Строчный!$A:$A,Строчный!N:N,"ERR",0))</f>
        <v>1020.6479999999999</v>
      </c>
      <c r="Q59" s="89" t="str">
        <f ca="1">_xlfn.XLOOKUP($G59,Фабрика!A:A,Фабрика!B:B,"ERR",0)</f>
        <v>Friedrich W. Schneider GmbH &amp; Co. KG; Oskar-Schindler-Str. 11, D 50769 Köln, Germany</v>
      </c>
      <c r="R59" s="80" t="str">
        <f ca="1">_xlfn.XLOOKUP(RIGHT(Z59,2),Размеры!D:D,Размеры!A:A,"ERR",0)</f>
        <v>61</v>
      </c>
      <c r="S59" s="80">
        <f ca="1">VALUE(_xlfn.XLOOKUP($Z59,Строчный!$R:$R,Строчный!T:T,"ERR",0))</f>
        <v>2</v>
      </c>
      <c r="T59" s="14" t="s">
        <v>265</v>
      </c>
      <c r="U59" s="101" t="str">
        <f t="shared" ca="1" si="3"/>
        <v>Кепка STETSON арт. 6611105 TEXAS COTTON (синий)</v>
      </c>
      <c r="V59" s="100" t="str">
        <f t="shared" ca="1" si="4"/>
        <v>Кепка STETSON арт. 6611105 TEXAS COTTON (синий) {23}</v>
      </c>
      <c r="W59" s="18" t="str">
        <f t="shared" ca="1" si="9"/>
        <v>синий</v>
      </c>
      <c r="X59" s="18" t="str">
        <f t="shared" ca="1" si="10"/>
        <v>синий</v>
      </c>
      <c r="Y59" s="117" t="str">
        <f ca="1">_xlfn.LET(_xlpm.FormColors,_xlfn.XLOOKUP(A59,Строчный!A:A,Строчный!Q:Q,"",0),IF(_xlpm.FormColors=0,IFERROR(MID(I59,FIND("-",I59)+1,LEN(I59)),IFERROR(MID(I59,1,FIND("/",I59)-2),I59)),_xlpm.FormColors))</f>
        <v>синий</v>
      </c>
      <c r="Z59" s="73" t="str">
        <f ca="1"/>
        <v>02-201-06-61</v>
      </c>
      <c r="AA59" s="75" t="str">
        <f ca="1">VLOOKUP(C59,Группа!A:B,2,FALSE)</f>
        <v>Кепка</v>
      </c>
      <c r="AB59" s="97" t="str">
        <f ca="1">IFERROR(VLOOKUP(R59,Размеры!A:C,3,FALSE),"")</f>
        <v>61 XL</v>
      </c>
      <c r="AC59" s="97" t="str">
        <f ca="1">VLOOKUP(I59,ЦветПолный!A:B,2,FALSE)</f>
        <v>06</v>
      </c>
      <c r="AD59" s="97" t="str">
        <f ca="1">IFERROR(VLOOKUP(R59,Размеры!A:D,4,FALSE),"")</f>
        <v>61</v>
      </c>
      <c r="AE59" s="97">
        <f ca="1">IF(LEFT(IFERROR(VLOOKUP(LOOKUP(2,1/SEARCH(B59,Товары!A:A),Товары!A:A),Товары!A:B,2,0),""),6)=MID(Z59,1,6),1,0)</f>
        <v>1</v>
      </c>
      <c r="AG59" s="97">
        <f ca="1">SUMIF(Группа!A:A,C59,Группа!C:C)</f>
        <v>1</v>
      </c>
      <c r="AH59" s="97">
        <f ca="1">SUMIF(Группа!B:B,AA59,Группа!C:C)</f>
        <v>1</v>
      </c>
      <c r="AI59" s="97">
        <f ca="1">SUMIF(Формы!A:A,D59,Формы!B:B)</f>
        <v>1</v>
      </c>
      <c r="AJ59" s="97">
        <f ca="1">SUMIF(Материал!A:A,K59,Материал!B:B)</f>
        <v>1</v>
      </c>
      <c r="AK59" s="97">
        <f ca="1">SUMIF(Размеры!A:A,R59,Размеры!E:E)</f>
        <v>1</v>
      </c>
      <c r="AL59" s="97">
        <f ca="1">SUMIF(Сезон!A:A,F59,Сезон!B:B)</f>
        <v>1</v>
      </c>
      <c r="AM59" s="97">
        <f ca="1">SUMIF(Состав!A:A,J59,Состав!B:B)</f>
        <v>0</v>
      </c>
      <c r="AN59" s="97">
        <f ca="1">VLOOKUP(I59,ЦветПолный!A:C,3,0)</f>
        <v>1</v>
      </c>
      <c r="AO59" s="97">
        <f ca="1">SUMIF(Цвет!A:A,Y59,Цвет!B:B)</f>
        <v>1</v>
      </c>
      <c r="AP59" s="97">
        <f ca="1">_xlfn.XLOOKUP(L59,Пол!A:A,Пол!B:B,0,0)</f>
        <v>1</v>
      </c>
      <c r="AQ59" s="97">
        <f ca="1">SUMIF(Марка!A:A,G59,Марка!B:B)</f>
        <v>1</v>
      </c>
      <c r="AR59" s="97">
        <f ca="1">SUMIF(Страна!A:A,M59,Страна!B:B)</f>
        <v>1</v>
      </c>
      <c r="AS59" s="64" t="str">
        <f ca="1">IF(VLOOKUP(V59,Товары!A:B,2,FALSE)=A59,"Есть в 1С","ERR")</f>
        <v>Есть в 1С</v>
      </c>
      <c r="AT59" s="65" t="str">
        <f ca="1">IF(VLOOKUP(A59,Товары!B:B,1,FALSE)=A59,"Есть в 1С","ERR")</f>
        <v>Есть в 1С</v>
      </c>
      <c r="AU59" s="96" t="str">
        <f ca="1">VLOOKUP(V59,Товары!A:B,2,FALSE)</f>
        <v>02-201-06</v>
      </c>
      <c r="AV59" s="94" t="str">
        <f ca="1">VLOOKUP(V59,Товары!A:B,1,FALSE)</f>
        <v>Кепка STETSON арт. 6611105 TEXAS COTTON (синий) {23}</v>
      </c>
    </row>
    <row r="60" spans="1:48" x14ac:dyDescent="0.25">
      <c r="A60" s="110" t="str">
        <f t="shared" ca="1" si="2"/>
        <v>02-201-06</v>
      </c>
      <c r="B60" s="107" t="str">
        <f ca="1">_xlfn.LET(_xlpm.CAPS,1,_xlpm.Style,TRIM(_xlfn.XLOOKUP($A60,Строчный!$A:$A,Строчный!B:B,"ERR",0)),IF(_xlpm.CAPS=0,_xlpm.Style,UPPER(_xlpm.Style)))</f>
        <v>6611105 TEXAS COTTON</v>
      </c>
      <c r="C60" s="81" t="str">
        <f ca="1">TRIM(PROPER(_xlfn.XLOOKUP($A60,Строчный!$A:$A,Строчный!C:C,"ERR",0)))</f>
        <v>Кепки</v>
      </c>
      <c r="D60" s="81" t="str">
        <f ca="1">_xlfn.LET(_xlpm.DATA,TRIM(_xlfn.XLOOKUP($A60,Строчный!$A:$A,Строчный!D:D,"ERR",0)),UPPER(MID(_xlpm.DATA,1,1))&amp;LOWER(MID(_xlpm.DATA,2,LEN(_xlpm.DATA)-1)))</f>
        <v>Кепка уточка</v>
      </c>
      <c r="E60" s="81" t="str">
        <f ca="1">PROPER(TRIM(_xlfn.XLOOKUP($A60,Строчный!$A:$A,Строчный!E:E,"ERR",0)))</f>
        <v>Stetson</v>
      </c>
      <c r="F60" s="81" t="str">
        <f ca="1">LOWER(TRIM(_xlfn.XLOOKUP($A60,Строчный!$A:$A,Строчный!F:F,"ERR",0)))</f>
        <v>летний</v>
      </c>
      <c r="G60" s="81" t="str">
        <f ca="1">UPPER(TRIM(_xlfn.XLOOKUP($A60,Строчный!$A:$A,Строчный!G:G,"ERR",0)))</f>
        <v>STETSON</v>
      </c>
      <c r="H60" s="81" t="str">
        <f ca="1">LOWER(TRIM(_xlfn.XLOOKUP($A60,Строчный!$A:$A,Строчный!H:H,"ERR",0)))</f>
        <v>23</v>
      </c>
      <c r="I60" s="81" t="str">
        <f ca="1">LOWER(TRIM(_xlfn.XLOOKUP($A60,Строчный!$A:$A,Строчный!I:I,"ERR",0)))</f>
        <v>синий</v>
      </c>
      <c r="J60" s="81" t="str">
        <f ca="1">SUBSTITUTE(LOWER(TRIM(_xlfn.XLOOKUP($A60,Строчный!$A:$A,Строчный!J:J,"ERR",0))),"подклад","Подклад")</f>
        <v>100% хлопок / Подклад: 100%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7" t="str">
        <f ca="1">PROPER(TRIM(_xlfn.XLOOKUP($A60,Строчный!$A:$A,Строчный!P:P,"ERR",0)))</f>
        <v/>
      </c>
      <c r="P60" s="90">
        <f ca="1">VALUE(_xlfn.XLOOKUP($A60,Строчный!$A:$A,Строчный!N:N,"ERR",0))</f>
        <v>1020.6479999999999</v>
      </c>
      <c r="Q60" s="89" t="str">
        <f ca="1">_xlfn.XLOOKUP($G60,Фабрика!A:A,Фабрика!B:B,"ERR",0)</f>
        <v>Friedrich W. Schneider GmbH &amp; Co. KG; Oskar-Schindler-Str. 11, D 50769 Köln, Germany</v>
      </c>
      <c r="R60" s="80" t="str">
        <f ca="1">_xlfn.XLOOKUP(RIGHT(Z60,2),Размеры!D:D,Размеры!A:A,"ERR",0)</f>
        <v>59</v>
      </c>
      <c r="S60" s="80">
        <f ca="1">VALUE(_xlfn.XLOOKUP($Z60,Строчный!$R:$R,Строчный!T:T,"ERR",0))</f>
        <v>4</v>
      </c>
      <c r="T60" s="14" t="s">
        <v>265</v>
      </c>
      <c r="U60" s="101" t="str">
        <f t="shared" ca="1" si="3"/>
        <v>Кепка STETSON арт. 6611105 TEXAS COTTON (синий)</v>
      </c>
      <c r="V60" s="100" t="str">
        <f t="shared" ca="1" si="4"/>
        <v>Кепка STETSON арт. 6611105 TEXAS COTTON (синий) {23}</v>
      </c>
      <c r="W60" s="18" t="str">
        <f t="shared" ca="1" si="9"/>
        <v>синий</v>
      </c>
      <c r="X60" s="18" t="str">
        <f t="shared" ca="1" si="10"/>
        <v>синий</v>
      </c>
      <c r="Y60" s="117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Z60" s="73" t="str">
        <f ca="1"/>
        <v>02-201-06-59</v>
      </c>
      <c r="AA60" s="75" t="str">
        <f ca="1">VLOOKUP(C60,Группа!A:B,2,FALSE)</f>
        <v>Кепка</v>
      </c>
      <c r="AB60" s="97" t="str">
        <f ca="1">IFERROR(VLOOKUP(R60,Размеры!A:C,3,FALSE),"")</f>
        <v>59 L</v>
      </c>
      <c r="AC60" s="97" t="str">
        <f ca="1">VLOOKUP(I60,ЦветПолный!A:B,2,FALSE)</f>
        <v>06</v>
      </c>
      <c r="AD60" s="97" t="str">
        <f ca="1">IFERROR(VLOOKUP(R60,Размеры!A:D,4,FALSE),"")</f>
        <v>59</v>
      </c>
      <c r="AE60" s="97">
        <f ca="1">IF(LEFT(IFERROR(VLOOKUP(LOOKUP(2,1/SEARCH(B60,Товары!A:A),Товары!A:A),Товары!A:B,2,0),""),6)=MID(Z60,1,6),1,0)</f>
        <v>1</v>
      </c>
      <c r="AG60" s="97">
        <f ca="1">SUMIF(Группа!A:A,C60,Группа!C:C)</f>
        <v>1</v>
      </c>
      <c r="AH60" s="97">
        <f ca="1">SUMIF(Группа!B:B,AA60,Группа!C:C)</f>
        <v>1</v>
      </c>
      <c r="AI60" s="97">
        <f ca="1">SUMIF(Формы!A:A,D60,Формы!B:B)</f>
        <v>1</v>
      </c>
      <c r="AJ60" s="97">
        <f ca="1">SUMIF(Материал!A:A,K60,Материал!B:B)</f>
        <v>1</v>
      </c>
      <c r="AK60" s="97">
        <f ca="1">SUMIF(Размеры!A:A,R60,Размеры!E:E)</f>
        <v>1</v>
      </c>
      <c r="AL60" s="97">
        <f ca="1">SUMIF(Сезон!A:A,F60,Сезон!B:B)</f>
        <v>1</v>
      </c>
      <c r="AM60" s="97">
        <f ca="1">SUMIF(Состав!A:A,J60,Состав!B:B)</f>
        <v>0</v>
      </c>
      <c r="AN60" s="97">
        <f ca="1">VLOOKUP(I60,ЦветПолный!A:C,3,0)</f>
        <v>1</v>
      </c>
      <c r="AO60" s="97">
        <f ca="1">SUMIF(Цвет!A:A,Y60,Цвет!B:B)</f>
        <v>1</v>
      </c>
      <c r="AP60" s="97">
        <f ca="1">_xlfn.XLOOKUP(L60,Пол!A:A,Пол!B:B,0,0)</f>
        <v>1</v>
      </c>
      <c r="AQ60" s="97">
        <f ca="1">SUMIF(Марка!A:A,G60,Марка!B:B)</f>
        <v>1</v>
      </c>
      <c r="AR60" s="97">
        <f ca="1">SUMIF(Страна!A:A,M60,Страна!B:B)</f>
        <v>1</v>
      </c>
      <c r="AS60" s="64" t="str">
        <f ca="1">IF(VLOOKUP(V60,Товары!A:B,2,FALSE)=A60,"Есть в 1С","ERR")</f>
        <v>Есть в 1С</v>
      </c>
      <c r="AT60" s="65" t="str">
        <f ca="1">IF(VLOOKUP(A60,Товары!B:B,1,FALSE)=A60,"Есть в 1С","ERR")</f>
        <v>Есть в 1С</v>
      </c>
      <c r="AU60" s="96" t="str">
        <f ca="1">VLOOKUP(V60,Товары!A:B,2,FALSE)</f>
        <v>02-201-06</v>
      </c>
      <c r="AV60" s="94" t="str">
        <f ca="1">VLOOKUP(V60,Товары!A:B,1,FALSE)</f>
        <v>Кепка STETSON арт. 6611105 TEXAS COTTON (синий) {23}</v>
      </c>
    </row>
    <row r="61" spans="1:48" x14ac:dyDescent="0.25">
      <c r="A61" s="110" t="str">
        <f t="shared" ca="1" si="2"/>
        <v>02-186-20</v>
      </c>
      <c r="B61" s="107" t="str">
        <f ca="1">_xlfn.LET(_xlpm.CAPS,1,_xlpm.Style,TRIM(_xlfn.XLOOKUP($A61,Строчный!$A:$A,Строчный!B:B,"ERR",0)),IF(_xlpm.CAPS=0,_xlpm.Style,UPPER(_xlpm.Style)))</f>
        <v>2811101 BUCKET DELAVE</v>
      </c>
      <c r="C61" s="81" t="str">
        <f ca="1">TRIM(PROPER(_xlfn.XLOOKUP($A61,Строчный!$A:$A,Строчный!C:C,"ERR",0)))</f>
        <v>Панамы</v>
      </c>
      <c r="D61" s="81" t="str">
        <f ca="1">_xlfn.LET(_xlpm.DATA,TRIM(_xlfn.XLOOKUP($A61,Строчный!$A:$A,Строчный!D:D,"ERR",0)),UPPER(MID(_xlpm.DATA,1,1))&amp;LOWER(MID(_xlpm.DATA,2,LEN(_xlpm.DATA)-1)))</f>
        <v>Панама</v>
      </c>
      <c r="E61" s="81" t="str">
        <f ca="1">PROPER(TRIM(_xlfn.XLOOKUP($A61,Строчный!$A:$A,Строчный!E:E,"ERR",0)))</f>
        <v>Stetson</v>
      </c>
      <c r="F61" s="81" t="str">
        <f ca="1">LOWER(TRIM(_xlfn.XLOOKUP($A61,Строчный!$A:$A,Строчный!F:F,"ERR",0)))</f>
        <v>летний</v>
      </c>
      <c r="G61" s="81" t="str">
        <f ca="1">UPPER(TRIM(_xlfn.XLOOKUP($A61,Строчный!$A:$A,Строчный!G:G,"ERR",0)))</f>
        <v>STETSON</v>
      </c>
      <c r="H61" s="81" t="str">
        <f ca="1">LOWER(TRIM(_xlfn.XLOOKUP($A61,Строчный!$A:$A,Строчный!H:H,"ERR",0)))</f>
        <v>76</v>
      </c>
      <c r="I61" s="81" t="str">
        <f ca="1">LOWER(TRIM(_xlfn.XLOOKUP($A61,Строчный!$A:$A,Строчный!I:I,"ERR",0)))</f>
        <v>песочный</v>
      </c>
      <c r="J61" s="81" t="str">
        <f ca="1">SUBSTITUTE(LOWER(TRIM(_xlfn.XLOOKUP($A61,Строчный!$A:$A,Строчный!J:J,"ERR",0))),"подклад","Подклад")</f>
        <v>100% хлопок / Подклад: 100%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7" t="str">
        <f ca="1">PROPER(TRIM(_xlfn.XLOOKUP($A61,Строчный!$A:$A,Строчный!P:P,"ERR",0)))</f>
        <v/>
      </c>
      <c r="P61" s="90">
        <f ca="1">VALUE(_xlfn.XLOOKUP($A61,Строчный!$A:$A,Строчный!N:N,"ERR",0))</f>
        <v>2128.328</v>
      </c>
      <c r="Q61" s="89" t="str">
        <f ca="1">_xlfn.XLOOKUP($G61,Фабрика!A:A,Фабрика!B:B,"ERR",0)</f>
        <v>Friedrich W. Schneider GmbH &amp; Co. KG; Oskar-Schindler-Str. 11, D 50769 Köln, Germany</v>
      </c>
      <c r="R61" s="80" t="str">
        <f ca="1">_xlfn.XLOOKUP(RIGHT(Z61,2),Размеры!D:D,Размеры!A:A,"ERR",0)</f>
        <v>63</v>
      </c>
      <c r="S61" s="80">
        <f ca="1">VALUE(_xlfn.XLOOKUP($Z61,Строчный!$R:$R,Строчный!T:T,"ERR",0))</f>
        <v>6</v>
      </c>
      <c r="T61" s="14" t="s">
        <v>265</v>
      </c>
      <c r="U61" s="101" t="str">
        <f t="shared" ca="1" si="3"/>
        <v>Панама STETSON арт. 2811101 BUCKET DELAVE (песочный)</v>
      </c>
      <c r="V61" s="100" t="str">
        <f t="shared" ca="1" si="4"/>
        <v>Панама STETSON арт. 2811101 BUCKET DELAVE (песочный) {76}</v>
      </c>
      <c r="W61" s="18" t="str">
        <f t="shared" ca="1" si="9"/>
        <v>песочный</v>
      </c>
      <c r="X61" s="18" t="str">
        <f t="shared" ca="1" si="10"/>
        <v>песочный</v>
      </c>
      <c r="Y61" s="117" t="str">
        <f ca="1">_xlfn.LET(_xlpm.FormColors,_xlfn.XLOOKUP(A61,Строчный!A:A,Строчный!Q:Q,"",0),IF(_xlpm.FormColors=0,IFERROR(MID(I61,FIND("-",I61)+1,LEN(I61)),IFERROR(MID(I61,1,FIND("/",I61)-2),I61)),_xlpm.FormColors))</f>
        <v>бежевый</v>
      </c>
      <c r="Z61" s="73" t="str">
        <f ca="1"/>
        <v>02-186-20-63</v>
      </c>
      <c r="AA61" s="75" t="str">
        <f ca="1">VLOOKUP(C61,Группа!A:B,2,FALSE)</f>
        <v>Панама</v>
      </c>
      <c r="AB61" s="97" t="str">
        <f ca="1">IFERROR(VLOOKUP(R61,Размеры!A:C,3,FALSE),"")</f>
        <v>63 XXL</v>
      </c>
      <c r="AC61" s="97" t="str">
        <f ca="1">VLOOKUP(I61,ЦветПолный!A:B,2,FALSE)</f>
        <v>02</v>
      </c>
      <c r="AD61" s="97" t="str">
        <f ca="1">IFERROR(VLOOKUP(R61,Размеры!A:D,4,FALSE),"")</f>
        <v>63</v>
      </c>
      <c r="AE61" s="97">
        <f ca="1">IF(LEFT(IFERROR(VLOOKUP(LOOKUP(2,1/SEARCH(B61,Товары!A:A),Товары!A:A),Товары!A:B,2,0),""),6)=MID(Z61,1,6),1,0)</f>
        <v>1</v>
      </c>
      <c r="AG61" s="97">
        <f ca="1">SUMIF(Группа!A:A,C61,Группа!C:C)</f>
        <v>1</v>
      </c>
      <c r="AH61" s="97">
        <f ca="1">SUMIF(Группа!B:B,AA61,Группа!C:C)</f>
        <v>1</v>
      </c>
      <c r="AI61" s="97">
        <f ca="1">SUMIF(Формы!A:A,D61,Формы!B:B)</f>
        <v>1</v>
      </c>
      <c r="AJ61" s="97">
        <f ca="1">SUMIF(Материал!A:A,K61,Материал!B:B)</f>
        <v>1</v>
      </c>
      <c r="AK61" s="97">
        <f ca="1">SUMIF(Размеры!A:A,R61,Размеры!E:E)</f>
        <v>1</v>
      </c>
      <c r="AL61" s="97">
        <f ca="1">SUMIF(Сезон!A:A,F61,Сезон!B:B)</f>
        <v>1</v>
      </c>
      <c r="AM61" s="97">
        <f ca="1">SUMIF(Состав!A:A,J61,Состав!B:B)</f>
        <v>0</v>
      </c>
      <c r="AN61" s="97">
        <f ca="1">VLOOKUP(I61,ЦветПолный!A:C,3,0)</f>
        <v>1</v>
      </c>
      <c r="AO61" s="97">
        <f ca="1">SUMIF(Цвет!A:A,Y61,Цвет!B:B)</f>
        <v>1</v>
      </c>
      <c r="AP61" s="97">
        <f ca="1">_xlfn.XLOOKUP(L61,Пол!A:A,Пол!B:B,0,0)</f>
        <v>1</v>
      </c>
      <c r="AQ61" s="97">
        <f ca="1">SUMIF(Марка!A:A,G61,Марка!B:B)</f>
        <v>1</v>
      </c>
      <c r="AR61" s="97">
        <f ca="1">SUMIF(Страна!A:A,M61,Страна!B:B)</f>
        <v>1</v>
      </c>
      <c r="AS61" s="64" t="str">
        <f ca="1">IF(VLOOKUP(V61,Товары!A:B,2,FALSE)=A61,"Есть в 1С","ERR")</f>
        <v>Есть в 1С</v>
      </c>
      <c r="AT61" s="65" t="str">
        <f ca="1">IF(VLOOKUP(A61,Товары!B:B,1,FALSE)=A61,"Есть в 1С","ERR")</f>
        <v>Есть в 1С</v>
      </c>
      <c r="AU61" s="96" t="str">
        <f ca="1">VLOOKUP(V61,Товары!A:B,2,FALSE)</f>
        <v>02-186-20</v>
      </c>
      <c r="AV61" s="94" t="str">
        <f ca="1">VLOOKUP(V61,Товары!A:B,1,FALSE)</f>
        <v>Панама STETSON арт. 2811101 BUCKET DELAVE (песочный) {76}</v>
      </c>
    </row>
    <row r="62" spans="1:48" x14ac:dyDescent="0.25">
      <c r="A62" s="110" t="str">
        <f t="shared" ca="1" si="2"/>
        <v>02-186-20</v>
      </c>
      <c r="B62" s="107" t="str">
        <f ca="1">_xlfn.LET(_xlpm.CAPS,1,_xlpm.Style,TRIM(_xlfn.XLOOKUP($A62,Строчный!$A:$A,Строчный!B:B,"ERR",0)),IF(_xlpm.CAPS=0,_xlpm.Style,UPPER(_xlpm.Style)))</f>
        <v>2811101 BUCKET DELAVE</v>
      </c>
      <c r="C62" s="81" t="str">
        <f ca="1">TRIM(PROPER(_xlfn.XLOOKUP($A62,Строчный!$A:$A,Строчный!C:C,"ERR",0)))</f>
        <v>Панамы</v>
      </c>
      <c r="D62" s="81" t="str">
        <f ca="1">_xlfn.LET(_xlpm.DATA,TRIM(_xlfn.XLOOKUP($A62,Строчный!$A:$A,Строчный!D:D,"ERR",0)),UPPER(MID(_xlpm.DATA,1,1))&amp;LOWER(MID(_xlpm.DATA,2,LEN(_xlpm.DATA)-1)))</f>
        <v>Панама</v>
      </c>
      <c r="E62" s="81" t="str">
        <f ca="1">PROPER(TRIM(_xlfn.XLOOKUP($A62,Строчный!$A:$A,Строчный!E:E,"ERR",0)))</f>
        <v>Stetson</v>
      </c>
      <c r="F62" s="81" t="str">
        <f ca="1">LOWER(TRIM(_xlfn.XLOOKUP($A62,Строчный!$A:$A,Строчный!F:F,"ERR",0)))</f>
        <v>летний</v>
      </c>
      <c r="G62" s="81" t="str">
        <f ca="1">UPPER(TRIM(_xlfn.XLOOKUP($A62,Строчный!$A:$A,Строчный!G:G,"ERR",0)))</f>
        <v>STETSON</v>
      </c>
      <c r="H62" s="81" t="str">
        <f ca="1">LOWER(TRIM(_xlfn.XLOOKUP($A62,Строчный!$A:$A,Строчный!H:H,"ERR",0)))</f>
        <v>76</v>
      </c>
      <c r="I62" s="81" t="str">
        <f ca="1">LOWER(TRIM(_xlfn.XLOOKUP($A62,Строчный!$A:$A,Строчный!I:I,"ERR",0)))</f>
        <v>песочный</v>
      </c>
      <c r="J62" s="81" t="str">
        <f ca="1">SUBSTITUTE(LOWER(TRIM(_xlfn.XLOOKUP($A62,Строчный!$A:$A,Строчный!J:J,"ERR",0))),"подклад","Подклад")</f>
        <v>100% хлопок / Подклад: 100%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7" t="str">
        <f ca="1">PROPER(TRIM(_xlfn.XLOOKUP($A62,Строчный!$A:$A,Строчный!P:P,"ERR",0)))</f>
        <v/>
      </c>
      <c r="P62" s="90">
        <f ca="1">VALUE(_xlfn.XLOOKUP($A62,Строчный!$A:$A,Строчный!N:N,"ERR",0))</f>
        <v>2128.328</v>
      </c>
      <c r="Q62" s="89" t="str">
        <f ca="1">_xlfn.XLOOKUP($G62,Фабрика!A:A,Фабрика!B:B,"ERR",0)</f>
        <v>Friedrich W. Schneider GmbH &amp; Co. KG; Oskar-Schindler-Str. 11, D 50769 Köln, Germany</v>
      </c>
      <c r="R62" s="80" t="str">
        <f ca="1">_xlfn.XLOOKUP(RIGHT(Z62,2),Размеры!D:D,Размеры!A:A,"ERR",0)</f>
        <v>61</v>
      </c>
      <c r="S62" s="80">
        <f ca="1">VALUE(_xlfn.XLOOKUP($Z62,Строчный!$R:$R,Строчный!T:T,"ERR",0))</f>
        <v>11</v>
      </c>
      <c r="T62" s="14" t="s">
        <v>265</v>
      </c>
      <c r="U62" s="101" t="str">
        <f t="shared" ca="1" si="3"/>
        <v>Панама STETSON арт. 2811101 BUCKET DELAVE (песочный)</v>
      </c>
      <c r="V62" s="100" t="str">
        <f t="shared" ca="1" si="4"/>
        <v>Панама STETSON арт. 2811101 BUCKET DELAVE (песочный) {76}</v>
      </c>
      <c r="W62" s="18" t="str">
        <f t="shared" ca="1" si="9"/>
        <v>песочный</v>
      </c>
      <c r="X62" s="18" t="str">
        <f t="shared" ca="1" si="10"/>
        <v>песочный</v>
      </c>
      <c r="Y62" s="117" t="str">
        <f ca="1">_xlfn.LET(_xlpm.FormColors,_xlfn.XLOOKUP(A62,Строчный!A:A,Строчный!Q:Q,"",0),IF(_xlpm.FormColors=0,IFERROR(MID(I62,FIND("-",I62)+1,LEN(I62)),IFERROR(MID(I62,1,FIND("/",I62)-2),I62)),_xlpm.FormColors))</f>
        <v>бежевый</v>
      </c>
      <c r="Z62" s="73" t="str">
        <f ca="1"/>
        <v>02-186-20-61</v>
      </c>
      <c r="AA62" s="75" t="str">
        <f ca="1">VLOOKUP(C62,Группа!A:B,2,FALSE)</f>
        <v>Панама</v>
      </c>
      <c r="AB62" s="97" t="str">
        <f ca="1">IFERROR(VLOOKUP(R62,Размеры!A:C,3,FALSE),"")</f>
        <v>61 XL</v>
      </c>
      <c r="AC62" s="97" t="str">
        <f ca="1">VLOOKUP(I62,ЦветПолный!A:B,2,FALSE)</f>
        <v>02</v>
      </c>
      <c r="AD62" s="97" t="str">
        <f ca="1">IFERROR(VLOOKUP(R62,Размеры!A:D,4,FALSE),"")</f>
        <v>61</v>
      </c>
      <c r="AE62" s="97">
        <f ca="1">IF(LEFT(IFERROR(VLOOKUP(LOOKUP(2,1/SEARCH(B62,Товары!A:A),Товары!A:A),Товары!A:B,2,0),""),6)=MID(Z62,1,6),1,0)</f>
        <v>1</v>
      </c>
      <c r="AG62" s="97">
        <f ca="1">SUMIF(Группа!A:A,C62,Группа!C:C)</f>
        <v>1</v>
      </c>
      <c r="AH62" s="97">
        <f ca="1">SUMIF(Группа!B:B,AA62,Группа!C:C)</f>
        <v>1</v>
      </c>
      <c r="AI62" s="97">
        <f ca="1">SUMIF(Формы!A:A,D62,Формы!B:B)</f>
        <v>1</v>
      </c>
      <c r="AJ62" s="97">
        <f ca="1">SUMIF(Материал!A:A,K62,Материал!B:B)</f>
        <v>1</v>
      </c>
      <c r="AK62" s="97">
        <f ca="1">SUMIF(Размеры!A:A,R62,Размеры!E:E)</f>
        <v>1</v>
      </c>
      <c r="AL62" s="97">
        <f ca="1">SUMIF(Сезон!A:A,F62,Сезон!B:B)</f>
        <v>1</v>
      </c>
      <c r="AM62" s="97">
        <f ca="1">SUMIF(Состав!A:A,J62,Состав!B:B)</f>
        <v>0</v>
      </c>
      <c r="AN62" s="97">
        <f ca="1">VLOOKUP(I62,ЦветПолный!A:C,3,0)</f>
        <v>1</v>
      </c>
      <c r="AO62" s="97">
        <f ca="1">SUMIF(Цвет!A:A,Y62,Цвет!B:B)</f>
        <v>1</v>
      </c>
      <c r="AP62" s="97">
        <f ca="1">_xlfn.XLOOKUP(L62,Пол!A:A,Пол!B:B,0,0)</f>
        <v>1</v>
      </c>
      <c r="AQ62" s="97">
        <f ca="1">SUMIF(Марка!A:A,G62,Марка!B:B)</f>
        <v>1</v>
      </c>
      <c r="AR62" s="97">
        <f ca="1">SUMIF(Страна!A:A,M62,Страна!B:B)</f>
        <v>1</v>
      </c>
      <c r="AS62" s="64" t="str">
        <f ca="1">IF(VLOOKUP(V62,Товары!A:B,2,FALSE)=A62,"Есть в 1С","ERR")</f>
        <v>Есть в 1С</v>
      </c>
      <c r="AT62" s="65" t="str">
        <f ca="1">IF(VLOOKUP(A62,Товары!B:B,1,FALSE)=A62,"Есть в 1С","ERR")</f>
        <v>Есть в 1С</v>
      </c>
      <c r="AU62" s="96" t="str">
        <f ca="1">VLOOKUP(V62,Товары!A:B,2,FALSE)</f>
        <v>02-186-20</v>
      </c>
      <c r="AV62" s="94" t="str">
        <f ca="1">VLOOKUP(V62,Товары!A:B,1,FALSE)</f>
        <v>Панама STETSON арт. 2811101 BUCKET DELAVE (песочный) {76}</v>
      </c>
    </row>
    <row r="63" spans="1:48" x14ac:dyDescent="0.25">
      <c r="A63" s="110" t="str">
        <f t="shared" ca="1" si="2"/>
        <v>02-186-20</v>
      </c>
      <c r="B63" s="107" t="str">
        <f ca="1">_xlfn.LET(_xlpm.CAPS,1,_xlpm.Style,TRIM(_xlfn.XLOOKUP($A63,Строчный!$A:$A,Строчный!B:B,"ERR",0)),IF(_xlpm.CAPS=0,_xlpm.Style,UPPER(_xlpm.Style)))</f>
        <v>2811101 BUCKET DELAVE</v>
      </c>
      <c r="C63" s="81" t="str">
        <f ca="1">TRIM(PROPER(_xlfn.XLOOKUP($A63,Строчный!$A:$A,Строчный!C:C,"ERR",0)))</f>
        <v>Панамы</v>
      </c>
      <c r="D63" s="81" t="str">
        <f ca="1">_xlfn.LET(_xlpm.DATA,TRIM(_xlfn.XLOOKUP($A63,Строчный!$A:$A,Строчный!D:D,"ERR",0)),UPPER(MID(_xlpm.DATA,1,1))&amp;LOWER(MID(_xlpm.DATA,2,LEN(_xlpm.DATA)-1)))</f>
        <v>Панама</v>
      </c>
      <c r="E63" s="81" t="str">
        <f ca="1">PROPER(TRIM(_xlfn.XLOOKUP($A63,Строчный!$A:$A,Строчный!E:E,"ERR",0)))</f>
        <v>Stetson</v>
      </c>
      <c r="F63" s="81" t="str">
        <f ca="1">LOWER(TRIM(_xlfn.XLOOKUP($A63,Строчный!$A:$A,Строчный!F:F,"ERR",0)))</f>
        <v>летний</v>
      </c>
      <c r="G63" s="81" t="str">
        <f ca="1">UPPER(TRIM(_xlfn.XLOOKUP($A63,Строчный!$A:$A,Строчный!G:G,"ERR",0)))</f>
        <v>STETSON</v>
      </c>
      <c r="H63" s="81" t="str">
        <f ca="1">LOWER(TRIM(_xlfn.XLOOKUP($A63,Строчный!$A:$A,Строчный!H:H,"ERR",0)))</f>
        <v>76</v>
      </c>
      <c r="I63" s="81" t="str">
        <f ca="1">LOWER(TRIM(_xlfn.XLOOKUP($A63,Строчный!$A:$A,Строчный!I:I,"ERR",0)))</f>
        <v>песочный</v>
      </c>
      <c r="J63" s="81" t="str">
        <f ca="1">SUBSTITUTE(LOWER(TRIM(_xlfn.XLOOKUP($A63,Строчный!$A:$A,Строчный!J:J,"ERR",0))),"подклад","Подклад")</f>
        <v>100% хлопок / Подклад: 100%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7" t="str">
        <f ca="1">PROPER(TRIM(_xlfn.XLOOKUP($A63,Строчный!$A:$A,Строчный!P:P,"ERR",0)))</f>
        <v/>
      </c>
      <c r="P63" s="90">
        <f ca="1">VALUE(_xlfn.XLOOKUP($A63,Строчный!$A:$A,Строчный!N:N,"ERR",0))</f>
        <v>2128.328</v>
      </c>
      <c r="Q63" s="89" t="str">
        <f ca="1">_xlfn.XLOOKUP($G63,Фабрика!A:A,Фабрика!B:B,"ERR",0)</f>
        <v>Friedrich W. Schneider GmbH &amp; Co. KG; Oskar-Schindler-Str. 11, D 50769 Köln, Germany</v>
      </c>
      <c r="R63" s="80" t="str">
        <f ca="1">_xlfn.XLOOKUP(RIGHT(Z63,2),Размеры!D:D,Размеры!A:A,"ERR",0)</f>
        <v>59</v>
      </c>
      <c r="S63" s="80">
        <f ca="1">VALUE(_xlfn.XLOOKUP($Z63,Строчный!$R:$R,Строчный!T:T,"ERR",0))</f>
        <v>9</v>
      </c>
      <c r="T63" s="14" t="s">
        <v>265</v>
      </c>
      <c r="U63" s="101" t="str">
        <f t="shared" ca="1" si="3"/>
        <v>Панама STETSON арт. 2811101 BUCKET DELAVE (песочный)</v>
      </c>
      <c r="V63" s="100" t="str">
        <f t="shared" ca="1" si="4"/>
        <v>Панама STETSON арт. 2811101 BUCKET DELAVE (песочный) {76}</v>
      </c>
      <c r="W63" s="18" t="str">
        <f t="shared" ca="1" si="9"/>
        <v>песочный</v>
      </c>
      <c r="X63" s="18" t="str">
        <f t="shared" ca="1" si="10"/>
        <v>песочный</v>
      </c>
      <c r="Y63" s="117" t="str">
        <f ca="1">_xlfn.LET(_xlpm.FormColors,_xlfn.XLOOKUP(A63,Строчный!A:A,Строчный!Q:Q,"",0),IF(_xlpm.FormColors=0,IFERROR(MID(I63,FIND("-",I63)+1,LEN(I63)),IFERROR(MID(I63,1,FIND("/",I63)-2),I63)),_xlpm.FormColors))</f>
        <v>бежевый</v>
      </c>
      <c r="Z63" s="73" t="str">
        <f ca="1"/>
        <v>02-186-20-59</v>
      </c>
      <c r="AA63" s="75" t="str">
        <f ca="1">VLOOKUP(C63,Группа!A:B,2,FALSE)</f>
        <v>Панама</v>
      </c>
      <c r="AB63" s="97" t="str">
        <f ca="1">IFERROR(VLOOKUP(R63,Размеры!A:C,3,FALSE),"")</f>
        <v>59 L</v>
      </c>
      <c r="AC63" s="97" t="str">
        <f ca="1">VLOOKUP(I63,ЦветПолный!A:B,2,FALSE)</f>
        <v>02</v>
      </c>
      <c r="AD63" s="97" t="str">
        <f ca="1">IFERROR(VLOOKUP(R63,Размеры!A:D,4,FALSE),"")</f>
        <v>59</v>
      </c>
      <c r="AE63" s="97">
        <f ca="1">IF(LEFT(IFERROR(VLOOKUP(LOOKUP(2,1/SEARCH(B63,Товары!A:A),Товары!A:A),Товары!A:B,2,0),""),6)=MID(Z63,1,6),1,0)</f>
        <v>1</v>
      </c>
      <c r="AG63" s="97">
        <f ca="1">SUMIF(Группа!A:A,C63,Группа!C:C)</f>
        <v>1</v>
      </c>
      <c r="AH63" s="97">
        <f ca="1">SUMIF(Группа!B:B,AA63,Группа!C:C)</f>
        <v>1</v>
      </c>
      <c r="AI63" s="97">
        <f ca="1">SUMIF(Формы!A:A,D63,Формы!B:B)</f>
        <v>1</v>
      </c>
      <c r="AJ63" s="97">
        <f ca="1">SUMIF(Материал!A:A,K63,Материал!B:B)</f>
        <v>1</v>
      </c>
      <c r="AK63" s="97">
        <f ca="1">SUMIF(Размеры!A:A,R63,Размеры!E:E)</f>
        <v>1</v>
      </c>
      <c r="AL63" s="97">
        <f ca="1">SUMIF(Сезон!A:A,F63,Сезон!B:B)</f>
        <v>1</v>
      </c>
      <c r="AM63" s="97">
        <f ca="1">SUMIF(Состав!A:A,J63,Состав!B:B)</f>
        <v>0</v>
      </c>
      <c r="AN63" s="97">
        <f ca="1">VLOOKUP(I63,ЦветПолный!A:C,3,0)</f>
        <v>1</v>
      </c>
      <c r="AO63" s="97">
        <f ca="1">SUMIF(Цвет!A:A,Y63,Цвет!B:B)</f>
        <v>1</v>
      </c>
      <c r="AP63" s="97">
        <f ca="1">_xlfn.XLOOKUP(L63,Пол!A:A,Пол!B:B,0,0)</f>
        <v>1</v>
      </c>
      <c r="AQ63" s="97">
        <f ca="1">SUMIF(Марка!A:A,G63,Марка!B:B)</f>
        <v>1</v>
      </c>
      <c r="AR63" s="97">
        <f ca="1">SUMIF(Страна!A:A,M63,Страна!B:B)</f>
        <v>1</v>
      </c>
      <c r="AS63" s="64" t="str">
        <f ca="1">IF(VLOOKUP(V63,Товары!A:B,2,FALSE)=A63,"Есть в 1С","ERR")</f>
        <v>Есть в 1С</v>
      </c>
      <c r="AT63" s="65" t="str">
        <f ca="1">IF(VLOOKUP(A63,Товары!B:B,1,FALSE)=A63,"Есть в 1С","ERR")</f>
        <v>Есть в 1С</v>
      </c>
      <c r="AU63" s="96" t="str">
        <f ca="1">VLOOKUP(V63,Товары!A:B,2,FALSE)</f>
        <v>02-186-20</v>
      </c>
      <c r="AV63" s="94" t="str">
        <f ca="1">VLOOKUP(V63,Товары!A:B,1,FALSE)</f>
        <v>Панама STETSON арт. 2811101 BUCKET DELAVE (песочный) {76}</v>
      </c>
    </row>
    <row r="64" spans="1:48" x14ac:dyDescent="0.25">
      <c r="A64" s="110" t="str">
        <f t="shared" ca="1" si="2"/>
        <v>02-186-20</v>
      </c>
      <c r="B64" s="107" t="str">
        <f ca="1">_xlfn.LET(_xlpm.CAPS,1,_xlpm.Style,TRIM(_xlfn.XLOOKUP($A64,Строчный!$A:$A,Строчный!B:B,"ERR",0)),IF(_xlpm.CAPS=0,_xlpm.Style,UPPER(_xlpm.Style)))</f>
        <v>2811101 BUCKET DELAVE</v>
      </c>
      <c r="C64" s="81" t="str">
        <f ca="1">TRIM(PROPER(_xlfn.XLOOKUP($A64,Строчный!$A:$A,Строчный!C:C,"ERR",0)))</f>
        <v>Панамы</v>
      </c>
      <c r="D64" s="81" t="str">
        <f ca="1">_xlfn.LET(_xlpm.DATA,TRIM(_xlfn.XLOOKUP($A64,Строчный!$A:$A,Строчный!D:D,"ERR",0)),UPPER(MID(_xlpm.DATA,1,1))&amp;LOWER(MID(_xlpm.DATA,2,LEN(_xlpm.DATA)-1)))</f>
        <v>Панама</v>
      </c>
      <c r="E64" s="81" t="str">
        <f ca="1">PROPER(TRIM(_xlfn.XLOOKUP($A64,Строчный!$A:$A,Строчный!E:E,"ERR",0)))</f>
        <v>Stetson</v>
      </c>
      <c r="F64" s="81" t="str">
        <f ca="1">LOWER(TRIM(_xlfn.XLOOKUP($A64,Строчный!$A:$A,Строчный!F:F,"ERR",0)))</f>
        <v>летний</v>
      </c>
      <c r="G64" s="81" t="str">
        <f ca="1">UPPER(TRIM(_xlfn.XLOOKUP($A64,Строчный!$A:$A,Строчный!G:G,"ERR",0)))</f>
        <v>STETSON</v>
      </c>
      <c r="H64" s="81" t="str">
        <f ca="1">LOWER(TRIM(_xlfn.XLOOKUP($A64,Строчный!$A:$A,Строчный!H:H,"ERR",0)))</f>
        <v>76</v>
      </c>
      <c r="I64" s="81" t="str">
        <f ca="1">LOWER(TRIM(_xlfn.XLOOKUP($A64,Строчный!$A:$A,Строчный!I:I,"ERR",0)))</f>
        <v>песочный</v>
      </c>
      <c r="J64" s="81" t="str">
        <f ca="1">SUBSTITUTE(LOWER(TRIM(_xlfn.XLOOKUP($A64,Строчный!$A:$A,Строчный!J:J,"ERR",0))),"подклад","Подклад")</f>
        <v>100% хлопок / Подклад: 100%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7" t="str">
        <f ca="1">PROPER(TRIM(_xlfn.XLOOKUP($A64,Строчный!$A:$A,Строчный!P:P,"ERR",0)))</f>
        <v/>
      </c>
      <c r="P64" s="90">
        <f ca="1">VALUE(_xlfn.XLOOKUP($A64,Строчный!$A:$A,Строчный!N:N,"ERR",0))</f>
        <v>2128.328</v>
      </c>
      <c r="Q64" s="89" t="str">
        <f ca="1">_xlfn.XLOOKUP($G64,Фабрика!A:A,Фабрика!B:B,"ERR",0)</f>
        <v>Friedrich W. Schneider GmbH &amp; Co. KG; Oskar-Schindler-Str. 11, D 50769 Köln, Germany</v>
      </c>
      <c r="R64" s="80" t="str">
        <f ca="1">_xlfn.XLOOKUP(RIGHT(Z64,2),Размеры!D:D,Размеры!A:A,"ERR",0)</f>
        <v>57</v>
      </c>
      <c r="S64" s="80">
        <f ca="1">VALUE(_xlfn.XLOOKUP($Z64,Строчный!$R:$R,Строчный!T:T,"ERR",0))</f>
        <v>6</v>
      </c>
      <c r="T64" s="14" t="s">
        <v>265</v>
      </c>
      <c r="U64" s="101" t="str">
        <f t="shared" ca="1" si="3"/>
        <v>Панама STETSON арт. 2811101 BUCKET DELAVE (песочный)</v>
      </c>
      <c r="V64" s="100" t="str">
        <f t="shared" ca="1" si="4"/>
        <v>Панама STETSON арт. 2811101 BUCKET DELAVE (песочный) {76}</v>
      </c>
      <c r="W64" s="18" t="str">
        <f t="shared" ca="1" si="9"/>
        <v>песочный</v>
      </c>
      <c r="X64" s="18" t="str">
        <f t="shared" ca="1" si="10"/>
        <v>песочный</v>
      </c>
      <c r="Y64" s="117" t="str">
        <f ca="1">_xlfn.LET(_xlpm.FormColors,_xlfn.XLOOKUP(A64,Строчный!A:A,Строчный!Q:Q,"",0),IF(_xlpm.FormColors=0,IFERROR(MID(I64,FIND("-",I64)+1,LEN(I64)),IFERROR(MID(I64,1,FIND("/",I64)-2),I64)),_xlpm.FormColors))</f>
        <v>бежевый</v>
      </c>
      <c r="Z64" s="73" t="str">
        <f ca="1"/>
        <v>02-186-20-57</v>
      </c>
      <c r="AA64" s="75" t="str">
        <f ca="1">VLOOKUP(C64,Группа!A:B,2,FALSE)</f>
        <v>Панама</v>
      </c>
      <c r="AB64" s="97" t="str">
        <f ca="1">IFERROR(VLOOKUP(R64,Размеры!A:C,3,FALSE),"")</f>
        <v>57 M</v>
      </c>
      <c r="AC64" s="97" t="str">
        <f ca="1">VLOOKUP(I64,ЦветПолный!A:B,2,FALSE)</f>
        <v>02</v>
      </c>
      <c r="AD64" s="97" t="str">
        <f ca="1">IFERROR(VLOOKUP(R64,Размеры!A:D,4,FALSE),"")</f>
        <v>57</v>
      </c>
      <c r="AE64" s="97">
        <f ca="1">IF(LEFT(IFERROR(VLOOKUP(LOOKUP(2,1/SEARCH(B64,Товары!A:A),Товары!A:A),Товары!A:B,2,0),""),6)=MID(Z64,1,6),1,0)</f>
        <v>1</v>
      </c>
      <c r="AG64" s="97">
        <f ca="1">SUMIF(Группа!A:A,C64,Группа!C:C)</f>
        <v>1</v>
      </c>
      <c r="AH64" s="97">
        <f ca="1">SUMIF(Группа!B:B,AA64,Группа!C:C)</f>
        <v>1</v>
      </c>
      <c r="AI64" s="97">
        <f ca="1">SUMIF(Формы!A:A,D64,Формы!B:B)</f>
        <v>1</v>
      </c>
      <c r="AJ64" s="97">
        <f ca="1">SUMIF(Материал!A:A,K64,Материал!B:B)</f>
        <v>1</v>
      </c>
      <c r="AK64" s="97">
        <f ca="1">SUMIF(Размеры!A:A,R64,Размеры!E:E)</f>
        <v>1</v>
      </c>
      <c r="AL64" s="97">
        <f ca="1">SUMIF(Сезон!A:A,F64,Сезон!B:B)</f>
        <v>1</v>
      </c>
      <c r="AM64" s="97">
        <f ca="1">SUMIF(Состав!A:A,J64,Состав!B:B)</f>
        <v>0</v>
      </c>
      <c r="AN64" s="97">
        <f ca="1">VLOOKUP(I64,ЦветПолный!A:C,3,0)</f>
        <v>1</v>
      </c>
      <c r="AO64" s="97">
        <f ca="1">SUMIF(Цвет!A:A,Y64,Цвет!B:B)</f>
        <v>1</v>
      </c>
      <c r="AP64" s="97">
        <f ca="1">_xlfn.XLOOKUP(L64,Пол!A:A,Пол!B:B,0,0)</f>
        <v>1</v>
      </c>
      <c r="AQ64" s="97">
        <f ca="1">SUMIF(Марка!A:A,G64,Марка!B:B)</f>
        <v>1</v>
      </c>
      <c r="AR64" s="97">
        <f ca="1">SUMIF(Страна!A:A,M64,Страна!B:B)</f>
        <v>1</v>
      </c>
      <c r="AS64" s="64" t="str">
        <f ca="1">IF(VLOOKUP(V64,Товары!A:B,2,FALSE)=A64,"Есть в 1С","ERR")</f>
        <v>Есть в 1С</v>
      </c>
      <c r="AT64" s="65" t="str">
        <f ca="1">IF(VLOOKUP(A64,Товары!B:B,1,FALSE)=A64,"Есть в 1С","ERR")</f>
        <v>Есть в 1С</v>
      </c>
      <c r="AU64" s="96" t="str">
        <f ca="1">VLOOKUP(V64,Товары!A:B,2,FALSE)</f>
        <v>02-186-20</v>
      </c>
      <c r="AV64" s="94" t="str">
        <f ca="1">VLOOKUP(V64,Товары!A:B,1,FALSE)</f>
        <v>Панама STETSON арт. 2811101 BUCKET DELAVE (песочный) {76}</v>
      </c>
    </row>
    <row r="65" spans="1:48" x14ac:dyDescent="0.25">
      <c r="A65" s="110" t="str">
        <f t="shared" ca="1" si="2"/>
        <v>02-182-20</v>
      </c>
      <c r="B65" s="107" t="str">
        <f ca="1">_xlfn.LET(_xlpm.CAPS,1,_xlpm.Style,TRIM(_xlfn.XLOOKUP($A65,Строчный!$A:$A,Строчный!B:B,"ERR",0)),IF(_xlpm.CAPS=0,_xlpm.Style,UPPER(_xlpm.Style)))</f>
        <v>2541114 TRAVELLER DELAVE</v>
      </c>
      <c r="C65" s="81" t="str">
        <f ca="1">TRIM(PROPER(_xlfn.XLOOKUP($A65,Строчный!$A:$A,Строчный!C:C,"ERR",0)))</f>
        <v>Шляпы</v>
      </c>
      <c r="D65" s="81" t="str">
        <f ca="1">_xlfn.LET(_xlpm.DATA,TRIM(_xlfn.XLOOKUP($A65,Строчный!$A:$A,Строчный!D:D,"ERR",0)),UPPER(MID(_xlpm.DATA,1,1))&amp;LOWER(MID(_xlpm.DATA,2,LEN(_xlpm.DATA)-1)))</f>
        <v>Шляпа федора</v>
      </c>
      <c r="E65" s="81" t="str">
        <f ca="1">PROPER(TRIM(_xlfn.XLOOKUP($A65,Строчный!$A:$A,Строчный!E:E,"ERR",0)))</f>
        <v>Stetson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STETSON</v>
      </c>
      <c r="H65" s="81" t="str">
        <f ca="1">LOWER(TRIM(_xlfn.XLOOKUP($A65,Строчный!$A:$A,Строчный!H:H,"ERR",0)))</f>
        <v>76</v>
      </c>
      <c r="I65" s="81" t="str">
        <f ca="1">LOWER(TRIM(_xlfn.XLOOKUP($A65,Строчный!$A:$A,Строчный!I:I,"ERR",0)))</f>
        <v>песочный</v>
      </c>
      <c r="J65" s="81" t="str">
        <f ca="1">SUBSTITUTE(LOWER(TRIM(_xlfn.XLOOKUP($A65,Строчный!$A:$A,Строчный!J:J,"ERR",0))),"подклад","Подклад")</f>
        <v>100% хлопок / Подклад: 100%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Шри-Ланка</v>
      </c>
      <c r="N65" s="81" t="str">
        <f ca="1">UPPER(TRIM(_xlfn.XLOOKUP($A65,Строчный!$A:$A,Строчный!O:O,"ERR",0)))</f>
        <v/>
      </c>
      <c r="O65" s="107" t="str">
        <f ca="1">PROPER(TRIM(_xlfn.XLOOKUP($A65,Строчный!$A:$A,Строчный!P:P,"ERR",0)))</f>
        <v/>
      </c>
      <c r="P65" s="90">
        <f ca="1">VALUE(_xlfn.XLOOKUP($A65,Строчный!$A:$A,Строчный!N:N,"ERR",0))</f>
        <v>2128.328</v>
      </c>
      <c r="Q65" s="89" t="str">
        <f ca="1">_xlfn.XLOOKUP($G65,Фабрика!A:A,Фабрика!B:B,"ERR",0)</f>
        <v>Friedrich W. Schneider GmbH &amp; Co. KG; Oskar-Schindler-Str. 11, D 50769 Köln, Germany</v>
      </c>
      <c r="R65" s="80" t="str">
        <f ca="1">_xlfn.XLOOKUP(RIGHT(Z65,2),Размеры!D:D,Размеры!A:A,"ERR",0)</f>
        <v>61</v>
      </c>
      <c r="S65" s="80">
        <f ca="1">VALUE(_xlfn.XLOOKUP($Z65,Строчный!$R:$R,Строчный!T:T,"ERR",0))</f>
        <v>3</v>
      </c>
      <c r="T65" s="14" t="s">
        <v>265</v>
      </c>
      <c r="U65" s="101" t="str">
        <f t="shared" ca="1" si="3"/>
        <v>Шляпа STETSON арт. 2541114 TRAVELLER DELAVE (песочный)</v>
      </c>
      <c r="V65" s="100" t="str">
        <f t="shared" ca="1" si="4"/>
        <v>Шляпа STETSON арт. 2541114 TRAVELLER DELAVE (песочный) {76}</v>
      </c>
      <c r="W65" s="18" t="str">
        <f t="shared" ca="1" si="9"/>
        <v>песочный</v>
      </c>
      <c r="X65" s="18" t="str">
        <f t="shared" ca="1" si="10"/>
        <v>песочный</v>
      </c>
      <c r="Y65" s="117" t="str">
        <f ca="1">_xlfn.LET(_xlpm.FormColors,_xlfn.XLOOKUP(A65,Строчный!A:A,Строчный!Q:Q,"",0),IF(_xlpm.FormColors=0,IFERROR(MID(I65,FIND("-",I65)+1,LEN(I65)),IFERROR(MID(I65,1,FIND("/",I65)-2),I65)),_xlpm.FormColors))</f>
        <v>бежевый</v>
      </c>
      <c r="Z65" s="73" t="str">
        <f ca="1"/>
        <v>02-182-20-61</v>
      </c>
      <c r="AA65" s="75" t="str">
        <f ca="1">VLOOKUP(C65,Группа!A:B,2,FALSE)</f>
        <v>Шляпа</v>
      </c>
      <c r="AB65" s="97" t="str">
        <f ca="1">IFERROR(VLOOKUP(R65,Размеры!A:C,3,FALSE),"")</f>
        <v>61 XL</v>
      </c>
      <c r="AC65" s="97" t="str">
        <f ca="1">VLOOKUP(I65,ЦветПолный!A:B,2,FALSE)</f>
        <v>02</v>
      </c>
      <c r="AD65" s="97" t="str">
        <f ca="1">IFERROR(VLOOKUP(R65,Размеры!A:D,4,FALSE),"")</f>
        <v>61</v>
      </c>
      <c r="AE65" s="97">
        <f ca="1">IF(LEFT(IFERROR(VLOOKUP(LOOKUP(2,1/SEARCH(B65,Товары!A:A),Товары!A:A),Товары!A:B,2,0),""),6)=MID(Z65,1,6),1,0)</f>
        <v>1</v>
      </c>
      <c r="AG65" s="97">
        <f ca="1">SUMIF(Группа!A:A,C65,Группа!C:C)</f>
        <v>1</v>
      </c>
      <c r="AH65" s="97">
        <f ca="1">SUMIF(Группа!B:B,AA65,Группа!C:C)</f>
        <v>1</v>
      </c>
      <c r="AI65" s="97">
        <f ca="1">SUMIF(Формы!A:A,D65,Формы!B:B)</f>
        <v>1</v>
      </c>
      <c r="AJ65" s="97">
        <f ca="1">SUMIF(Материал!A:A,K65,Материал!B:B)</f>
        <v>1</v>
      </c>
      <c r="AK65" s="97">
        <f ca="1">SUMIF(Размеры!A:A,R65,Размеры!E:E)</f>
        <v>1</v>
      </c>
      <c r="AL65" s="97">
        <f ca="1">SUMIF(Сезон!A:A,F65,Сезон!B:B)</f>
        <v>1</v>
      </c>
      <c r="AM65" s="97">
        <f ca="1">SUMIF(Состав!A:A,J65,Состав!B:B)</f>
        <v>0</v>
      </c>
      <c r="AN65" s="97">
        <f ca="1">VLOOKUP(I65,ЦветПолный!A:C,3,0)</f>
        <v>1</v>
      </c>
      <c r="AO65" s="97">
        <f ca="1">SUMIF(Цвет!A:A,Y65,Цвет!B:B)</f>
        <v>1</v>
      </c>
      <c r="AP65" s="97">
        <f ca="1">_xlfn.XLOOKUP(L65,Пол!A:A,Пол!B:B,0,0)</f>
        <v>1</v>
      </c>
      <c r="AQ65" s="97">
        <f ca="1">SUMIF(Марка!A:A,G65,Марка!B:B)</f>
        <v>1</v>
      </c>
      <c r="AR65" s="97">
        <f ca="1">SUMIF(Страна!A:A,M65,Страна!B:B)</f>
        <v>1</v>
      </c>
      <c r="AS65" s="64" t="str">
        <f ca="1">IF(VLOOKUP(V65,Товары!A:B,2,FALSE)=A65,"Есть в 1С","ERR")</f>
        <v>Есть в 1С</v>
      </c>
      <c r="AT65" s="65" t="str">
        <f ca="1">IF(VLOOKUP(A65,Товары!B:B,1,FALSE)=A65,"Есть в 1С","ERR")</f>
        <v>Есть в 1С</v>
      </c>
      <c r="AU65" s="96" t="str">
        <f ca="1">VLOOKUP(V65,Товары!A:B,2,FALSE)</f>
        <v>02-182-20</v>
      </c>
      <c r="AV65" s="94" t="str">
        <f ca="1">VLOOKUP(V65,Товары!A:B,1,FALSE)</f>
        <v>Шляпа STETSON арт. 2541114 TRAVELLER DELAVE (песочный) {76}</v>
      </c>
    </row>
    <row r="66" spans="1:48" x14ac:dyDescent="0.25">
      <c r="A66" s="110" t="str">
        <f t="shared" ca="1" si="2"/>
        <v>02-182-20</v>
      </c>
      <c r="B66" s="107" t="str">
        <f ca="1">_xlfn.LET(_xlpm.CAPS,1,_xlpm.Style,TRIM(_xlfn.XLOOKUP($A66,Строчный!$A:$A,Строчный!B:B,"ERR",0)),IF(_xlpm.CAPS=0,_xlpm.Style,UPPER(_xlpm.Style)))</f>
        <v>2541114 TRAVELLER DELAVE</v>
      </c>
      <c r="C66" s="81" t="str">
        <f ca="1">TRIM(PROPER(_xlfn.XLOOKUP($A66,Строчный!$A:$A,Строчный!C:C,"ERR",0)))</f>
        <v>Шляпы</v>
      </c>
      <c r="D66" s="81" t="str">
        <f ca="1">_xlfn.LET(_xlpm.DATA,TRIM(_xlfn.XLOOKUP($A66,Строчный!$A:$A,Строчный!D:D,"ERR",0)),UPPER(MID(_xlpm.DATA,1,1))&amp;LOWER(MID(_xlpm.DATA,2,LEN(_xlpm.DATA)-1)))</f>
        <v>Шляпа федора</v>
      </c>
      <c r="E66" s="81" t="str">
        <f ca="1">PROPER(TRIM(_xlfn.XLOOKUP($A66,Строчный!$A:$A,Строчный!E:E,"ERR",0)))</f>
        <v>Stetson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STETSON</v>
      </c>
      <c r="H66" s="81" t="str">
        <f ca="1">LOWER(TRIM(_xlfn.XLOOKUP($A66,Строчный!$A:$A,Строчный!H:H,"ERR",0)))</f>
        <v>76</v>
      </c>
      <c r="I66" s="81" t="str">
        <f ca="1">LOWER(TRIM(_xlfn.XLOOKUP($A66,Строчный!$A:$A,Строчный!I:I,"ERR",0)))</f>
        <v>песочный</v>
      </c>
      <c r="J66" s="81" t="str">
        <f ca="1">SUBSTITUTE(LOWER(TRIM(_xlfn.XLOOKUP($A66,Строчный!$A:$A,Строчный!J:J,"ERR",0))),"подклад","Подклад")</f>
        <v>100% хлопок / Подклад: 100%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Шри-Ланка</v>
      </c>
      <c r="N66" s="81" t="str">
        <f ca="1">UPPER(TRIM(_xlfn.XLOOKUP($A66,Строчный!$A:$A,Строчный!O:O,"ERR",0)))</f>
        <v/>
      </c>
      <c r="O66" s="107" t="str">
        <f ca="1">PROPER(TRIM(_xlfn.XLOOKUP($A66,Строчный!$A:$A,Строчный!P:P,"ERR",0)))</f>
        <v/>
      </c>
      <c r="P66" s="90">
        <f ca="1">VALUE(_xlfn.XLOOKUP($A66,Строчный!$A:$A,Строчный!N:N,"ERR",0))</f>
        <v>2128.328</v>
      </c>
      <c r="Q66" s="89" t="str">
        <f ca="1">_xlfn.XLOOKUP($G66,Фабрика!A:A,Фабрика!B:B,"ERR",0)</f>
        <v>Friedrich W. Schneider GmbH &amp; Co. KG; Oskar-Schindler-Str. 11, D 50769 Köln, Germany</v>
      </c>
      <c r="R66" s="80" t="str">
        <f ca="1">_xlfn.XLOOKUP(RIGHT(Z66,2),Размеры!D:D,Размеры!A:A,"ERR",0)</f>
        <v>59</v>
      </c>
      <c r="S66" s="80">
        <f ca="1">VALUE(_xlfn.XLOOKUP($Z66,Строчный!$R:$R,Строчный!T:T,"ERR",0))</f>
        <v>4</v>
      </c>
      <c r="T66" s="14" t="s">
        <v>265</v>
      </c>
      <c r="U66" s="101" t="str">
        <f t="shared" ca="1" si="3"/>
        <v>Шляпа STETSON арт. 2541114 TRAVELLER DELAVE (песочный)</v>
      </c>
      <c r="V66" s="100" t="str">
        <f t="shared" ca="1" si="4"/>
        <v>Шляпа STETSON арт. 2541114 TRAVELLER DELAVE (песочный) {76}</v>
      </c>
      <c r="W66" s="18" t="str">
        <f t="shared" ca="1" si="9"/>
        <v>песочный</v>
      </c>
      <c r="X66" s="18" t="str">
        <f t="shared" ca="1" si="10"/>
        <v>песочный</v>
      </c>
      <c r="Y66" s="117" t="str">
        <f ca="1">_xlfn.LET(_xlpm.FormColors,_xlfn.XLOOKUP(A66,Строчный!A:A,Строчный!Q:Q,"",0),IF(_xlpm.FormColors=0,IFERROR(MID(I66,FIND("-",I66)+1,LEN(I66)),IFERROR(MID(I66,1,FIND("/",I66)-2),I66)),_xlpm.FormColors))</f>
        <v>бежевый</v>
      </c>
      <c r="Z66" s="73" t="str">
        <f ca="1"/>
        <v>02-182-20-59</v>
      </c>
      <c r="AA66" s="75" t="str">
        <f ca="1">VLOOKUP(C66,Группа!A:B,2,FALSE)</f>
        <v>Шляпа</v>
      </c>
      <c r="AB66" s="97" t="str">
        <f ca="1">IFERROR(VLOOKUP(R66,Размеры!A:C,3,FALSE),"")</f>
        <v>59 L</v>
      </c>
      <c r="AC66" s="97" t="str">
        <f ca="1">VLOOKUP(I66,ЦветПолный!A:B,2,FALSE)</f>
        <v>02</v>
      </c>
      <c r="AD66" s="97" t="str">
        <f ca="1">IFERROR(VLOOKUP(R66,Размеры!A:D,4,FALSE),"")</f>
        <v>59</v>
      </c>
      <c r="AE66" s="97">
        <f ca="1">IF(LEFT(IFERROR(VLOOKUP(LOOKUP(2,1/SEARCH(B66,Товары!A:A),Товары!A:A),Товары!A:B,2,0),""),6)=MID(Z66,1,6),1,0)</f>
        <v>1</v>
      </c>
      <c r="AG66" s="97">
        <f ca="1">SUMIF(Группа!A:A,C66,Группа!C:C)</f>
        <v>1</v>
      </c>
      <c r="AH66" s="97">
        <f ca="1">SUMIF(Группа!B:B,AA66,Группа!C:C)</f>
        <v>1</v>
      </c>
      <c r="AI66" s="97">
        <f ca="1">SUMIF(Формы!A:A,D66,Формы!B:B)</f>
        <v>1</v>
      </c>
      <c r="AJ66" s="97">
        <f ca="1">SUMIF(Материал!A:A,K66,Материал!B:B)</f>
        <v>1</v>
      </c>
      <c r="AK66" s="97">
        <f ca="1">SUMIF(Размеры!A:A,R66,Размеры!E:E)</f>
        <v>1</v>
      </c>
      <c r="AL66" s="97">
        <f ca="1">SUMIF(Сезон!A:A,F66,Сезон!B:B)</f>
        <v>1</v>
      </c>
      <c r="AM66" s="97">
        <f ca="1">SUMIF(Состав!A:A,J66,Состав!B:B)</f>
        <v>0</v>
      </c>
      <c r="AN66" s="97">
        <f ca="1">VLOOKUP(I66,ЦветПолный!A:C,3,0)</f>
        <v>1</v>
      </c>
      <c r="AO66" s="97">
        <f ca="1">SUMIF(Цвет!A:A,Y66,Цвет!B:B)</f>
        <v>1</v>
      </c>
      <c r="AP66" s="97">
        <f ca="1">_xlfn.XLOOKUP(L66,Пол!A:A,Пол!B:B,0,0)</f>
        <v>1</v>
      </c>
      <c r="AQ66" s="97">
        <f ca="1">SUMIF(Марка!A:A,G66,Марка!B:B)</f>
        <v>1</v>
      </c>
      <c r="AR66" s="97">
        <f ca="1">SUMIF(Страна!A:A,M66,Страна!B:B)</f>
        <v>1</v>
      </c>
      <c r="AS66" s="64" t="str">
        <f ca="1">IF(VLOOKUP(V66,Товары!A:B,2,FALSE)=A66,"Есть в 1С","ERR")</f>
        <v>Есть в 1С</v>
      </c>
      <c r="AT66" s="65" t="str">
        <f ca="1">IF(VLOOKUP(A66,Товары!B:B,1,FALSE)=A66,"Есть в 1С","ERR")</f>
        <v>Есть в 1С</v>
      </c>
      <c r="AU66" s="96" t="str">
        <f ca="1">VLOOKUP(V66,Товары!A:B,2,FALSE)</f>
        <v>02-182-20</v>
      </c>
      <c r="AV66" s="94" t="str">
        <f ca="1">VLOOKUP(V66,Товары!A:B,1,FALSE)</f>
        <v>Шляпа STETSON арт. 2541114 TRAVELLER DELAVE (песочный) {76}</v>
      </c>
    </row>
    <row r="67" spans="1:48" x14ac:dyDescent="0.25">
      <c r="A67" s="110" t="str">
        <f t="shared" ref="A67:A73" ca="1" si="11">LEFT(Z67,9)</f>
        <v>02-182-20</v>
      </c>
      <c r="B67" s="107" t="str">
        <f ca="1">_xlfn.LET(_xlpm.CAPS,1,_xlpm.Style,TRIM(_xlfn.XLOOKUP($A67,Строчный!$A:$A,Строчный!B:B,"ERR",0)),IF(_xlpm.CAPS=0,_xlpm.Style,UPPER(_xlpm.Style)))</f>
        <v>2541114 TRAVELLER DELAVE</v>
      </c>
      <c r="C67" s="81" t="str">
        <f ca="1">TRIM(PROPER(_xlfn.XLOOKUP($A67,Строчный!$A:$A,Строчный!C:C,"ERR",0)))</f>
        <v>Шляпы</v>
      </c>
      <c r="D67" s="81" t="str">
        <f ca="1">_xlfn.LET(_xlpm.DATA,TRIM(_xlfn.XLOOKUP($A67,Строчный!$A:$A,Строчный!D:D,"ERR",0)),UPPER(MID(_xlpm.DATA,1,1))&amp;LOWER(MID(_xlpm.DATA,2,LEN(_xlpm.DATA)-1)))</f>
        <v>Шляпа федора</v>
      </c>
      <c r="E67" s="81" t="str">
        <f ca="1">PROPER(TRIM(_xlfn.XLOOKUP($A67,Строчный!$A:$A,Строчный!E:E,"ERR",0)))</f>
        <v>Stetson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STETSON</v>
      </c>
      <c r="H67" s="81" t="str">
        <f ca="1">LOWER(TRIM(_xlfn.XLOOKUP($A67,Строчный!$A:$A,Строчный!H:H,"ERR",0)))</f>
        <v>76</v>
      </c>
      <c r="I67" s="81" t="str">
        <f ca="1">LOWER(TRIM(_xlfn.XLOOKUP($A67,Строчный!$A:$A,Строчный!I:I,"ERR",0)))</f>
        <v>песочный</v>
      </c>
      <c r="J67" s="81" t="str">
        <f ca="1">SUBSTITUTE(LOWER(TRIM(_xlfn.XLOOKUP($A67,Строчный!$A:$A,Строчный!J:J,"ERR",0))),"подклад","Подклад")</f>
        <v>100% хлопок / Подклад: 100%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Шри-Ланка</v>
      </c>
      <c r="N67" s="81" t="str">
        <f ca="1">UPPER(TRIM(_xlfn.XLOOKUP($A67,Строчный!$A:$A,Строчный!O:O,"ERR",0)))</f>
        <v/>
      </c>
      <c r="O67" s="107" t="str">
        <f ca="1">PROPER(TRIM(_xlfn.XLOOKUP($A67,Строчный!$A:$A,Строчный!P:P,"ERR",0)))</f>
        <v/>
      </c>
      <c r="P67" s="90">
        <f ca="1">VALUE(_xlfn.XLOOKUP($A67,Строчный!$A:$A,Строчный!N:N,"ERR",0))</f>
        <v>2128.328</v>
      </c>
      <c r="Q67" s="89" t="str">
        <f ca="1">_xlfn.XLOOKUP($G67,Фабрика!A:A,Фабрика!B:B,"ERR",0)</f>
        <v>Friedrich W. Schneider GmbH &amp; Co. KG; Oskar-Schindler-Str. 11, D 50769 Köln, Germany</v>
      </c>
      <c r="R67" s="80" t="str">
        <f ca="1">_xlfn.XLOOKUP(RIGHT(Z67,2),Размеры!D:D,Размеры!A:A,"ERR",0)</f>
        <v>57</v>
      </c>
      <c r="S67" s="80">
        <f ca="1">VALUE(_xlfn.XLOOKUP($Z67,Строчный!$R:$R,Строчный!T:T,"ERR",0))</f>
        <v>3</v>
      </c>
      <c r="T67" s="14" t="s">
        <v>265</v>
      </c>
      <c r="U67" s="101" t="str">
        <f t="shared" ref="U67:U73" ca="1" si="12">TRIM(CONCATENATE(AA67," ",G67," арт. ",B67," (",I67,")"))</f>
        <v>Шляпа STETSON арт. 2541114 TRAVELLER DELAVE (песочный)</v>
      </c>
      <c r="V67" s="100" t="str">
        <f t="shared" ref="V67:V73" ca="1" si="13">TRIM(CONCATENATE(AA67," ",G67," арт. ",B67," (",I67,") {",H67,"}"))</f>
        <v>Шляпа STETSON арт. 2541114 TRAVELLER DELAVE (песочный) {76}</v>
      </c>
      <c r="W67" s="18" t="str">
        <f t="shared" ca="1" si="9"/>
        <v>песочный</v>
      </c>
      <c r="X67" s="18" t="str">
        <f t="shared" ca="1" si="10"/>
        <v>песочный</v>
      </c>
      <c r="Y67" s="117" t="str">
        <f ca="1">_xlfn.LET(_xlpm.FormColors,_xlfn.XLOOKUP(A67,Строчный!A:A,Строчный!Q:Q,"",0),IF(_xlpm.FormColors=0,IFERROR(MID(I67,FIND("-",I67)+1,LEN(I67)),IFERROR(MID(I67,1,FIND("/",I67)-2),I67)),_xlpm.FormColors))</f>
        <v>бежевый</v>
      </c>
      <c r="Z67" s="73" t="str">
        <f ca="1"/>
        <v>02-182-20-57</v>
      </c>
      <c r="AA67" s="75" t="str">
        <f ca="1">VLOOKUP(C67,Группа!A:B,2,FALSE)</f>
        <v>Шляпа</v>
      </c>
      <c r="AB67" s="97" t="str">
        <f ca="1">IFERROR(VLOOKUP(R67,Размеры!A:C,3,FALSE),"")</f>
        <v>57 M</v>
      </c>
      <c r="AC67" s="97" t="str">
        <f ca="1">VLOOKUP(I67,ЦветПолный!A:B,2,FALSE)</f>
        <v>02</v>
      </c>
      <c r="AD67" s="97" t="str">
        <f ca="1">IFERROR(VLOOKUP(R67,Размеры!A:D,4,FALSE),"")</f>
        <v>57</v>
      </c>
      <c r="AE67" s="97">
        <f ca="1">IF(LEFT(IFERROR(VLOOKUP(LOOKUP(2,1/SEARCH(B67,Товары!A:A),Товары!A:A),Товары!A:B,2,0),""),6)=MID(Z67,1,6),1,0)</f>
        <v>1</v>
      </c>
      <c r="AG67" s="97">
        <f ca="1">SUMIF(Группа!A:A,C67,Группа!C:C)</f>
        <v>1</v>
      </c>
      <c r="AH67" s="97">
        <f ca="1">SUMIF(Группа!B:B,AA67,Группа!C:C)</f>
        <v>1</v>
      </c>
      <c r="AI67" s="97">
        <f ca="1">SUMIF(Формы!A:A,D67,Формы!B:B)</f>
        <v>1</v>
      </c>
      <c r="AJ67" s="97">
        <f ca="1">SUMIF(Материал!A:A,K67,Материал!B:B)</f>
        <v>1</v>
      </c>
      <c r="AK67" s="97">
        <f ca="1">SUMIF(Размеры!A:A,R67,Размеры!E:E)</f>
        <v>1</v>
      </c>
      <c r="AL67" s="97">
        <f ca="1">SUMIF(Сезон!A:A,F67,Сезон!B:B)</f>
        <v>1</v>
      </c>
      <c r="AM67" s="97">
        <f ca="1">SUMIF(Состав!A:A,J67,Состав!B:B)</f>
        <v>0</v>
      </c>
      <c r="AN67" s="97">
        <f ca="1">VLOOKUP(I67,ЦветПолный!A:C,3,0)</f>
        <v>1</v>
      </c>
      <c r="AO67" s="97">
        <f ca="1">SUMIF(Цвет!A:A,Y67,Цвет!B:B)</f>
        <v>1</v>
      </c>
      <c r="AP67" s="97">
        <f ca="1">_xlfn.XLOOKUP(L67,Пол!A:A,Пол!B:B,0,0)</f>
        <v>1</v>
      </c>
      <c r="AQ67" s="97">
        <f ca="1">SUMIF(Марка!A:A,G67,Марка!B:B)</f>
        <v>1</v>
      </c>
      <c r="AR67" s="97">
        <f ca="1">SUMIF(Страна!A:A,M67,Страна!B:B)</f>
        <v>1</v>
      </c>
      <c r="AS67" s="64" t="str">
        <f ca="1">IF(VLOOKUP(V67,Товары!A:B,2,FALSE)=A67,"Есть в 1С","ERR")</f>
        <v>Есть в 1С</v>
      </c>
      <c r="AT67" s="65" t="str">
        <f ca="1">IF(VLOOKUP(A67,Товары!B:B,1,FALSE)=A67,"Есть в 1С","ERR")</f>
        <v>Есть в 1С</v>
      </c>
      <c r="AU67" s="96" t="str">
        <f ca="1">VLOOKUP(V67,Товары!A:B,2,FALSE)</f>
        <v>02-182-20</v>
      </c>
      <c r="AV67" s="94" t="str">
        <f ca="1">VLOOKUP(V67,Товары!A:B,1,FALSE)</f>
        <v>Шляпа STETSON арт. 2541114 TRAVELLER DELAVE (песочный) {76}</v>
      </c>
    </row>
    <row r="68" spans="1:48" x14ac:dyDescent="0.25">
      <c r="A68" s="110" t="str">
        <f t="shared" ca="1" si="11"/>
        <v>02-182-09</v>
      </c>
      <c r="B68" s="107" t="str">
        <f ca="1">_xlfn.LET(_xlpm.CAPS,1,_xlpm.Style,TRIM(_xlfn.XLOOKUP($A68,Строчный!$A:$A,Строчный!B:B,"ERR",0)),IF(_xlpm.CAPS=0,_xlpm.Style,UPPER(_xlpm.Style)))</f>
        <v>2541114 TRAVELLER DELAVE</v>
      </c>
      <c r="C68" s="81" t="str">
        <f ca="1">TRIM(PROPER(_xlfn.XLOOKUP($A68,Строчный!$A:$A,Строчный!C:C,"ERR",0)))</f>
        <v>Шляпы</v>
      </c>
      <c r="D68" s="81" t="str">
        <f ca="1">_xlfn.LET(_xlpm.DATA,TRIM(_xlfn.XLOOKUP($A68,Строчный!$A:$A,Строчный!D:D,"ERR",0)),UPPER(MID(_xlpm.DATA,1,1))&amp;LOWER(MID(_xlpm.DATA,2,LEN(_xlpm.DATA)-1)))</f>
        <v>Шляпа федора</v>
      </c>
      <c r="E68" s="81" t="str">
        <f ca="1">PROPER(TRIM(_xlfn.XLOOKUP($A68,Строчный!$A:$A,Строчный!E:E,"ERR",0)))</f>
        <v>Stetson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STETSON</v>
      </c>
      <c r="H68" s="81" t="str">
        <f ca="1">LOWER(TRIM(_xlfn.XLOOKUP($A68,Строчный!$A:$A,Строчный!H:H,"ERR",0)))</f>
        <v>1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100% хлопок / Подклад: 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Шри-Ланка</v>
      </c>
      <c r="N68" s="81" t="str">
        <f ca="1">UPPER(TRIM(_xlfn.XLOOKUP($A68,Строчный!$A:$A,Строчный!O:O,"ERR",0)))</f>
        <v/>
      </c>
      <c r="O68" s="107" t="str">
        <f ca="1">PROPER(TRIM(_xlfn.XLOOKUP($A68,Строчный!$A:$A,Строчный!P:P,"ERR",0)))</f>
        <v/>
      </c>
      <c r="P68" s="90">
        <f ca="1">VALUE(_xlfn.XLOOKUP($A68,Строчный!$A:$A,Строчный!N:N,"ERR",0))</f>
        <v>2128.328</v>
      </c>
      <c r="Q68" s="89" t="str">
        <f ca="1">_xlfn.XLOOKUP($G68,Фабрика!A:A,Фабрика!B:B,"ERR",0)</f>
        <v>Friedrich W. Schneider GmbH &amp; Co. KG; Oskar-Schindler-Str. 11, D 50769 Köln, Germany</v>
      </c>
      <c r="R68" s="80" t="str">
        <f ca="1">_xlfn.XLOOKUP(RIGHT(Z68,2),Размеры!D:D,Размеры!A:A,"ERR",0)</f>
        <v>59</v>
      </c>
      <c r="S68" s="80">
        <f ca="1">VALUE(_xlfn.XLOOKUP($Z68,Строчный!$R:$R,Строчный!T:T,"ERR",0))</f>
        <v>2</v>
      </c>
      <c r="T68" s="14" t="s">
        <v>265</v>
      </c>
      <c r="U68" s="101" t="str">
        <f t="shared" ca="1" si="12"/>
        <v>Шляпа STETSON арт. 2541114 TRAVELLER DELAVE (черный)</v>
      </c>
      <c r="V68" s="100" t="str">
        <f t="shared" ca="1" si="13"/>
        <v>Шляпа STETSON арт. 2541114 TRAVELLER DELAVE (черный) {1}</v>
      </c>
      <c r="W68" s="18" t="str">
        <f t="shared" ca="1" si="9"/>
        <v>черный</v>
      </c>
      <c r="X68" s="18" t="str">
        <f t="shared" ca="1" si="10"/>
        <v>черный</v>
      </c>
      <c r="Y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Z68" s="73" t="str">
        <f ca="1"/>
        <v>02-182-09-59</v>
      </c>
      <c r="AA68" s="75" t="str">
        <f ca="1">VLOOKUP(C68,Группа!A:B,2,FALSE)</f>
        <v>Шляпа</v>
      </c>
      <c r="AB68" s="97" t="str">
        <f ca="1">IFERROR(VLOOKUP(R68,Размеры!A:C,3,FALSE),"")</f>
        <v>59 L</v>
      </c>
      <c r="AC68" s="97" t="str">
        <f ca="1">VLOOKUP(I68,ЦветПолный!A:B,2,FALSE)</f>
        <v>09</v>
      </c>
      <c r="AD68" s="97" t="str">
        <f ca="1">IFERROR(VLOOKUP(R68,Размеры!A:D,4,FALSE),"")</f>
        <v>59</v>
      </c>
      <c r="AE68" s="97">
        <f ca="1">IF(LEFT(IFERROR(VLOOKUP(LOOKUP(2,1/SEARCH(B68,Товары!A:A),Товары!A:A),Товары!A:B,2,0),""),6)=MID(Z68,1,6),1,0)</f>
        <v>1</v>
      </c>
      <c r="AG68" s="97">
        <f ca="1">SUMIF(Группа!A:A,C68,Группа!C:C)</f>
        <v>1</v>
      </c>
      <c r="AH68" s="97">
        <f ca="1">SUMIF(Группа!B:B,AA68,Группа!C:C)</f>
        <v>1</v>
      </c>
      <c r="AI68" s="97">
        <f ca="1">SUMIF(Формы!A:A,D68,Формы!B:B)</f>
        <v>1</v>
      </c>
      <c r="AJ68" s="97">
        <f ca="1">SUMIF(Материал!A:A,K68,Материал!B:B)</f>
        <v>1</v>
      </c>
      <c r="AK68" s="97">
        <f ca="1">SUMIF(Размеры!A:A,R68,Размеры!E:E)</f>
        <v>1</v>
      </c>
      <c r="AL68" s="97">
        <f ca="1">SUMIF(Сезон!A:A,F68,Сезон!B:B)</f>
        <v>1</v>
      </c>
      <c r="AM68" s="97">
        <f ca="1">SUMIF(Состав!A:A,J68,Состав!B:B)</f>
        <v>0</v>
      </c>
      <c r="AN68" s="97">
        <f ca="1">VLOOKUP(I68,ЦветПолный!A:C,3,0)</f>
        <v>1</v>
      </c>
      <c r="AO68" s="97">
        <f ca="1">SUMIF(Цвет!A:A,Y68,Цвет!B:B)</f>
        <v>1</v>
      </c>
      <c r="AP68" s="97">
        <f ca="1">_xlfn.XLOOKUP(L68,Пол!A:A,Пол!B:B,0,0)</f>
        <v>1</v>
      </c>
      <c r="AQ68" s="97">
        <f ca="1">SUMIF(Марка!A:A,G68,Марка!B:B)</f>
        <v>1</v>
      </c>
      <c r="AR68" s="97">
        <f ca="1">SUMIF(Страна!A:A,M68,Страна!B:B)</f>
        <v>1</v>
      </c>
      <c r="AS68" s="64" t="str">
        <f ca="1">IF(VLOOKUP(V68,Товары!A:B,2,FALSE)=A68,"Есть в 1С","ERR")</f>
        <v>Есть в 1С</v>
      </c>
      <c r="AT68" s="65" t="str">
        <f ca="1">IF(VLOOKUP(A68,Товары!B:B,1,FALSE)=A68,"Есть в 1С","ERR")</f>
        <v>Есть в 1С</v>
      </c>
      <c r="AU68" s="96" t="str">
        <f ca="1">VLOOKUP(V68,Товары!A:B,2,FALSE)</f>
        <v>02-182-09</v>
      </c>
      <c r="AV68" s="94" t="str">
        <f ca="1">VLOOKUP(V68,Товары!A:B,1,FALSE)</f>
        <v>Шляпа STETSON арт. 2541114 TRAVELLER DELAVE (черный) {1}</v>
      </c>
    </row>
    <row r="69" spans="1:48" x14ac:dyDescent="0.25">
      <c r="A69" s="110" t="str">
        <f t="shared" ca="1" si="11"/>
        <v>02-181-36</v>
      </c>
      <c r="B69" s="107" t="str">
        <f ca="1">_xlfn.LET(_xlpm.CAPS,1,_xlpm.Style,TRIM(_xlfn.XLOOKUP($A69,Строчный!$A:$A,Строчный!B:B,"ERR",0)),IF(_xlpm.CAPS=0,_xlpm.Style,UPPER(_xlpm.Style)))</f>
        <v>2541109 TRAVELLER COTTON</v>
      </c>
      <c r="C69" s="81" t="str">
        <f ca="1">TRIM(PROPER(_xlfn.XLOOKUP($A69,Строчный!$A:$A,Строчный!C:C,"ERR",0)))</f>
        <v>Шляпы</v>
      </c>
      <c r="D69" s="81" t="str">
        <f ca="1">_xlfn.LET(_xlpm.DATA,TRIM(_xlfn.XLOOKUP($A69,Строчный!$A:$A,Строчный!D:D,"ERR",0)),UPPER(MID(_xlpm.DATA,1,1))&amp;LOWER(MID(_xlpm.DATA,2,LEN(_xlpm.DATA)-1)))</f>
        <v>Шляпа федора</v>
      </c>
      <c r="E69" s="81" t="str">
        <f ca="1">PROPER(TRIM(_xlfn.XLOOKUP($A69,Строчный!$A:$A,Строчный!E:E,"ERR",0)))</f>
        <v>Stetson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STETSON</v>
      </c>
      <c r="H69" s="81" t="str">
        <f ca="1">LOWER(TRIM(_xlfn.XLOOKUP($A69,Строчный!$A:$A,Строчный!H:H,"ERR",0)))</f>
        <v>71</v>
      </c>
      <c r="I69" s="81" t="str">
        <f ca="1">LOWER(TRIM(_xlfn.XLOOKUP($A69,Строчный!$A:$A,Строчный!I:I,"ERR",0)))</f>
        <v>кремовый</v>
      </c>
      <c r="J69" s="81" t="str">
        <f ca="1">SUBSTITUTE(LOWER(TRIM(_xlfn.XLOOKUP($A69,Строчный!$A:$A,Строчный!J:J,"ERR",0))),"подклад","Подклад")</f>
        <v>100% хлопок / Подклад: 100%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Шри-Ланка</v>
      </c>
      <c r="N69" s="81" t="str">
        <f ca="1">UPPER(TRIM(_xlfn.XLOOKUP($A69,Строчный!$A:$A,Строчный!O:O,"ERR",0)))</f>
        <v/>
      </c>
      <c r="O69" s="107" t="str">
        <f ca="1">PROPER(TRIM(_xlfn.XLOOKUP($A69,Строчный!$A:$A,Строчный!P:P,"ERR",0)))</f>
        <v/>
      </c>
      <c r="P69" s="90">
        <f ca="1">VALUE(_xlfn.XLOOKUP($A69,Строчный!$A:$A,Строчный!N:N,"ERR",0))</f>
        <v>1811.8479999999997</v>
      </c>
      <c r="Q69" s="89" t="str">
        <f ca="1">_xlfn.XLOOKUP($G69,Фабрика!A:A,Фабрика!B:B,"ERR",0)</f>
        <v>Friedrich W. Schneider GmbH &amp; Co. KG; Oskar-Schindler-Str. 11, D 50769 Köln, Germany</v>
      </c>
      <c r="R69" s="80" t="str">
        <f ca="1">_xlfn.XLOOKUP(RIGHT(Z69,2),Размеры!D:D,Размеры!A:A,"ERR",0)</f>
        <v>63</v>
      </c>
      <c r="S69" s="80">
        <f ca="1">VALUE(_xlfn.XLOOKUP($Z69,Строчный!$R:$R,Строчный!T:T,"ERR",0))</f>
        <v>4</v>
      </c>
      <c r="T69" s="14" t="s">
        <v>265</v>
      </c>
      <c r="U69" s="101" t="str">
        <f t="shared" ca="1" si="12"/>
        <v>Шляпа STETSON арт. 2541109 TRAVELLER COTTON (кремовый)</v>
      </c>
      <c r="V69" s="100" t="str">
        <f t="shared" ca="1" si="13"/>
        <v>Шляпа STETSON арт. 2541109 TRAVELLER COTTON (кремовый) {71}</v>
      </c>
      <c r="W69" s="18" t="str">
        <f t="shared" ca="1" si="9"/>
        <v>кремовый</v>
      </c>
      <c r="X69" s="18" t="str">
        <f t="shared" ca="1" si="10"/>
        <v>кремовый</v>
      </c>
      <c r="Y69" s="117" t="str">
        <f ca="1">_xlfn.LET(_xlpm.FormColors,_xlfn.XLOOKUP(A69,Строчный!A:A,Строчный!Q:Q,"",0),IF(_xlpm.FormColors=0,IFERROR(MID(I69,FIND("-",I69)+1,LEN(I69)),IFERROR(MID(I69,1,FIND("/",I69)-2),I69)),_xlpm.FormColors))</f>
        <v>бежевый</v>
      </c>
      <c r="Z69" s="73" t="str">
        <f ca="1"/>
        <v>02-181-36-63</v>
      </c>
      <c r="AA69" s="75" t="str">
        <f ca="1">VLOOKUP(C69,Группа!A:B,2,FALSE)</f>
        <v>Шляпа</v>
      </c>
      <c r="AB69" s="97" t="str">
        <f ca="1">IFERROR(VLOOKUP(R69,Размеры!A:C,3,FALSE),"")</f>
        <v>63 XXL</v>
      </c>
      <c r="AC69" s="97" t="str">
        <f ca="1">VLOOKUP(I69,ЦветПолный!A:B,2,FALSE)</f>
        <v>36</v>
      </c>
      <c r="AD69" s="97" t="str">
        <f ca="1">IFERROR(VLOOKUP(R69,Размеры!A:D,4,FALSE),"")</f>
        <v>63</v>
      </c>
      <c r="AE69" s="97">
        <f ca="1">IF(LEFT(IFERROR(VLOOKUP(LOOKUP(2,1/SEARCH(B69,Товары!A:A),Товары!A:A),Товары!A:B,2,0),""),6)=MID(Z69,1,6),1,0)</f>
        <v>1</v>
      </c>
      <c r="AG69" s="97">
        <f ca="1">SUMIF(Группа!A:A,C69,Группа!C:C)</f>
        <v>1</v>
      </c>
      <c r="AH69" s="97">
        <f ca="1">SUMIF(Группа!B:B,AA69,Группа!C:C)</f>
        <v>1</v>
      </c>
      <c r="AI69" s="97">
        <f ca="1">SUMIF(Формы!A:A,D69,Формы!B:B)</f>
        <v>1</v>
      </c>
      <c r="AJ69" s="97">
        <f ca="1">SUMIF(Материал!A:A,K69,Материал!B:B)</f>
        <v>1</v>
      </c>
      <c r="AK69" s="97">
        <f ca="1">SUMIF(Размеры!A:A,R69,Размеры!E:E)</f>
        <v>1</v>
      </c>
      <c r="AL69" s="97">
        <f ca="1">SUMIF(Сезон!A:A,F69,Сезон!B:B)</f>
        <v>1</v>
      </c>
      <c r="AM69" s="97">
        <f ca="1">SUMIF(Состав!A:A,J69,Состав!B:B)</f>
        <v>0</v>
      </c>
      <c r="AN69" s="97">
        <f ca="1">VLOOKUP(I69,ЦветПолный!A:C,3,0)</f>
        <v>1</v>
      </c>
      <c r="AO69" s="97">
        <f ca="1">SUMIF(Цвет!A:A,Y69,Цвет!B:B)</f>
        <v>1</v>
      </c>
      <c r="AP69" s="97">
        <f ca="1">_xlfn.XLOOKUP(L69,Пол!A:A,Пол!B:B,0,0)</f>
        <v>1</v>
      </c>
      <c r="AQ69" s="97">
        <f ca="1">SUMIF(Марка!A:A,G69,Марка!B:B)</f>
        <v>1</v>
      </c>
      <c r="AR69" s="97">
        <f ca="1">SUMIF(Страна!A:A,M69,Страна!B:B)</f>
        <v>1</v>
      </c>
      <c r="AS69" s="64" t="str">
        <f ca="1">IF(VLOOKUP(V69,Товары!A:B,2,FALSE)=A69,"Есть в 1С","ERR")</f>
        <v>Есть в 1С</v>
      </c>
      <c r="AT69" s="65" t="str">
        <f ca="1">IF(VLOOKUP(A69,Товары!B:B,1,FALSE)=A69,"Есть в 1С","ERR")</f>
        <v>Есть в 1С</v>
      </c>
      <c r="AU69" s="96" t="str">
        <f ca="1">VLOOKUP(V69,Товары!A:B,2,FALSE)</f>
        <v>02-181-36</v>
      </c>
      <c r="AV69" s="94" t="str">
        <f ca="1">VLOOKUP(V69,Товары!A:B,1,FALSE)</f>
        <v>Шляпа STETSON арт. 2541109 TRAVELLER COTTON (кремовый) {71}</v>
      </c>
    </row>
    <row r="70" spans="1:48" x14ac:dyDescent="0.25">
      <c r="A70" s="110" t="str">
        <f t="shared" ca="1" si="11"/>
        <v>02-181-36</v>
      </c>
      <c r="B70" s="107" t="str">
        <f ca="1">_xlfn.LET(_xlpm.CAPS,1,_xlpm.Style,TRIM(_xlfn.XLOOKUP($A70,Строчный!$A:$A,Строчный!B:B,"ERR",0)),IF(_xlpm.CAPS=0,_xlpm.Style,UPPER(_xlpm.Style)))</f>
        <v>2541109 TRAVELLER COTTON</v>
      </c>
      <c r="C70" s="81" t="str">
        <f ca="1">TRIM(PROPER(_xlfn.XLOOKUP($A70,Строчный!$A:$A,Строчный!C:C,"ERR",0)))</f>
        <v>Шляпы</v>
      </c>
      <c r="D70" s="81" t="str">
        <f ca="1">_xlfn.LET(_xlpm.DATA,TRIM(_xlfn.XLOOKUP($A70,Строчный!$A:$A,Строчный!D:D,"ERR",0)),UPPER(MID(_xlpm.DATA,1,1))&amp;LOWER(MID(_xlpm.DATA,2,LEN(_xlpm.DATA)-1)))</f>
        <v>Шляпа федора</v>
      </c>
      <c r="E70" s="81" t="str">
        <f ca="1">PROPER(TRIM(_xlfn.XLOOKUP($A70,Строчный!$A:$A,Строчный!E:E,"ERR",0)))</f>
        <v>Stetson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STETSON</v>
      </c>
      <c r="H70" s="81" t="str">
        <f ca="1">LOWER(TRIM(_xlfn.XLOOKUP($A70,Строчный!$A:$A,Строчный!H:H,"ERR",0)))</f>
        <v>71</v>
      </c>
      <c r="I70" s="81" t="str">
        <f ca="1">LOWER(TRIM(_xlfn.XLOOKUP($A70,Строчный!$A:$A,Строчный!I:I,"ERR",0)))</f>
        <v>кремовый</v>
      </c>
      <c r="J70" s="81" t="str">
        <f ca="1">SUBSTITUTE(LOWER(TRIM(_xlfn.XLOOKUP($A70,Строчный!$A:$A,Строчный!J:J,"ERR",0))),"подклад","Подклад")</f>
        <v>100% хлопок / Подклад: 100%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Шри-Ланка</v>
      </c>
      <c r="N70" s="81" t="str">
        <f ca="1">UPPER(TRIM(_xlfn.XLOOKUP($A70,Строчный!$A:$A,Строчный!O:O,"ERR",0)))</f>
        <v/>
      </c>
      <c r="O70" s="107" t="str">
        <f ca="1">PROPER(TRIM(_xlfn.XLOOKUP($A70,Строчный!$A:$A,Строчный!P:P,"ERR",0)))</f>
        <v/>
      </c>
      <c r="P70" s="90">
        <f ca="1">VALUE(_xlfn.XLOOKUP($A70,Строчный!$A:$A,Строчный!N:N,"ERR",0))</f>
        <v>1811.8479999999997</v>
      </c>
      <c r="Q70" s="89" t="str">
        <f ca="1">_xlfn.XLOOKUP($G70,Фабрика!A:A,Фабрика!B:B,"ERR",0)</f>
        <v>Friedrich W. Schneider GmbH &amp; Co. KG; Oskar-Schindler-Str. 11, D 50769 Köln, Germany</v>
      </c>
      <c r="R70" s="80" t="str">
        <f ca="1">_xlfn.XLOOKUP(RIGHT(Z70,2),Размеры!D:D,Размеры!A:A,"ERR",0)</f>
        <v>61</v>
      </c>
      <c r="S70" s="80">
        <f ca="1">VALUE(_xlfn.XLOOKUP($Z70,Строчный!$R:$R,Строчный!T:T,"ERR",0))</f>
        <v>4</v>
      </c>
      <c r="T70" s="14" t="s">
        <v>265</v>
      </c>
      <c r="U70" s="101" t="str">
        <f t="shared" ca="1" si="12"/>
        <v>Шляпа STETSON арт. 2541109 TRAVELLER COTTON (кремовый)</v>
      </c>
      <c r="V70" s="100" t="str">
        <f t="shared" ca="1" si="13"/>
        <v>Шляпа STETSON арт. 2541109 TRAVELLER COTTON (кремовый) {71}</v>
      </c>
      <c r="W70" s="18" t="str">
        <f t="shared" ca="1" si="9"/>
        <v>кремовый</v>
      </c>
      <c r="X70" s="18" t="str">
        <f t="shared" ca="1" si="10"/>
        <v>кремовый</v>
      </c>
      <c r="Y70" s="117" t="str">
        <f ca="1">_xlfn.LET(_xlpm.FormColors,_xlfn.XLOOKUP(A70,Строчный!A:A,Строчный!Q:Q,"",0),IF(_xlpm.FormColors=0,IFERROR(MID(I70,FIND("-",I70)+1,LEN(I70)),IFERROR(MID(I70,1,FIND("/",I70)-2),I70)),_xlpm.FormColors))</f>
        <v>бежевый</v>
      </c>
      <c r="Z70" s="73" t="str">
        <f ca="1"/>
        <v>02-181-36-61</v>
      </c>
      <c r="AA70" s="75" t="str">
        <f ca="1">VLOOKUP(C70,Группа!A:B,2,FALSE)</f>
        <v>Шляпа</v>
      </c>
      <c r="AB70" s="97" t="str">
        <f ca="1">IFERROR(VLOOKUP(R70,Размеры!A:C,3,FALSE),"")</f>
        <v>61 XL</v>
      </c>
      <c r="AC70" s="97" t="str">
        <f ca="1">VLOOKUP(I70,ЦветПолный!A:B,2,FALSE)</f>
        <v>36</v>
      </c>
      <c r="AD70" s="97" t="str">
        <f ca="1">IFERROR(VLOOKUP(R70,Размеры!A:D,4,FALSE),"")</f>
        <v>61</v>
      </c>
      <c r="AE70" s="97">
        <f ca="1">IF(LEFT(IFERROR(VLOOKUP(LOOKUP(2,1/SEARCH(B70,Товары!A:A),Товары!A:A),Товары!A:B,2,0),""),6)=MID(Z70,1,6),1,0)</f>
        <v>1</v>
      </c>
      <c r="AG70" s="97">
        <f ca="1">SUMIF(Группа!A:A,C70,Группа!C:C)</f>
        <v>1</v>
      </c>
      <c r="AH70" s="97">
        <f ca="1">SUMIF(Группа!B:B,AA70,Группа!C:C)</f>
        <v>1</v>
      </c>
      <c r="AI70" s="97">
        <f ca="1">SUMIF(Формы!A:A,D70,Формы!B:B)</f>
        <v>1</v>
      </c>
      <c r="AJ70" s="97">
        <f ca="1">SUMIF(Материал!A:A,K70,Материал!B:B)</f>
        <v>1</v>
      </c>
      <c r="AK70" s="97">
        <f ca="1">SUMIF(Размеры!A:A,R70,Размеры!E:E)</f>
        <v>1</v>
      </c>
      <c r="AL70" s="97">
        <f ca="1">SUMIF(Сезон!A:A,F70,Сезон!B:B)</f>
        <v>1</v>
      </c>
      <c r="AM70" s="97">
        <f ca="1">SUMIF(Состав!A:A,J70,Состав!B:B)</f>
        <v>0</v>
      </c>
      <c r="AN70" s="97">
        <f ca="1">VLOOKUP(I70,ЦветПолный!A:C,3,0)</f>
        <v>1</v>
      </c>
      <c r="AO70" s="97">
        <f ca="1">SUMIF(Цвет!A:A,Y70,Цвет!B:B)</f>
        <v>1</v>
      </c>
      <c r="AP70" s="97">
        <f ca="1">_xlfn.XLOOKUP(L70,Пол!A:A,Пол!B:B,0,0)</f>
        <v>1</v>
      </c>
      <c r="AQ70" s="97">
        <f ca="1">SUMIF(Марка!A:A,G70,Марка!B:B)</f>
        <v>1</v>
      </c>
      <c r="AR70" s="97">
        <f ca="1">SUMIF(Страна!A:A,M70,Страна!B:B)</f>
        <v>1</v>
      </c>
      <c r="AS70" s="64" t="str">
        <f ca="1">IF(VLOOKUP(V70,Товары!A:B,2,FALSE)=A70,"Есть в 1С","ERR")</f>
        <v>Есть в 1С</v>
      </c>
      <c r="AT70" s="65" t="str">
        <f ca="1">IF(VLOOKUP(A70,Товары!B:B,1,FALSE)=A70,"Есть в 1С","ERR")</f>
        <v>Есть в 1С</v>
      </c>
      <c r="AU70" s="96" t="str">
        <f ca="1">VLOOKUP(V70,Товары!A:B,2,FALSE)</f>
        <v>02-181-36</v>
      </c>
      <c r="AV70" s="94" t="str">
        <f ca="1">VLOOKUP(V70,Товары!A:B,1,FALSE)</f>
        <v>Шляпа STETSON арт. 2541109 TRAVELLER COTTON (кремовый) {71}</v>
      </c>
    </row>
    <row r="71" spans="1:48" x14ac:dyDescent="0.25">
      <c r="A71" s="110" t="str">
        <f t="shared" ca="1" si="11"/>
        <v>02-170-02</v>
      </c>
      <c r="B71" s="107" t="str">
        <f ca="1">_xlfn.LET(_xlpm.CAPS,1,_xlpm.Style,TRIM(_xlfn.XLOOKUP($A71,Строчный!$A:$A,Строчный!B:B,"ERR",0)),IF(_xlpm.CAPS=0,_xlpm.Style,UPPER(_xlpm.Style)))</f>
        <v>2458401 TRAVELLER PANAMA</v>
      </c>
      <c r="C71" s="81" t="str">
        <f ca="1">TRIM(PROPER(_xlfn.XLOOKUP($A71,Строчный!$A:$A,Строчный!C:C,"ERR",0)))</f>
        <v>Шляпы</v>
      </c>
      <c r="D71" s="81" t="str">
        <f ca="1">_xlfn.LET(_xlpm.DATA,TRIM(_xlfn.XLOOKUP($A71,Строчный!$A:$A,Строчный!D:D,"ERR",0)),UPPER(MID(_xlpm.DATA,1,1))&amp;LOWER(MID(_xlpm.DATA,2,LEN(_xlpm.DATA)-1)))</f>
        <v>Шляпа федора</v>
      </c>
      <c r="E71" s="81" t="str">
        <f ca="1">PROPER(TRIM(_xlfn.XLOOKUP($A71,Строчный!$A:$A,Строчный!E:E,"ERR",0)))</f>
        <v>Stetson</v>
      </c>
      <c r="F71" s="81" t="str">
        <f ca="1">LOWER(TRIM(_xlfn.XLOOKUP($A71,Строчный!$A:$A,Строчный!F:F,"ERR",0)))</f>
        <v>летний</v>
      </c>
      <c r="G71" s="81" t="str">
        <f ca="1">UPPER(TRIM(_xlfn.XLOOKUP($A71,Строчный!$A:$A,Строчный!G:G,"ERR",0)))</f>
        <v>STETSON</v>
      </c>
      <c r="H71" s="81" t="str">
        <f ca="1">LOWER(TRIM(_xlfn.XLOOKUP($A71,Строчный!$A:$A,Строчный!H:H,"ERR",0)))</f>
        <v>7</v>
      </c>
      <c r="I71" s="81" t="str">
        <f ca="1">LOWER(TRIM(_xlfn.XLOOKUP($A71,Строчный!$A:$A,Строчный!I:I,"ERR",0)))</f>
        <v>бежевый</v>
      </c>
      <c r="J71" s="81" t="str">
        <f ca="1">SUBSTITUTE(LOWER(TRIM(_xlfn.XLOOKUP($A71,Строчный!$A:$A,Строчный!J:J,"ERR",0))),"подклад","Подклад")</f>
        <v>100% солома / Подклад: 68% хлопок - 32% полиэстер</v>
      </c>
      <c r="K71" s="81" t="str">
        <f ca="1">LOWER(TRIM(_xlfn.XLOOKUP($A71,Строчный!$A:$A,Строчный!K:K,"ERR",0)))</f>
        <v>соломенные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Италия</v>
      </c>
      <c r="N71" s="81" t="str">
        <f ca="1">UPPER(TRIM(_xlfn.XLOOKUP($A71,Строчный!$A:$A,Строчный!O:O,"ERR",0)))</f>
        <v/>
      </c>
      <c r="O71" s="107" t="str">
        <f ca="1">PROPER(TRIM(_xlfn.XLOOKUP($A71,Строчный!$A:$A,Строчный!P:P,"ERR",0)))</f>
        <v/>
      </c>
      <c r="P71" s="90">
        <f ca="1">VALUE(_xlfn.XLOOKUP($A71,Строчный!$A:$A,Строчный!N:N,"ERR",0))</f>
        <v>9098.7999999999993</v>
      </c>
      <c r="Q71" s="89" t="str">
        <f ca="1">_xlfn.XLOOKUP($G71,Фабрика!A:A,Фабрика!B:B,"ERR",0)</f>
        <v>Friedrich W. Schneider GmbH &amp; Co. KG; Oskar-Schindler-Str. 11, D 50769 Köln, Germany</v>
      </c>
      <c r="R71" s="80" t="str">
        <f ca="1">_xlfn.XLOOKUP(RIGHT(Z71,2),Размеры!D:D,Размеры!A:A,"ERR",0)</f>
        <v>61</v>
      </c>
      <c r="S71" s="80">
        <f ca="1">VALUE(_xlfn.XLOOKUP($Z71,Строчный!$R:$R,Строчный!T:T,"ERR",0))</f>
        <v>1</v>
      </c>
      <c r="T71" s="14" t="s">
        <v>265</v>
      </c>
      <c r="U71" s="101" t="str">
        <f t="shared" ca="1" si="12"/>
        <v>Шляпа STETSON арт. 2458401 TRAVELLER PANAMA (бежевый)</v>
      </c>
      <c r="V71" s="100" t="str">
        <f t="shared" ca="1" si="13"/>
        <v>Шляпа STETSON арт. 2458401 TRAVELLER PANAMA (бежевый) {7}</v>
      </c>
      <c r="W71" s="18" t="str">
        <f t="shared" ca="1" si="9"/>
        <v>бежевый</v>
      </c>
      <c r="X71" s="18" t="str">
        <f t="shared" ca="1" si="10"/>
        <v>бежевый</v>
      </c>
      <c r="Y71" s="117" t="str">
        <f ca="1">_xlfn.LET(_xlpm.FormColors,_xlfn.XLOOKUP(A71,Строчный!A:A,Строчный!Q:Q,"",0),IF(_xlpm.FormColors=0,IFERROR(MID(I71,FIND("-",I71)+1,LEN(I71)),IFERROR(MID(I71,1,FIND("/",I71)-2),I71)),_xlpm.FormColors))</f>
        <v>бежевый</v>
      </c>
      <c r="Z71" s="73" t="str">
        <f ca="1"/>
        <v>02-170-02-61</v>
      </c>
      <c r="AA71" s="75" t="str">
        <f ca="1">VLOOKUP(C71,Группа!A:B,2,FALSE)</f>
        <v>Шляпа</v>
      </c>
      <c r="AB71" s="97" t="str">
        <f ca="1">IFERROR(VLOOKUP(R71,Размеры!A:C,3,FALSE),"")</f>
        <v>61 XL</v>
      </c>
      <c r="AC71" s="97" t="str">
        <f ca="1">VLOOKUP(I71,ЦветПолный!A:B,2,FALSE)</f>
        <v>02</v>
      </c>
      <c r="AD71" s="97" t="str">
        <f ca="1">IFERROR(VLOOKUP(R71,Размеры!A:D,4,FALSE),"")</f>
        <v>61</v>
      </c>
      <c r="AE71" s="97">
        <f ca="1">IF(LEFT(IFERROR(VLOOKUP(LOOKUP(2,1/SEARCH(B71,Товары!A:A),Товары!A:A),Товары!A:B,2,0),""),6)=MID(Z71,1,6),1,0)</f>
        <v>1</v>
      </c>
      <c r="AG71" s="97">
        <f ca="1">SUMIF(Группа!A:A,C71,Группа!C:C)</f>
        <v>1</v>
      </c>
      <c r="AH71" s="97">
        <f ca="1">SUMIF(Группа!B:B,AA71,Группа!C:C)</f>
        <v>1</v>
      </c>
      <c r="AI71" s="97">
        <f ca="1">SUMIF(Формы!A:A,D71,Формы!B:B)</f>
        <v>1</v>
      </c>
      <c r="AJ71" s="97">
        <f ca="1">SUMIF(Материал!A:A,K71,Материал!B:B)</f>
        <v>1</v>
      </c>
      <c r="AK71" s="97">
        <f ca="1">SUMIF(Размеры!A:A,R71,Размеры!E:E)</f>
        <v>1</v>
      </c>
      <c r="AL71" s="97">
        <f ca="1">SUMIF(Сезон!A:A,F71,Сезон!B:B)</f>
        <v>1</v>
      </c>
      <c r="AM71" s="97">
        <f ca="1">SUMIF(Состав!A:A,J71,Состав!B:B)</f>
        <v>0</v>
      </c>
      <c r="AN71" s="97">
        <f ca="1">VLOOKUP(I71,ЦветПолный!A:C,3,0)</f>
        <v>1</v>
      </c>
      <c r="AO71" s="97">
        <f ca="1">SUMIF(Цвет!A:A,Y71,Цвет!B:B)</f>
        <v>1</v>
      </c>
      <c r="AP71" s="97">
        <f ca="1">_xlfn.XLOOKUP(L71,Пол!A:A,Пол!B:B,0,0)</f>
        <v>1</v>
      </c>
      <c r="AQ71" s="97">
        <f ca="1">SUMIF(Марка!A:A,G71,Марка!B:B)</f>
        <v>1</v>
      </c>
      <c r="AR71" s="97">
        <f ca="1">SUMIF(Страна!A:A,M71,Страна!B:B)</f>
        <v>1</v>
      </c>
      <c r="AS71" s="64" t="str">
        <f ca="1">IF(VLOOKUP(V71,Товары!A:B,2,FALSE)=A71,"Есть в 1С","ERR")</f>
        <v>Есть в 1С</v>
      </c>
      <c r="AT71" s="65" t="str">
        <f ca="1">IF(VLOOKUP(A71,Товары!B:B,1,FALSE)=A71,"Есть в 1С","ERR")</f>
        <v>Есть в 1С</v>
      </c>
      <c r="AU71" s="96" t="str">
        <f ca="1">VLOOKUP(V71,Товары!A:B,2,FALSE)</f>
        <v>02-170-02</v>
      </c>
      <c r="AV71" s="94" t="str">
        <f ca="1">VLOOKUP(V71,Товары!A:B,1,FALSE)</f>
        <v>Шляпа STETSON арт. 2458401 TRAVELLER PANAMA (бежевый) {7}</v>
      </c>
    </row>
    <row r="72" spans="1:48" x14ac:dyDescent="0.25">
      <c r="A72" s="110" t="str">
        <f t="shared" ca="1" si="11"/>
        <v>02-170-02</v>
      </c>
      <c r="B72" s="107" t="str">
        <f ca="1">_xlfn.LET(_xlpm.CAPS,1,_xlpm.Style,TRIM(_xlfn.XLOOKUP($A72,Строчный!$A:$A,Строчный!B:B,"ERR",0)),IF(_xlpm.CAPS=0,_xlpm.Style,UPPER(_xlpm.Style)))</f>
        <v>2458401 TRAVELLER PANAMA</v>
      </c>
      <c r="C72" s="81" t="str">
        <f ca="1">TRIM(PROPER(_xlfn.XLOOKUP($A72,Строчный!$A:$A,Строчный!C:C,"ERR",0)))</f>
        <v>Шляпы</v>
      </c>
      <c r="D72" s="81" t="str">
        <f ca="1">_xlfn.LET(_xlpm.DATA,TRIM(_xlfn.XLOOKUP($A72,Строчный!$A:$A,Строчный!D:D,"ERR",0)),UPPER(MID(_xlpm.DATA,1,1))&amp;LOWER(MID(_xlpm.DATA,2,LEN(_xlpm.DATA)-1)))</f>
        <v>Шляпа федора</v>
      </c>
      <c r="E72" s="81" t="str">
        <f ca="1">PROPER(TRIM(_xlfn.XLOOKUP($A72,Строчный!$A:$A,Строчный!E:E,"ERR",0)))</f>
        <v>Stetson</v>
      </c>
      <c r="F72" s="81" t="str">
        <f ca="1">LOWER(TRIM(_xlfn.XLOOKUP($A72,Строчный!$A:$A,Строчный!F:F,"ERR",0)))</f>
        <v>летний</v>
      </c>
      <c r="G72" s="81" t="str">
        <f ca="1">UPPER(TRIM(_xlfn.XLOOKUP($A72,Строчный!$A:$A,Строчный!G:G,"ERR",0)))</f>
        <v>STETSON</v>
      </c>
      <c r="H72" s="81" t="str">
        <f ca="1">LOWER(TRIM(_xlfn.XLOOKUP($A72,Строчный!$A:$A,Строчный!H:H,"ERR",0)))</f>
        <v>7</v>
      </c>
      <c r="I72" s="81" t="str">
        <f ca="1">LOWER(TRIM(_xlfn.XLOOKUP($A72,Строчный!$A:$A,Строчный!I:I,"ERR",0)))</f>
        <v>бежевый</v>
      </c>
      <c r="J72" s="81" t="str">
        <f ca="1">SUBSTITUTE(LOWER(TRIM(_xlfn.XLOOKUP($A72,Строчный!$A:$A,Строчный!J:J,"ERR",0))),"подклад","Подклад")</f>
        <v>100% солома / Подклад: 68% хлопок - 32% полиэстер</v>
      </c>
      <c r="K72" s="81" t="str">
        <f ca="1">LOWER(TRIM(_xlfn.XLOOKUP($A72,Строчный!$A:$A,Строчный!K:K,"ERR",0)))</f>
        <v>соломенные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Италия</v>
      </c>
      <c r="N72" s="81" t="str">
        <f ca="1">UPPER(TRIM(_xlfn.XLOOKUP($A72,Строчный!$A:$A,Строчный!O:O,"ERR",0)))</f>
        <v/>
      </c>
      <c r="O72" s="107" t="str">
        <f ca="1">PROPER(TRIM(_xlfn.XLOOKUP($A72,Строчный!$A:$A,Строчный!P:P,"ERR",0)))</f>
        <v/>
      </c>
      <c r="P72" s="90">
        <f ca="1">VALUE(_xlfn.XLOOKUP($A72,Строчный!$A:$A,Строчный!N:N,"ERR",0))</f>
        <v>9098.7999999999993</v>
      </c>
      <c r="Q72" s="89" t="str">
        <f ca="1">_xlfn.XLOOKUP($G72,Фабрика!A:A,Фабрика!B:B,"ERR",0)</f>
        <v>Friedrich W. Schneider GmbH &amp; Co. KG; Oskar-Schindler-Str. 11, D 50769 Köln, Germany</v>
      </c>
      <c r="R72" s="80" t="str">
        <f ca="1">_xlfn.XLOOKUP(RIGHT(Z72,2),Размеры!D:D,Размеры!A:A,"ERR",0)</f>
        <v>59</v>
      </c>
      <c r="S72" s="80">
        <f ca="1">VALUE(_xlfn.XLOOKUP($Z72,Строчный!$R:$R,Строчный!T:T,"ERR",0))</f>
        <v>1</v>
      </c>
      <c r="T72" s="14" t="s">
        <v>265</v>
      </c>
      <c r="U72" s="101" t="str">
        <f t="shared" ca="1" si="12"/>
        <v>Шляпа STETSON арт. 2458401 TRAVELLER PANAMA (бежевый)</v>
      </c>
      <c r="V72" s="100" t="str">
        <f t="shared" ca="1" si="13"/>
        <v>Шляпа STETSON арт. 2458401 TRAVELLER PANAMA (бежевый) {7}</v>
      </c>
      <c r="W72" s="18" t="str">
        <f t="shared" ca="1" si="9"/>
        <v>бежевый</v>
      </c>
      <c r="X72" s="18" t="str">
        <f t="shared" ca="1" si="10"/>
        <v>бежевый</v>
      </c>
      <c r="Y72" s="117" t="str">
        <f ca="1">_xlfn.LET(_xlpm.FormColors,_xlfn.XLOOKUP(A72,Строчный!A:A,Строчный!Q:Q,"",0),IF(_xlpm.FormColors=0,IFERROR(MID(I72,FIND("-",I72)+1,LEN(I72)),IFERROR(MID(I72,1,FIND("/",I72)-2),I72)),_xlpm.FormColors))</f>
        <v>бежевый</v>
      </c>
      <c r="Z72" s="73" t="str">
        <f ca="1"/>
        <v>02-170-02-59</v>
      </c>
      <c r="AA72" s="75" t="str">
        <f ca="1">VLOOKUP(C72,Группа!A:B,2,FALSE)</f>
        <v>Шляпа</v>
      </c>
      <c r="AB72" s="97" t="str">
        <f ca="1">IFERROR(VLOOKUP(R72,Размеры!A:C,3,FALSE),"")</f>
        <v>59 L</v>
      </c>
      <c r="AC72" s="97" t="str">
        <f ca="1">VLOOKUP(I72,ЦветПолный!A:B,2,FALSE)</f>
        <v>02</v>
      </c>
      <c r="AD72" s="97" t="str">
        <f ca="1">IFERROR(VLOOKUP(R72,Размеры!A:D,4,FALSE),"")</f>
        <v>59</v>
      </c>
      <c r="AE72" s="97">
        <f ca="1">IF(LEFT(IFERROR(VLOOKUP(LOOKUP(2,1/SEARCH(B72,Товары!A:A),Товары!A:A),Товары!A:B,2,0),""),6)=MID(Z72,1,6),1,0)</f>
        <v>1</v>
      </c>
      <c r="AG72" s="97">
        <f ca="1">SUMIF(Группа!A:A,C72,Группа!C:C)</f>
        <v>1</v>
      </c>
      <c r="AH72" s="97">
        <f ca="1">SUMIF(Группа!B:B,AA72,Группа!C:C)</f>
        <v>1</v>
      </c>
      <c r="AI72" s="97">
        <f ca="1">SUMIF(Формы!A:A,D72,Формы!B:B)</f>
        <v>1</v>
      </c>
      <c r="AJ72" s="97">
        <f ca="1">SUMIF(Материал!A:A,K72,Материал!B:B)</f>
        <v>1</v>
      </c>
      <c r="AK72" s="97">
        <f ca="1">SUMIF(Размеры!A:A,R72,Размеры!E:E)</f>
        <v>1</v>
      </c>
      <c r="AL72" s="97">
        <f ca="1">SUMIF(Сезон!A:A,F72,Сезон!B:B)</f>
        <v>1</v>
      </c>
      <c r="AM72" s="97">
        <f ca="1">SUMIF(Состав!A:A,J72,Состав!B:B)</f>
        <v>0</v>
      </c>
      <c r="AN72" s="97">
        <f ca="1">VLOOKUP(I72,ЦветПолный!A:C,3,0)</f>
        <v>1</v>
      </c>
      <c r="AO72" s="97">
        <f ca="1">SUMIF(Цвет!A:A,Y72,Цвет!B:B)</f>
        <v>1</v>
      </c>
      <c r="AP72" s="97">
        <f ca="1">_xlfn.XLOOKUP(L72,Пол!A:A,Пол!B:B,0,0)</f>
        <v>1</v>
      </c>
      <c r="AQ72" s="97">
        <f ca="1">SUMIF(Марка!A:A,G72,Марка!B:B)</f>
        <v>1</v>
      </c>
      <c r="AR72" s="97">
        <f ca="1">SUMIF(Страна!A:A,M72,Страна!B:B)</f>
        <v>1</v>
      </c>
      <c r="AS72" s="64" t="str">
        <f ca="1">IF(VLOOKUP(V72,Товары!A:B,2,FALSE)=A72,"Есть в 1С","ERR")</f>
        <v>Есть в 1С</v>
      </c>
      <c r="AT72" s="65" t="str">
        <f ca="1">IF(VLOOKUP(A72,Товары!B:B,1,FALSE)=A72,"Есть в 1С","ERR")</f>
        <v>Есть в 1С</v>
      </c>
      <c r="AU72" s="96" t="str">
        <f ca="1">VLOOKUP(V72,Товары!A:B,2,FALSE)</f>
        <v>02-170-02</v>
      </c>
      <c r="AV72" s="94" t="str">
        <f ca="1">VLOOKUP(V72,Товары!A:B,1,FALSE)</f>
        <v>Шляпа STETSON арт. 2458401 TRAVELLER PANAMA (бежевый) {7}</v>
      </c>
    </row>
    <row r="73" spans="1:48" x14ac:dyDescent="0.25">
      <c r="A73" s="110" t="str">
        <f t="shared" ca="1" si="11"/>
        <v>02-019-36</v>
      </c>
      <c r="B73" s="107" t="str">
        <f ca="1">_xlfn.LET(_xlpm.CAPS,1,_xlpm.Style,TRIM(_xlfn.XLOOKUP($A73,Строчный!$A:$A,Строчный!B:B,"ERR",0)),IF(_xlpm.CAPS=0,_xlpm.Style,UPPER(_xlpm.Style)))</f>
        <v>2418502 ARIPEKA</v>
      </c>
      <c r="C73" s="81" t="str">
        <f ca="1">TRIM(PROPER(_xlfn.XLOOKUP($A73,Строчный!$A:$A,Строчный!C:C,"ERR",0)))</f>
        <v>Шляпы</v>
      </c>
      <c r="D73" s="81" t="str">
        <f ca="1">_xlfn.LET(_xlpm.DATA,TRIM(_xlfn.XLOOKUP($A73,Строчный!$A:$A,Строчный!D:D,"ERR",0)),UPPER(MID(_xlpm.DATA,1,1))&amp;LOWER(MID(_xlpm.DATA,2,LEN(_xlpm.DATA)-1)))</f>
        <v>Шляпа федора</v>
      </c>
      <c r="E73" s="81" t="str">
        <f ca="1">PROPER(TRIM(_xlfn.XLOOKUP($A73,Строчный!$A:$A,Строчный!E:E,"ERR",0)))</f>
        <v>Stetson</v>
      </c>
      <c r="F73" s="81" t="str">
        <f ca="1">LOWER(TRIM(_xlfn.XLOOKUP($A73,Строчный!$A:$A,Строчный!F:F,"ERR",0)))</f>
        <v>летний</v>
      </c>
      <c r="G73" s="81" t="str">
        <f ca="1">UPPER(TRIM(_xlfn.XLOOKUP($A73,Строчный!$A:$A,Строчный!G:G,"ERR",0)))</f>
        <v>STETSON</v>
      </c>
      <c r="H73" s="81" t="str">
        <f ca="1">LOWER(TRIM(_xlfn.XLOOKUP($A73,Строчный!$A:$A,Строчный!H:H,"ERR",0)))</f>
        <v>71</v>
      </c>
      <c r="I73" s="81" t="str">
        <f ca="1">LOWER(TRIM(_xlfn.XLOOKUP($A73,Строчный!$A:$A,Строчный!I:I,"ERR",0)))</f>
        <v>кремовый</v>
      </c>
      <c r="J73" s="81" t="str">
        <f ca="1">SUBSTITUTE(LOWER(TRIM(_xlfn.XLOOKUP($A73,Строчный!$A:$A,Строчный!J:J,"ERR",0))),"подклад","Подклад")</f>
        <v>100% вискоза / Подклад: 100% хлопок</v>
      </c>
      <c r="K73" s="81" t="str">
        <f ca="1">LOWER(TRIM(_xlfn.XLOOKUP($A73,Строчный!$A:$A,Строчный!K:K,"ERR",0)))</f>
        <v>бумажные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/>
      </c>
      <c r="O73" s="107" t="str">
        <f ca="1">PROPER(TRIM(_xlfn.XLOOKUP($A73,Строчный!$A:$A,Строчный!P:P,"ERR",0)))</f>
        <v/>
      </c>
      <c r="P73" s="90">
        <f ca="1">VALUE(_xlfn.XLOOKUP($A73,Строчный!$A:$A,Строчный!N:N,"ERR",0))</f>
        <v>2682.1680000000001</v>
      </c>
      <c r="Q73" s="89" t="str">
        <f ca="1">_xlfn.XLOOKUP($G73,Фабрика!A:A,Фабрика!B:B,"ERR",0)</f>
        <v>Friedrich W. Schneider GmbH &amp; Co. KG; Oskar-Schindler-Str. 11, D 50769 Köln, Germany</v>
      </c>
      <c r="R73" s="80" t="str">
        <f ca="1">_xlfn.XLOOKUP(RIGHT(Z73,2),Размеры!D:D,Размеры!A:A,"ERR",0)</f>
        <v>59</v>
      </c>
      <c r="S73" s="80">
        <f ca="1">VALUE(_xlfn.XLOOKUP($Z73,Строчный!$R:$R,Строчный!T:T,"ERR",0))</f>
        <v>4</v>
      </c>
      <c r="T73" s="14" t="s">
        <v>265</v>
      </c>
      <c r="U73" s="101" t="str">
        <f t="shared" ca="1" si="12"/>
        <v>Шляпа STETSON арт. 2418502 ARIPEKA (кремовый)</v>
      </c>
      <c r="V73" s="100" t="str">
        <f t="shared" ca="1" si="13"/>
        <v>Шляпа STETSON арт. 2418502 ARIPEKA (кремовый) {71}</v>
      </c>
      <c r="W73" s="18" t="str">
        <f t="shared" ca="1" si="9"/>
        <v>кремовый</v>
      </c>
      <c r="X73" s="18" t="str">
        <f t="shared" ca="1" si="10"/>
        <v>кремовый</v>
      </c>
      <c r="Y73" s="117" t="str">
        <f ca="1">_xlfn.LET(_xlpm.FormColors,_xlfn.XLOOKUP(A73,Строчный!A:A,Строчный!Q:Q,"",0),IF(_xlpm.FormColors=0,IFERROR(MID(I73,FIND("-",I73)+1,LEN(I73)),IFERROR(MID(I73,1,FIND("/",I73)-2),I73)),_xlpm.FormColors))</f>
        <v>бежевый</v>
      </c>
      <c r="Z73" s="73" t="str">
        <f ca="1"/>
        <v>02-019-36-59</v>
      </c>
      <c r="AA73" s="75" t="str">
        <f ca="1">VLOOKUP(C73,Группа!A:B,2,FALSE)</f>
        <v>Шляпа</v>
      </c>
      <c r="AB73" s="97" t="str">
        <f ca="1">IFERROR(VLOOKUP(R73,Размеры!A:C,3,FALSE),"")</f>
        <v>59 L</v>
      </c>
      <c r="AC73" s="97" t="str">
        <f ca="1">VLOOKUP(I73,ЦветПолный!A:B,2,FALSE)</f>
        <v>36</v>
      </c>
      <c r="AD73" s="97" t="str">
        <f ca="1">IFERROR(VLOOKUP(R73,Размеры!A:D,4,FALSE),"")</f>
        <v>59</v>
      </c>
      <c r="AE73" s="97">
        <f ca="1">IF(LEFT(IFERROR(VLOOKUP(LOOKUP(2,1/SEARCH(B73,Товары!A:A),Товары!A:A),Товары!A:B,2,0),""),6)=MID(Z73,1,6),1,0)</f>
        <v>1</v>
      </c>
      <c r="AG73" s="97">
        <f ca="1">SUMIF(Группа!A:A,C73,Группа!C:C)</f>
        <v>1</v>
      </c>
      <c r="AH73" s="97">
        <f ca="1">SUMIF(Группа!B:B,AA73,Группа!C:C)</f>
        <v>1</v>
      </c>
      <c r="AI73" s="97">
        <f ca="1">SUMIF(Формы!A:A,D73,Формы!B:B)</f>
        <v>1</v>
      </c>
      <c r="AJ73" s="97">
        <f ca="1">SUMIF(Материал!A:A,K73,Материал!B:B)</f>
        <v>1</v>
      </c>
      <c r="AK73" s="97">
        <f ca="1">SUMIF(Размеры!A:A,R73,Размеры!E:E)</f>
        <v>1</v>
      </c>
      <c r="AL73" s="97">
        <f ca="1">SUMIF(Сезон!A:A,F73,Сезон!B:B)</f>
        <v>1</v>
      </c>
      <c r="AM73" s="97">
        <f ca="1">SUMIF(Состав!A:A,J73,Состав!B:B)</f>
        <v>0</v>
      </c>
      <c r="AN73" s="97">
        <f ca="1">VLOOKUP(I73,ЦветПолный!A:C,3,0)</f>
        <v>1</v>
      </c>
      <c r="AO73" s="97">
        <f ca="1">SUMIF(Цвет!A:A,Y73,Цвет!B:B)</f>
        <v>1</v>
      </c>
      <c r="AP73" s="97">
        <f ca="1">_xlfn.XLOOKUP(L73,Пол!A:A,Пол!B:B,0,0)</f>
        <v>1</v>
      </c>
      <c r="AQ73" s="97">
        <f ca="1">SUMIF(Марка!A:A,G73,Марка!B:B)</f>
        <v>1</v>
      </c>
      <c r="AR73" s="97">
        <f ca="1">SUMIF(Страна!A:A,M73,Страна!B:B)</f>
        <v>1</v>
      </c>
      <c r="AS73" s="64" t="str">
        <f ca="1">IF(VLOOKUP(V73,Товары!A:B,2,FALSE)=A73,"Есть в 1С","ERR")</f>
        <v>Есть в 1С</v>
      </c>
      <c r="AT73" s="65" t="str">
        <f ca="1">IF(VLOOKUP(A73,Товары!B:B,1,FALSE)=A73,"Есть в 1С","ERR")</f>
        <v>Есть в 1С</v>
      </c>
      <c r="AU73" s="96" t="str">
        <f ca="1">VLOOKUP(V73,Товары!A:B,2,FALSE)</f>
        <v>02-019-36</v>
      </c>
      <c r="AV73" s="94" t="str">
        <f ca="1">VLOOKUP(V73,Товары!A:B,1,FALSE)</f>
        <v>Шляпа STETSON арт. 2418502 ARIPEKA (кремовый) {71}</v>
      </c>
    </row>
  </sheetData>
  <autoFilter ref="G1:AV73" xr:uid="{00000000-0009-0000-0000-000000000000}"/>
  <conditionalFormatting sqref="AS2">
    <cfRule type="expression" dxfId="51" priority="36">
      <formula>IFERROR(AS2,TRUE)</formula>
    </cfRule>
  </conditionalFormatting>
  <conditionalFormatting sqref="AS3:AS73">
    <cfRule type="expression" dxfId="50" priority="35">
      <formula>IFERROR(AS3,TRUE)</formula>
    </cfRule>
  </conditionalFormatting>
  <conditionalFormatting sqref="AT2">
    <cfRule type="expression" dxfId="49" priority="34">
      <formula>IFERROR(AT2,TRUE)</formula>
    </cfRule>
  </conditionalFormatting>
  <conditionalFormatting sqref="AT3:AT73">
    <cfRule type="expression" dxfId="48" priority="33">
      <formula>IFERROR(AT3,TRUE)</formula>
    </cfRule>
  </conditionalFormatting>
  <conditionalFormatting sqref="AG2 AE1:AE1048576">
    <cfRule type="cellIs" dxfId="47" priority="32" operator="lessThan">
      <formula>1</formula>
    </cfRule>
  </conditionalFormatting>
  <conditionalFormatting sqref="AB2:AR2 AN3:AN73 AP3:AP73">
    <cfRule type="cellIs" dxfId="46" priority="31" operator="lessThan">
      <formula>1</formula>
    </cfRule>
  </conditionalFormatting>
  <conditionalFormatting sqref="AB3:AM73 AO3:AO73 AQ3:AR73">
    <cfRule type="cellIs" dxfId="45" priority="30" operator="lessThan">
      <formula>1</formula>
    </cfRule>
  </conditionalFormatting>
  <conditionalFormatting sqref="Y2:Y1048576">
    <cfRule type="expression" dxfId="44" priority="29">
      <formula>_xludf.isFormula(Y2)</formula>
    </cfRule>
  </conditionalFormatting>
  <conditionalFormatting sqref="AU2">
    <cfRule type="expression" dxfId="43" priority="28">
      <formula>IFERROR(AU2,TRUE)</formula>
    </cfRule>
  </conditionalFormatting>
  <conditionalFormatting sqref="AU3:AV73">
    <cfRule type="expression" dxfId="42" priority="27">
      <formula>IFERROR(AU3,TRUE)</formula>
    </cfRule>
  </conditionalFormatting>
  <conditionalFormatting sqref="AV2">
    <cfRule type="expression" dxfId="41" priority="26">
      <formula>IFERROR(AV2,TRUE)</formula>
    </cfRule>
  </conditionalFormatting>
  <conditionalFormatting sqref="AD2">
    <cfRule type="expression" dxfId="40" priority="21">
      <formula>IF(AD2="00",TRUE,FALSE)</formula>
    </cfRule>
    <cfRule type="expression" dxfId="39" priority="24">
      <formula>ISNUMBER(AD2)</formula>
    </cfRule>
    <cfRule type="expression" dxfId="38" priority="25">
      <formula>IF(AD2="",TRUE,FALSE)</formula>
    </cfRule>
  </conditionalFormatting>
  <conditionalFormatting sqref="AC2:AC73">
    <cfRule type="expression" dxfId="37" priority="22">
      <formula>IF(AC2="00",TRUE,FALSE)</formula>
    </cfRule>
    <cfRule type="expression" dxfId="36" priority="23">
      <formula>ISNUMBER(AC2)</formula>
    </cfRule>
  </conditionalFormatting>
  <conditionalFormatting sqref="AD3:AD73">
    <cfRule type="expression" dxfId="35" priority="18">
      <formula>IF(AD3="00",TRUE,FALSE)</formula>
    </cfRule>
    <cfRule type="expression" dxfId="34" priority="19">
      <formula>ISNUMBER(AD3)</formula>
    </cfRule>
    <cfRule type="expression" dxfId="33" priority="20">
      <formula>IF(AD3="",TRUE,FALSE)</formula>
    </cfRule>
  </conditionalFormatting>
  <conditionalFormatting sqref="AB2">
    <cfRule type="expression" dxfId="32" priority="12">
      <formula>IF(AB2="",TRUE,FALSE)</formula>
    </cfRule>
    <cfRule type="expression" dxfId="31" priority="13">
      <formula>IFERROR(AB2,TRUE)</formula>
    </cfRule>
  </conditionalFormatting>
  <conditionalFormatting sqref="AB3:AB73">
    <cfRule type="expression" dxfId="30" priority="10">
      <formula>IF(AB3="",TRUE,FALSE)</formula>
    </cfRule>
    <cfRule type="expression" dxfId="29" priority="11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28419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28420</v>
      </c>
      <c r="C26" s="119" t="s">
        <v>28420</v>
      </c>
      <c r="D26" s="119" t="s">
        <v>28420</v>
      </c>
      <c r="E26" s="119">
        <v>1</v>
      </c>
    </row>
    <row r="27" spans="1:5" x14ac:dyDescent="0.2">
      <c r="A27" s="119" t="s">
        <v>28421</v>
      </c>
      <c r="C27" s="119" t="s">
        <v>28421</v>
      </c>
      <c r="D27" s="119" t="s">
        <v>28231</v>
      </c>
      <c r="E27" s="119">
        <v>1</v>
      </c>
    </row>
    <row r="28" spans="1:5" x14ac:dyDescent="0.2">
      <c r="A28" s="119" t="s">
        <v>28422</v>
      </c>
      <c r="C28" s="119" t="s">
        <v>28422</v>
      </c>
      <c r="D28" s="119" t="s">
        <v>25332</v>
      </c>
      <c r="E28" s="119">
        <v>1</v>
      </c>
    </row>
    <row r="29" spans="1:5" x14ac:dyDescent="0.2">
      <c r="A29" s="119" t="s">
        <v>28423</v>
      </c>
      <c r="C29" s="119" t="s">
        <v>28423</v>
      </c>
      <c r="D29" s="119" t="s">
        <v>28254</v>
      </c>
      <c r="E29" s="119">
        <v>1</v>
      </c>
    </row>
    <row r="30" spans="1:5" x14ac:dyDescent="0.2">
      <c r="A30" s="119" t="s">
        <v>28424</v>
      </c>
      <c r="C30" s="119" t="s">
        <v>28424</v>
      </c>
      <c r="D30" s="119" t="s">
        <v>25333</v>
      </c>
      <c r="E30" s="119">
        <v>1</v>
      </c>
    </row>
    <row r="31" spans="1:5" x14ac:dyDescent="0.2">
      <c r="A31" s="119" t="s">
        <v>28425</v>
      </c>
      <c r="C31" s="119" t="s">
        <v>28425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28428</v>
      </c>
      <c r="D32" s="119" t="s">
        <v>25334</v>
      </c>
      <c r="E32" s="119">
        <v>1</v>
      </c>
    </row>
    <row r="33" spans="1:5" ht="12.6" customHeight="1" x14ac:dyDescent="0.2">
      <c r="A33" s="119" t="s">
        <v>28426</v>
      </c>
      <c r="C33" s="119" t="s">
        <v>28426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28427</v>
      </c>
      <c r="C35" s="119" t="s">
        <v>28427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2"/>
  <sheetViews>
    <sheetView topLeftCell="A786" workbookViewId="0">
      <selection activeCell="F814" sqref="F814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28419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28410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25419</v>
      </c>
      <c r="B178" s="125" t="s">
        <v>25308</v>
      </c>
      <c r="C178" s="125">
        <v>1</v>
      </c>
    </row>
    <row r="179" spans="1:3" x14ac:dyDescent="0.25">
      <c r="A179" s="125" t="s">
        <v>25417</v>
      </c>
      <c r="B179" s="125" t="s">
        <v>28287</v>
      </c>
      <c r="C179" s="125">
        <v>1</v>
      </c>
    </row>
    <row r="180" spans="1:3" x14ac:dyDescent="0.25">
      <c r="A180" s="125" t="s">
        <v>25375</v>
      </c>
      <c r="B180" s="125" t="s">
        <v>28310</v>
      </c>
      <c r="C180" s="125">
        <v>1</v>
      </c>
    </row>
    <row r="181" spans="1:3" x14ac:dyDescent="0.25">
      <c r="A181" s="125" t="s">
        <v>25414</v>
      </c>
      <c r="B181" s="125" t="s">
        <v>28287</v>
      </c>
      <c r="C181" s="125">
        <v>1</v>
      </c>
    </row>
    <row r="182" spans="1:3" x14ac:dyDescent="0.25">
      <c r="A182" s="125" t="s">
        <v>171</v>
      </c>
      <c r="B182" s="125" t="s">
        <v>25334</v>
      </c>
      <c r="C182" s="125">
        <v>1</v>
      </c>
    </row>
    <row r="183" spans="1:3" x14ac:dyDescent="0.25">
      <c r="A183" s="125" t="s">
        <v>25469</v>
      </c>
      <c r="B183" s="125" t="s">
        <v>28311</v>
      </c>
      <c r="C183" s="125">
        <v>1</v>
      </c>
    </row>
    <row r="184" spans="1:3" x14ac:dyDescent="0.25">
      <c r="A184" s="125" t="s">
        <v>25462</v>
      </c>
      <c r="B184" s="125" t="s">
        <v>28236</v>
      </c>
      <c r="C184" s="125">
        <v>1</v>
      </c>
    </row>
    <row r="185" spans="1:3" x14ac:dyDescent="0.25">
      <c r="A185" s="125" t="s">
        <v>28</v>
      </c>
      <c r="B185" s="125" t="s">
        <v>28226</v>
      </c>
      <c r="C185" s="125">
        <v>1</v>
      </c>
    </row>
    <row r="186" spans="1:3" x14ac:dyDescent="0.25">
      <c r="A186" s="125" t="s">
        <v>25365</v>
      </c>
      <c r="B186" s="125" t="s">
        <v>28249</v>
      </c>
      <c r="C186" s="125">
        <v>1</v>
      </c>
    </row>
    <row r="187" spans="1:3" x14ac:dyDescent="0.25">
      <c r="A187" s="125" t="s">
        <v>97</v>
      </c>
      <c r="B187" s="125" t="s">
        <v>28222</v>
      </c>
      <c r="C187" s="125">
        <v>1</v>
      </c>
    </row>
    <row r="188" spans="1:3" x14ac:dyDescent="0.25">
      <c r="A188" s="125" t="s">
        <v>104</v>
      </c>
      <c r="B188" s="125" t="s">
        <v>28222</v>
      </c>
      <c r="C188" s="125">
        <v>1</v>
      </c>
    </row>
    <row r="189" spans="1:3" x14ac:dyDescent="0.25">
      <c r="A189" s="125" t="s">
        <v>25438</v>
      </c>
      <c r="B189" s="125" t="s">
        <v>28253</v>
      </c>
      <c r="C189" s="125">
        <v>1</v>
      </c>
    </row>
    <row r="190" spans="1:3" x14ac:dyDescent="0.25">
      <c r="A190" s="125" t="s">
        <v>28312</v>
      </c>
      <c r="B190" s="125" t="s">
        <v>28253</v>
      </c>
      <c r="C190" s="125">
        <v>1</v>
      </c>
    </row>
    <row r="191" spans="1:3" x14ac:dyDescent="0.25">
      <c r="A191" s="125" t="s">
        <v>25407</v>
      </c>
      <c r="B191" s="125" t="s">
        <v>28256</v>
      </c>
      <c r="C191" s="125">
        <v>1</v>
      </c>
    </row>
    <row r="192" spans="1:3" x14ac:dyDescent="0.25">
      <c r="A192" s="125" t="s">
        <v>25345</v>
      </c>
      <c r="B192" s="125" t="s">
        <v>28313</v>
      </c>
      <c r="C192" s="125">
        <v>1</v>
      </c>
    </row>
    <row r="193" spans="1:3" x14ac:dyDescent="0.25">
      <c r="A193" s="125" t="s">
        <v>27</v>
      </c>
      <c r="B193" s="125" t="s">
        <v>28227</v>
      </c>
      <c r="C193" s="125">
        <v>1</v>
      </c>
    </row>
    <row r="194" spans="1:3" x14ac:dyDescent="0.25">
      <c r="A194" s="125" t="s">
        <v>25485</v>
      </c>
      <c r="B194" s="125" t="s">
        <v>28311</v>
      </c>
      <c r="C194" s="125">
        <v>1</v>
      </c>
    </row>
    <row r="195" spans="1:3" x14ac:dyDescent="0.25">
      <c r="A195" s="125" t="s">
        <v>27</v>
      </c>
      <c r="B195" s="125" t="s">
        <v>28226</v>
      </c>
      <c r="C195" s="125">
        <v>1</v>
      </c>
    </row>
    <row r="196" spans="1:3" x14ac:dyDescent="0.25">
      <c r="A196" s="125" t="s">
        <v>23</v>
      </c>
      <c r="B196" s="125" t="s">
        <v>28221</v>
      </c>
      <c r="C196" s="125">
        <v>1</v>
      </c>
    </row>
    <row r="197" spans="1:3" x14ac:dyDescent="0.25">
      <c r="A197" s="125" t="s">
        <v>25542</v>
      </c>
      <c r="B197" s="125" t="s">
        <v>28227</v>
      </c>
      <c r="C197" s="125">
        <v>1</v>
      </c>
    </row>
    <row r="198" spans="1:3" x14ac:dyDescent="0.25">
      <c r="A198" s="125" t="s">
        <v>25532</v>
      </c>
      <c r="B198" s="125" t="s">
        <v>28256</v>
      </c>
      <c r="C198" s="125">
        <v>1</v>
      </c>
    </row>
    <row r="199" spans="1:3" x14ac:dyDescent="0.25">
      <c r="A199" s="125" t="s">
        <v>54</v>
      </c>
      <c r="B199" s="125" t="s">
        <v>28227</v>
      </c>
      <c r="C199" s="125">
        <v>1</v>
      </c>
    </row>
    <row r="200" spans="1:3" x14ac:dyDescent="0.25">
      <c r="A200" s="125" t="s">
        <v>25459</v>
      </c>
      <c r="B200" s="125" t="s">
        <v>28314</v>
      </c>
      <c r="C200" s="125">
        <v>1</v>
      </c>
    </row>
    <row r="201" spans="1:3" x14ac:dyDescent="0.25">
      <c r="A201" s="125" t="s">
        <v>52</v>
      </c>
      <c r="B201" s="125" t="s">
        <v>28287</v>
      </c>
      <c r="C201" s="125">
        <v>1</v>
      </c>
    </row>
    <row r="202" spans="1:3" x14ac:dyDescent="0.25">
      <c r="A202" s="125" t="s">
        <v>25499</v>
      </c>
      <c r="B202" s="125" t="s">
        <v>28315</v>
      </c>
      <c r="C202" s="125">
        <v>1</v>
      </c>
    </row>
    <row r="203" spans="1:3" x14ac:dyDescent="0.25">
      <c r="A203" s="125" t="s">
        <v>25348</v>
      </c>
      <c r="B203" s="125" t="s">
        <v>28310</v>
      </c>
      <c r="C203" s="125">
        <v>1</v>
      </c>
    </row>
    <row r="204" spans="1:3" x14ac:dyDescent="0.25">
      <c r="A204" s="125" t="s">
        <v>25366</v>
      </c>
      <c r="B204" s="125" t="s">
        <v>28256</v>
      </c>
      <c r="C204" s="125">
        <v>1</v>
      </c>
    </row>
    <row r="205" spans="1:3" x14ac:dyDescent="0.25">
      <c r="A205" s="125" t="s">
        <v>25490</v>
      </c>
      <c r="B205" s="125" t="s">
        <v>28221</v>
      </c>
      <c r="C205" s="125">
        <v>1</v>
      </c>
    </row>
    <row r="206" spans="1:3" x14ac:dyDescent="0.25">
      <c r="A206" s="125" t="s">
        <v>25400</v>
      </c>
      <c r="B206" s="125" t="s">
        <v>28245</v>
      </c>
      <c r="C206" s="125">
        <v>1</v>
      </c>
    </row>
    <row r="207" spans="1:3" x14ac:dyDescent="0.25">
      <c r="A207" s="125" t="s">
        <v>130</v>
      </c>
      <c r="B207" s="125" t="s">
        <v>28221</v>
      </c>
      <c r="C207" s="125">
        <v>1</v>
      </c>
    </row>
    <row r="208" spans="1:3" x14ac:dyDescent="0.25">
      <c r="A208" s="125" t="s">
        <v>25393</v>
      </c>
      <c r="B208" s="125" t="s">
        <v>28256</v>
      </c>
      <c r="C208" s="125">
        <v>1</v>
      </c>
    </row>
    <row r="209" spans="1:3" x14ac:dyDescent="0.25">
      <c r="A209" s="125" t="s">
        <v>25346</v>
      </c>
      <c r="B209" s="125" t="s">
        <v>28313</v>
      </c>
      <c r="C209" s="125">
        <v>1</v>
      </c>
    </row>
    <row r="210" spans="1:3" x14ac:dyDescent="0.25">
      <c r="A210" s="125" t="s">
        <v>25392</v>
      </c>
      <c r="B210" s="125" t="s">
        <v>28234</v>
      </c>
      <c r="C210" s="125">
        <v>1</v>
      </c>
    </row>
    <row r="211" spans="1:3" x14ac:dyDescent="0.25">
      <c r="A211" s="125" t="s">
        <v>25478</v>
      </c>
      <c r="B211" s="125" t="s">
        <v>28262</v>
      </c>
      <c r="C211" s="125">
        <v>1</v>
      </c>
    </row>
    <row r="212" spans="1:3" x14ac:dyDescent="0.25">
      <c r="A212" s="125" t="s">
        <v>25347</v>
      </c>
      <c r="B212" s="125" t="s">
        <v>28310</v>
      </c>
      <c r="C212" s="125">
        <v>1</v>
      </c>
    </row>
    <row r="213" spans="1:3" x14ac:dyDescent="0.25">
      <c r="A213" s="125" t="s">
        <v>25421</v>
      </c>
      <c r="B213" s="125" t="s">
        <v>28313</v>
      </c>
      <c r="C213" s="125">
        <v>1</v>
      </c>
    </row>
    <row r="214" spans="1:3" x14ac:dyDescent="0.25">
      <c r="A214" s="125" t="s">
        <v>25540</v>
      </c>
      <c r="B214" s="125" t="s">
        <v>28227</v>
      </c>
      <c r="C214" s="125">
        <v>1</v>
      </c>
    </row>
    <row r="215" spans="1:3" x14ac:dyDescent="0.25">
      <c r="A215" s="125" t="s">
        <v>25430</v>
      </c>
      <c r="B215" s="125" t="s">
        <v>28316</v>
      </c>
      <c r="C215" s="125">
        <v>1</v>
      </c>
    </row>
    <row r="216" spans="1:3" x14ac:dyDescent="0.25">
      <c r="A216" s="125" t="s">
        <v>215</v>
      </c>
      <c r="B216" s="125" t="s">
        <v>28299</v>
      </c>
      <c r="C216" s="125">
        <v>1</v>
      </c>
    </row>
    <row r="217" spans="1:3" x14ac:dyDescent="0.25">
      <c r="A217" s="125" t="s">
        <v>54</v>
      </c>
      <c r="B217" s="125" t="s">
        <v>25332</v>
      </c>
      <c r="C217" s="125">
        <v>1</v>
      </c>
    </row>
    <row r="218" spans="1:3" x14ac:dyDescent="0.25">
      <c r="A218" s="125" t="s">
        <v>25525</v>
      </c>
      <c r="B218" s="125" t="s">
        <v>25308</v>
      </c>
      <c r="C218" s="125">
        <v>1</v>
      </c>
    </row>
    <row r="219" spans="1:3" x14ac:dyDescent="0.25">
      <c r="A219" s="125" t="s">
        <v>25463</v>
      </c>
      <c r="B219" s="125" t="s">
        <v>28301</v>
      </c>
      <c r="C219" s="125">
        <v>1</v>
      </c>
    </row>
    <row r="220" spans="1:3" x14ac:dyDescent="0.25">
      <c r="A220" s="125" t="s">
        <v>28411</v>
      </c>
      <c r="B220" s="125" t="s">
        <v>28301</v>
      </c>
      <c r="C220" s="125">
        <v>1</v>
      </c>
    </row>
    <row r="221" spans="1:3" x14ac:dyDescent="0.25">
      <c r="A221" s="125" t="s">
        <v>25531</v>
      </c>
      <c r="B221" s="125" t="s">
        <v>25334</v>
      </c>
      <c r="C221" s="125">
        <v>1</v>
      </c>
    </row>
    <row r="222" spans="1:3" x14ac:dyDescent="0.25">
      <c r="A222" s="125" t="s">
        <v>29</v>
      </c>
      <c r="B222" s="125" t="s">
        <v>28317</v>
      </c>
      <c r="C222" s="125">
        <v>1</v>
      </c>
    </row>
    <row r="223" spans="1:3" x14ac:dyDescent="0.25">
      <c r="A223" s="125" t="s">
        <v>22</v>
      </c>
      <c r="B223" s="125" t="s">
        <v>28222</v>
      </c>
      <c r="C223" s="125">
        <v>1</v>
      </c>
    </row>
    <row r="224" spans="1:3" x14ac:dyDescent="0.25">
      <c r="A224" s="125" t="s">
        <v>25487</v>
      </c>
      <c r="B224" s="125" t="s">
        <v>25335</v>
      </c>
      <c r="C224" s="125">
        <v>1</v>
      </c>
    </row>
    <row r="225" spans="1:3" x14ac:dyDescent="0.25">
      <c r="A225" s="125" t="s">
        <v>25423</v>
      </c>
      <c r="B225" s="125" t="s">
        <v>28274</v>
      </c>
      <c r="C225" s="125">
        <v>1</v>
      </c>
    </row>
    <row r="226" spans="1:3" x14ac:dyDescent="0.25">
      <c r="A226" s="125" t="s">
        <v>27</v>
      </c>
      <c r="B226" s="125" t="s">
        <v>28275</v>
      </c>
      <c r="C226" s="125">
        <v>1</v>
      </c>
    </row>
    <row r="227" spans="1:3" x14ac:dyDescent="0.25">
      <c r="A227" s="125" t="s">
        <v>25494</v>
      </c>
      <c r="B227" s="125" t="s">
        <v>28310</v>
      </c>
      <c r="C227" s="125">
        <v>1</v>
      </c>
    </row>
    <row r="228" spans="1:3" x14ac:dyDescent="0.25">
      <c r="A228" s="125" t="s">
        <v>25542</v>
      </c>
      <c r="B228" s="125" t="s">
        <v>25308</v>
      </c>
      <c r="C228" s="125">
        <v>1</v>
      </c>
    </row>
    <row r="229" spans="1:3" x14ac:dyDescent="0.25">
      <c r="A229" s="125" t="s">
        <v>25431</v>
      </c>
      <c r="B229" s="125" t="s">
        <v>28220</v>
      </c>
      <c r="C229" s="125">
        <v>1</v>
      </c>
    </row>
    <row r="230" spans="1:3" x14ac:dyDescent="0.25">
      <c r="A230" s="125" t="s">
        <v>25491</v>
      </c>
      <c r="B230" s="125" t="s">
        <v>28221</v>
      </c>
      <c r="C230" s="125">
        <v>1</v>
      </c>
    </row>
    <row r="231" spans="1:3" x14ac:dyDescent="0.25">
      <c r="A231" s="125" t="s">
        <v>28318</v>
      </c>
      <c r="B231" s="125" t="s">
        <v>28226</v>
      </c>
      <c r="C231" s="125">
        <v>1</v>
      </c>
    </row>
    <row r="232" spans="1:3" x14ac:dyDescent="0.25">
      <c r="A232" s="125" t="s">
        <v>25367</v>
      </c>
      <c r="B232" s="125" t="s">
        <v>25308</v>
      </c>
      <c r="C232" s="125">
        <v>1</v>
      </c>
    </row>
    <row r="233" spans="1:3" x14ac:dyDescent="0.25">
      <c r="A233" s="125" t="s">
        <v>25364</v>
      </c>
      <c r="B233" s="125" t="s">
        <v>25308</v>
      </c>
      <c r="C233" s="125">
        <v>1</v>
      </c>
    </row>
    <row r="234" spans="1:3" x14ac:dyDescent="0.25">
      <c r="A234" s="125" t="s">
        <v>25416</v>
      </c>
      <c r="B234" s="125" t="s">
        <v>28319</v>
      </c>
      <c r="C234" s="125">
        <v>1</v>
      </c>
    </row>
    <row r="235" spans="1:3" x14ac:dyDescent="0.25">
      <c r="A235" s="125" t="s">
        <v>27779</v>
      </c>
      <c r="B235" s="125" t="s">
        <v>28229</v>
      </c>
      <c r="C235" s="125">
        <v>1</v>
      </c>
    </row>
    <row r="236" spans="1:3" x14ac:dyDescent="0.25">
      <c r="A236" s="125" t="s">
        <v>28320</v>
      </c>
      <c r="B236" s="125" t="s">
        <v>28220</v>
      </c>
      <c r="C236" s="125">
        <v>1</v>
      </c>
    </row>
    <row r="237" spans="1:3" x14ac:dyDescent="0.25">
      <c r="A237" s="125" t="s">
        <v>25494</v>
      </c>
      <c r="B237" s="125" t="s">
        <v>25308</v>
      </c>
      <c r="C237" s="125">
        <v>1</v>
      </c>
    </row>
    <row r="238" spans="1:3" x14ac:dyDescent="0.25">
      <c r="A238" s="125" t="s">
        <v>25521</v>
      </c>
      <c r="B238" s="125" t="s">
        <v>28247</v>
      </c>
      <c r="C238" s="125">
        <v>1</v>
      </c>
    </row>
    <row r="239" spans="1:3" x14ac:dyDescent="0.25">
      <c r="A239" s="125" t="s">
        <v>27781</v>
      </c>
      <c r="B239" s="125" t="s">
        <v>28287</v>
      </c>
      <c r="C239" s="125">
        <v>1</v>
      </c>
    </row>
    <row r="240" spans="1:3" x14ac:dyDescent="0.25">
      <c r="A240" s="125" t="s">
        <v>27782</v>
      </c>
      <c r="B240" s="125" t="s">
        <v>28222</v>
      </c>
      <c r="C240" s="125">
        <v>1</v>
      </c>
    </row>
    <row r="241" spans="1:3" x14ac:dyDescent="0.25">
      <c r="A241" s="125" t="s">
        <v>25481</v>
      </c>
      <c r="B241" s="125" t="s">
        <v>28226</v>
      </c>
      <c r="C241" s="125">
        <v>1</v>
      </c>
    </row>
    <row r="242" spans="1:3" x14ac:dyDescent="0.25">
      <c r="A242" s="125" t="s">
        <v>28302</v>
      </c>
      <c r="B242" s="125" t="s">
        <v>28256</v>
      </c>
      <c r="C242" s="125">
        <v>1</v>
      </c>
    </row>
    <row r="243" spans="1:3" x14ac:dyDescent="0.25">
      <c r="A243" s="125" t="s">
        <v>25415</v>
      </c>
      <c r="B243" s="125" t="s">
        <v>28287</v>
      </c>
      <c r="C243" s="125">
        <v>1</v>
      </c>
    </row>
    <row r="244" spans="1:3" x14ac:dyDescent="0.25">
      <c r="A244" s="125" t="s">
        <v>25353</v>
      </c>
      <c r="B244" s="125" t="s">
        <v>28310</v>
      </c>
      <c r="C244" s="125">
        <v>1</v>
      </c>
    </row>
    <row r="245" spans="1:3" x14ac:dyDescent="0.25">
      <c r="A245" s="125" t="s">
        <v>137</v>
      </c>
      <c r="B245" s="125" t="s">
        <v>28220</v>
      </c>
      <c r="C245" s="125">
        <v>1</v>
      </c>
    </row>
    <row r="246" spans="1:3" x14ac:dyDescent="0.25">
      <c r="A246" s="125" t="s">
        <v>25537</v>
      </c>
      <c r="B246" s="125" t="s">
        <v>28226</v>
      </c>
      <c r="C246" s="125">
        <v>1</v>
      </c>
    </row>
    <row r="247" spans="1:3" x14ac:dyDescent="0.25">
      <c r="A247" s="125" t="s">
        <v>28321</v>
      </c>
      <c r="B247" s="125" t="s">
        <v>28247</v>
      </c>
      <c r="C247" s="125">
        <v>1</v>
      </c>
    </row>
    <row r="248" spans="1:3" x14ac:dyDescent="0.25">
      <c r="A248" s="125" t="s">
        <v>25424</v>
      </c>
      <c r="B248" s="125" t="s">
        <v>28297</v>
      </c>
      <c r="C248" s="125">
        <v>1</v>
      </c>
    </row>
    <row r="249" spans="1:3" x14ac:dyDescent="0.25">
      <c r="A249" s="125" t="s">
        <v>25410</v>
      </c>
      <c r="B249" s="125" t="s">
        <v>28287</v>
      </c>
      <c r="C249" s="125">
        <v>1</v>
      </c>
    </row>
    <row r="250" spans="1:3" x14ac:dyDescent="0.25">
      <c r="A250" s="125" t="s">
        <v>28322</v>
      </c>
      <c r="B250" s="125" t="s">
        <v>28252</v>
      </c>
      <c r="C250" s="125">
        <v>1</v>
      </c>
    </row>
    <row r="251" spans="1:3" x14ac:dyDescent="0.25">
      <c r="A251" s="141" t="s">
        <v>42</v>
      </c>
      <c r="B251" s="125" t="s">
        <v>28283</v>
      </c>
      <c r="C251" s="125">
        <v>1</v>
      </c>
    </row>
    <row r="252" spans="1:3" x14ac:dyDescent="0.25">
      <c r="A252" s="141" t="s">
        <v>1</v>
      </c>
      <c r="B252" s="125" t="s">
        <v>28323</v>
      </c>
      <c r="C252" s="125">
        <v>1</v>
      </c>
    </row>
    <row r="253" spans="1:3" x14ac:dyDescent="0.25">
      <c r="A253" s="141" t="s">
        <v>25499</v>
      </c>
      <c r="B253" s="125" t="s">
        <v>28298</v>
      </c>
      <c r="C253" s="125">
        <v>1</v>
      </c>
    </row>
    <row r="254" spans="1:3" x14ac:dyDescent="0.25">
      <c r="A254" s="141" t="s">
        <v>28324</v>
      </c>
      <c r="B254" s="125" t="s">
        <v>28311</v>
      </c>
      <c r="C254" s="125">
        <v>1</v>
      </c>
    </row>
    <row r="255" spans="1:3" x14ac:dyDescent="0.25">
      <c r="A255" s="125" t="s">
        <v>25393</v>
      </c>
      <c r="B255" s="125" t="s">
        <v>28325</v>
      </c>
      <c r="C255" s="125">
        <v>1</v>
      </c>
    </row>
    <row r="256" spans="1:3" x14ac:dyDescent="0.25">
      <c r="A256" s="125" t="s">
        <v>25440</v>
      </c>
      <c r="B256" s="125" t="s">
        <v>28326</v>
      </c>
      <c r="C256" s="125">
        <v>1</v>
      </c>
    </row>
    <row r="257" spans="1:3" x14ac:dyDescent="0.25">
      <c r="A257" s="125" t="s">
        <v>34</v>
      </c>
      <c r="B257" s="125" t="s">
        <v>28227</v>
      </c>
      <c r="C257" s="125">
        <v>1</v>
      </c>
    </row>
    <row r="258" spans="1:3" x14ac:dyDescent="0.25">
      <c r="A258" s="125" t="s">
        <v>25512</v>
      </c>
      <c r="B258" s="125" t="s">
        <v>28225</v>
      </c>
      <c r="C258" s="125">
        <v>1</v>
      </c>
    </row>
    <row r="259" spans="1:3" x14ac:dyDescent="0.25">
      <c r="A259" s="125" t="s">
        <v>28327</v>
      </c>
      <c r="B259" s="125" t="s">
        <v>28272</v>
      </c>
      <c r="C259" s="125">
        <v>1</v>
      </c>
    </row>
    <row r="260" spans="1:3" x14ac:dyDescent="0.25">
      <c r="A260" s="125" t="s">
        <v>28328</v>
      </c>
      <c r="B260" s="125" t="s">
        <v>28310</v>
      </c>
      <c r="C260" s="125">
        <v>1</v>
      </c>
    </row>
    <row r="261" spans="1:3" x14ac:dyDescent="0.25">
      <c r="A261" s="125" t="s">
        <v>28329</v>
      </c>
      <c r="B261" s="125" t="s">
        <v>28279</v>
      </c>
      <c r="C261" s="125">
        <v>1</v>
      </c>
    </row>
    <row r="262" spans="1:3" x14ac:dyDescent="0.25">
      <c r="A262" s="125" t="s">
        <v>28330</v>
      </c>
      <c r="B262" s="125" t="s">
        <v>28299</v>
      </c>
      <c r="C262" s="125">
        <v>1</v>
      </c>
    </row>
    <row r="263" spans="1:3" x14ac:dyDescent="0.25">
      <c r="A263" s="125" t="s">
        <v>25448</v>
      </c>
      <c r="B263" s="125" t="s">
        <v>28265</v>
      </c>
      <c r="C263" s="125">
        <v>1</v>
      </c>
    </row>
    <row r="264" spans="1:3" x14ac:dyDescent="0.25">
      <c r="A264" s="125" t="s">
        <v>25448</v>
      </c>
      <c r="B264" s="125" t="s">
        <v>25308</v>
      </c>
      <c r="C264" s="125">
        <v>1</v>
      </c>
    </row>
    <row r="265" spans="1:3" x14ac:dyDescent="0.25">
      <c r="A265" s="125" t="s">
        <v>43</v>
      </c>
      <c r="B265" s="125" t="s">
        <v>28301</v>
      </c>
      <c r="C265" s="125">
        <v>1</v>
      </c>
    </row>
    <row r="266" spans="1:3" x14ac:dyDescent="0.25">
      <c r="A266" s="125" t="s">
        <v>28412</v>
      </c>
      <c r="B266" s="125" t="s">
        <v>28301</v>
      </c>
      <c r="C266" s="125">
        <v>1</v>
      </c>
    </row>
    <row r="267" spans="1:3" x14ac:dyDescent="0.25">
      <c r="A267" s="125" t="s">
        <v>28331</v>
      </c>
      <c r="B267" s="125" t="s">
        <v>28332</v>
      </c>
      <c r="C267" s="125">
        <v>1</v>
      </c>
    </row>
    <row r="268" spans="1:3" x14ac:dyDescent="0.25">
      <c r="A268" s="125" t="s">
        <v>28333</v>
      </c>
      <c r="B268" s="125" t="s">
        <v>28313</v>
      </c>
      <c r="C268" s="125">
        <v>1</v>
      </c>
    </row>
    <row r="269" spans="1:3" x14ac:dyDescent="0.25">
      <c r="A269" s="125" t="s">
        <v>25504</v>
      </c>
      <c r="B269" s="125" t="s">
        <v>28253</v>
      </c>
      <c r="C269" s="125">
        <v>1</v>
      </c>
    </row>
    <row r="270" spans="1:3" x14ac:dyDescent="0.25">
      <c r="A270" s="125" t="s">
        <v>28334</v>
      </c>
      <c r="B270" s="125" t="s">
        <v>28317</v>
      </c>
      <c r="C270" s="125">
        <v>1</v>
      </c>
    </row>
    <row r="271" spans="1:3" x14ac:dyDescent="0.25">
      <c r="A271" s="125" t="s">
        <v>25542</v>
      </c>
      <c r="B271" s="125" t="s">
        <v>28319</v>
      </c>
      <c r="C271" s="125">
        <v>1</v>
      </c>
    </row>
    <row r="272" spans="1:3" x14ac:dyDescent="0.25">
      <c r="A272" s="125" t="s">
        <v>25448</v>
      </c>
      <c r="B272" s="125" t="s">
        <v>28225</v>
      </c>
      <c r="C272" s="125">
        <v>1</v>
      </c>
    </row>
    <row r="273" spans="1:3" x14ac:dyDescent="0.25">
      <c r="A273" s="125" t="s">
        <v>25346</v>
      </c>
      <c r="B273" s="125" t="s">
        <v>28283</v>
      </c>
      <c r="C273" s="125">
        <v>1</v>
      </c>
    </row>
    <row r="274" spans="1:3" x14ac:dyDescent="0.25">
      <c r="A274" s="125" t="s">
        <v>28335</v>
      </c>
      <c r="B274" s="125" t="s">
        <v>28245</v>
      </c>
      <c r="C274" s="125">
        <v>1</v>
      </c>
    </row>
    <row r="275" spans="1:3" x14ac:dyDescent="0.25">
      <c r="A275" s="125" t="s">
        <v>25537</v>
      </c>
      <c r="B275" s="125" t="s">
        <v>25334</v>
      </c>
      <c r="C275" s="125">
        <v>1</v>
      </c>
    </row>
    <row r="276" spans="1:3" x14ac:dyDescent="0.25">
      <c r="A276" s="125" t="s">
        <v>25440</v>
      </c>
      <c r="B276" s="125" t="s">
        <v>28278</v>
      </c>
      <c r="C276" s="125">
        <v>1</v>
      </c>
    </row>
    <row r="277" spans="1:3" x14ac:dyDescent="0.25">
      <c r="A277" s="125" t="s">
        <v>34</v>
      </c>
      <c r="B277" s="125" t="s">
        <v>28336</v>
      </c>
      <c r="C277" s="125">
        <v>1</v>
      </c>
    </row>
    <row r="278" spans="1:3" x14ac:dyDescent="0.25">
      <c r="A278" s="125" t="s">
        <v>25512</v>
      </c>
      <c r="B278" s="125" t="s">
        <v>28265</v>
      </c>
      <c r="C278" s="125">
        <v>1</v>
      </c>
    </row>
    <row r="279" spans="1:3" x14ac:dyDescent="0.25">
      <c r="A279" s="125" t="s">
        <v>28337</v>
      </c>
      <c r="B279" s="125" t="s">
        <v>28220</v>
      </c>
      <c r="C279" s="125">
        <v>1</v>
      </c>
    </row>
    <row r="280" spans="1:3" x14ac:dyDescent="0.25">
      <c r="A280" s="125" t="s">
        <v>28338</v>
      </c>
      <c r="B280" s="125" t="s">
        <v>28225</v>
      </c>
      <c r="C280" s="125">
        <v>1</v>
      </c>
    </row>
    <row r="281" spans="1:3" x14ac:dyDescent="0.25">
      <c r="A281" s="125" t="s">
        <v>28251</v>
      </c>
      <c r="B281" s="125" t="s">
        <v>28229</v>
      </c>
      <c r="C281" s="125">
        <v>1</v>
      </c>
    </row>
    <row r="282" spans="1:3" x14ac:dyDescent="0.25">
      <c r="A282" s="125" t="s">
        <v>137</v>
      </c>
      <c r="B282" s="125" t="s">
        <v>25334</v>
      </c>
      <c r="C282" s="125">
        <v>1</v>
      </c>
    </row>
    <row r="283" spans="1:3" x14ac:dyDescent="0.25">
      <c r="A283" s="125" t="s">
        <v>25411</v>
      </c>
      <c r="B283" s="125" t="s">
        <v>28339</v>
      </c>
      <c r="C283" s="125">
        <v>1</v>
      </c>
    </row>
    <row r="284" spans="1:3" x14ac:dyDescent="0.25">
      <c r="A284" s="125" t="s">
        <v>29</v>
      </c>
      <c r="B284" s="125" t="s">
        <v>28311</v>
      </c>
      <c r="C284" s="125">
        <v>1</v>
      </c>
    </row>
    <row r="285" spans="1:3" x14ac:dyDescent="0.25">
      <c r="A285" s="125" t="s">
        <v>220</v>
      </c>
      <c r="B285" s="125" t="s">
        <v>28283</v>
      </c>
      <c r="C285" s="125">
        <v>1</v>
      </c>
    </row>
    <row r="286" spans="1:3" x14ac:dyDescent="0.25">
      <c r="A286" s="125" t="s">
        <v>25494</v>
      </c>
      <c r="B286" s="125" t="s">
        <v>28242</v>
      </c>
      <c r="C286" s="125">
        <v>1</v>
      </c>
    </row>
    <row r="287" spans="1:3" x14ac:dyDescent="0.25">
      <c r="A287" s="125" t="s">
        <v>25499</v>
      </c>
      <c r="B287" s="125" t="s">
        <v>28253</v>
      </c>
      <c r="C287" s="125">
        <v>1</v>
      </c>
    </row>
    <row r="288" spans="1:3" x14ac:dyDescent="0.25">
      <c r="A288" s="125" t="s">
        <v>25511</v>
      </c>
      <c r="B288" s="125" t="s">
        <v>28340</v>
      </c>
      <c r="C288" s="125">
        <v>1</v>
      </c>
    </row>
    <row r="289" spans="1:3" x14ac:dyDescent="0.25">
      <c r="A289" s="125" t="s">
        <v>25388</v>
      </c>
      <c r="B289" s="125" t="s">
        <v>28263</v>
      </c>
      <c r="C289" s="125">
        <v>1</v>
      </c>
    </row>
    <row r="290" spans="1:3" x14ac:dyDescent="0.25">
      <c r="A290" s="125" t="s">
        <v>25425</v>
      </c>
      <c r="B290" s="125" t="s">
        <v>28297</v>
      </c>
      <c r="C290" s="125">
        <v>1</v>
      </c>
    </row>
    <row r="291" spans="1:3" x14ac:dyDescent="0.25">
      <c r="A291" s="125" t="s">
        <v>25519</v>
      </c>
      <c r="B291" s="125" t="s">
        <v>28253</v>
      </c>
      <c r="C291" s="125">
        <v>1</v>
      </c>
    </row>
    <row r="292" spans="1:3" x14ac:dyDescent="0.25">
      <c r="A292" s="125" t="s">
        <v>28341</v>
      </c>
      <c r="B292" s="125" t="s">
        <v>28310</v>
      </c>
      <c r="C292" s="125">
        <v>1</v>
      </c>
    </row>
    <row r="293" spans="1:3" x14ac:dyDescent="0.25">
      <c r="A293" s="125" t="s">
        <v>28342</v>
      </c>
      <c r="B293" s="125" t="s">
        <v>28282</v>
      </c>
      <c r="C293" s="125">
        <v>1</v>
      </c>
    </row>
    <row r="294" spans="1:3" x14ac:dyDescent="0.25">
      <c r="A294" s="125" t="s">
        <v>28343</v>
      </c>
      <c r="B294" s="125" t="s">
        <v>28236</v>
      </c>
      <c r="C294" s="125">
        <v>1</v>
      </c>
    </row>
    <row r="295" spans="1:3" x14ac:dyDescent="0.25">
      <c r="A295" s="125" t="s">
        <v>25476</v>
      </c>
      <c r="B295" s="125" t="s">
        <v>28278</v>
      </c>
      <c r="C295" s="125">
        <v>1</v>
      </c>
    </row>
    <row r="296" spans="1:3" x14ac:dyDescent="0.25">
      <c r="A296" s="125" t="s">
        <v>25343</v>
      </c>
      <c r="B296" s="125" t="s">
        <v>28263</v>
      </c>
      <c r="C296" s="125">
        <v>1</v>
      </c>
    </row>
    <row r="297" spans="1:3" x14ac:dyDescent="0.25">
      <c r="A297" s="125" t="s">
        <v>25353</v>
      </c>
      <c r="B297" s="125" t="s">
        <v>28278</v>
      </c>
      <c r="C297" s="125">
        <v>1</v>
      </c>
    </row>
    <row r="298" spans="1:3" x14ac:dyDescent="0.25">
      <c r="A298" s="125" t="s">
        <v>25355</v>
      </c>
      <c r="B298" s="125" t="s">
        <v>28344</v>
      </c>
      <c r="C298" s="125">
        <v>1</v>
      </c>
    </row>
    <row r="299" spans="1:3" x14ac:dyDescent="0.25">
      <c r="A299" s="125" t="s">
        <v>28240</v>
      </c>
      <c r="B299" s="125" t="s">
        <v>28227</v>
      </c>
      <c r="C299" s="125">
        <v>1</v>
      </c>
    </row>
    <row r="300" spans="1:3" x14ac:dyDescent="0.25">
      <c r="A300" s="125" t="s">
        <v>210</v>
      </c>
      <c r="B300" s="125" t="s">
        <v>28345</v>
      </c>
      <c r="C300" s="125">
        <v>1</v>
      </c>
    </row>
    <row r="301" spans="1:3" x14ac:dyDescent="0.25">
      <c r="A301" s="125" t="s">
        <v>25436</v>
      </c>
      <c r="B301" s="125" t="s">
        <v>28225</v>
      </c>
      <c r="C301" s="125">
        <v>1</v>
      </c>
    </row>
    <row r="302" spans="1:3" x14ac:dyDescent="0.25">
      <c r="A302" s="125" t="s">
        <v>28346</v>
      </c>
      <c r="B302" s="125" t="s">
        <v>28311</v>
      </c>
      <c r="C302" s="125">
        <v>1</v>
      </c>
    </row>
    <row r="303" spans="1:3" x14ac:dyDescent="0.25">
      <c r="A303" s="125" t="s">
        <v>25514</v>
      </c>
      <c r="B303" s="125" t="s">
        <v>28266</v>
      </c>
      <c r="C303" s="125">
        <v>1</v>
      </c>
    </row>
    <row r="304" spans="1:3" x14ac:dyDescent="0.25">
      <c r="A304" s="125" t="s">
        <v>25470</v>
      </c>
      <c r="B304" s="125" t="s">
        <v>28339</v>
      </c>
      <c r="C304" s="125">
        <v>1</v>
      </c>
    </row>
    <row r="305" spans="1:3" x14ac:dyDescent="0.25">
      <c r="A305" s="125" t="s">
        <v>28</v>
      </c>
      <c r="B305" s="125" t="s">
        <v>28228</v>
      </c>
      <c r="C305" s="125">
        <v>1</v>
      </c>
    </row>
    <row r="306" spans="1:3" x14ac:dyDescent="0.25">
      <c r="A306" s="125" t="s">
        <v>26</v>
      </c>
      <c r="B306" s="125" t="s">
        <v>25333</v>
      </c>
      <c r="C306" s="125">
        <v>1</v>
      </c>
    </row>
    <row r="307" spans="1:3" x14ac:dyDescent="0.25">
      <c r="A307" s="125" t="s">
        <v>28347</v>
      </c>
      <c r="B307" s="125" t="s">
        <v>28339</v>
      </c>
      <c r="C307" s="125">
        <v>1</v>
      </c>
    </row>
    <row r="308" spans="1:3" x14ac:dyDescent="0.25">
      <c r="A308" s="125" t="s">
        <v>25352</v>
      </c>
      <c r="B308" s="125" t="s">
        <v>28225</v>
      </c>
      <c r="C308" s="125">
        <v>1</v>
      </c>
    </row>
    <row r="309" spans="1:3" x14ac:dyDescent="0.25">
      <c r="A309" s="125" t="s">
        <v>28281</v>
      </c>
      <c r="B309" s="125" t="s">
        <v>28311</v>
      </c>
      <c r="C309" s="125">
        <v>1</v>
      </c>
    </row>
    <row r="310" spans="1:3" x14ac:dyDescent="0.25">
      <c r="A310" s="125" t="s">
        <v>25449</v>
      </c>
      <c r="B310" s="125" t="s">
        <v>28313</v>
      </c>
      <c r="C310" s="125">
        <v>1</v>
      </c>
    </row>
    <row r="311" spans="1:3" x14ac:dyDescent="0.25">
      <c r="A311" s="125" t="s">
        <v>25450</v>
      </c>
      <c r="B311" s="125" t="s">
        <v>28348</v>
      </c>
      <c r="C311" s="125">
        <v>1</v>
      </c>
    </row>
    <row r="312" spans="1:3" x14ac:dyDescent="0.25">
      <c r="A312" s="125" t="s">
        <v>25454</v>
      </c>
      <c r="B312" s="125" t="s">
        <v>28310</v>
      </c>
      <c r="C312" s="125">
        <v>1</v>
      </c>
    </row>
    <row r="313" spans="1:3" x14ac:dyDescent="0.25">
      <c r="A313" s="125" t="s">
        <v>25495</v>
      </c>
      <c r="B313" s="125" t="s">
        <v>28349</v>
      </c>
      <c r="C313" s="125">
        <v>1</v>
      </c>
    </row>
    <row r="314" spans="1:3" x14ac:dyDescent="0.25">
      <c r="A314" s="125" t="s">
        <v>25500</v>
      </c>
      <c r="B314" s="125" t="s">
        <v>28350</v>
      </c>
      <c r="C314" s="125">
        <v>1</v>
      </c>
    </row>
    <row r="315" spans="1:3" x14ac:dyDescent="0.25">
      <c r="A315" s="125" t="s">
        <v>25501</v>
      </c>
      <c r="B315" s="125" t="s">
        <v>28260</v>
      </c>
      <c r="C315" s="125">
        <v>1</v>
      </c>
    </row>
    <row r="316" spans="1:3" x14ac:dyDescent="0.25">
      <c r="A316" s="125" t="s">
        <v>25502</v>
      </c>
      <c r="B316" s="125" t="s">
        <v>28285</v>
      </c>
      <c r="C316" s="125">
        <v>1</v>
      </c>
    </row>
    <row r="317" spans="1:3" x14ac:dyDescent="0.25">
      <c r="A317" s="125" t="s">
        <v>25534</v>
      </c>
      <c r="B317" s="125" t="s">
        <v>28314</v>
      </c>
      <c r="C317" s="125">
        <v>1</v>
      </c>
    </row>
    <row r="318" spans="1:3" x14ac:dyDescent="0.25">
      <c r="A318" s="125" t="s">
        <v>25539</v>
      </c>
      <c r="B318" s="125" t="s">
        <v>28286</v>
      </c>
      <c r="C318" s="125">
        <v>1</v>
      </c>
    </row>
    <row r="319" spans="1:3" x14ac:dyDescent="0.25">
      <c r="A319" s="125" t="s">
        <v>25370</v>
      </c>
      <c r="B319" s="125" t="s">
        <v>28351</v>
      </c>
      <c r="C319" s="125">
        <v>1</v>
      </c>
    </row>
    <row r="320" spans="1:3" x14ac:dyDescent="0.25">
      <c r="A320" s="125" t="s">
        <v>25466</v>
      </c>
      <c r="B320" s="125" t="s">
        <v>28222</v>
      </c>
      <c r="C320" s="125">
        <v>1</v>
      </c>
    </row>
    <row r="321" spans="1:3" x14ac:dyDescent="0.25">
      <c r="A321" s="125" t="s">
        <v>1</v>
      </c>
      <c r="B321" s="125" t="s">
        <v>28241</v>
      </c>
      <c r="C321" s="125">
        <v>1</v>
      </c>
    </row>
    <row r="322" spans="1:3" x14ac:dyDescent="0.25">
      <c r="A322" s="125" t="s">
        <v>25463</v>
      </c>
      <c r="B322" s="125" t="s">
        <v>28325</v>
      </c>
      <c r="C322" s="125">
        <v>1</v>
      </c>
    </row>
    <row r="323" spans="1:3" x14ac:dyDescent="0.25">
      <c r="A323" s="125" t="s">
        <v>28413</v>
      </c>
      <c r="B323" s="125" t="s">
        <v>28325</v>
      </c>
      <c r="C323" s="125">
        <v>1</v>
      </c>
    </row>
    <row r="324" spans="1:3" x14ac:dyDescent="0.25">
      <c r="A324" s="125" t="s">
        <v>35</v>
      </c>
      <c r="B324" s="125" t="s">
        <v>28221</v>
      </c>
      <c r="C324" s="125">
        <v>1</v>
      </c>
    </row>
    <row r="325" spans="1:3" x14ac:dyDescent="0.25">
      <c r="A325" s="125" t="s">
        <v>25420</v>
      </c>
      <c r="B325" s="125" t="s">
        <v>28319</v>
      </c>
      <c r="C325" s="125">
        <v>1</v>
      </c>
    </row>
    <row r="326" spans="1:3" x14ac:dyDescent="0.25">
      <c r="A326" s="125" t="s">
        <v>25379</v>
      </c>
      <c r="B326" s="125" t="s">
        <v>28287</v>
      </c>
      <c r="C326" s="125">
        <v>1</v>
      </c>
    </row>
    <row r="327" spans="1:3" x14ac:dyDescent="0.25">
      <c r="A327" s="125" t="s">
        <v>25474</v>
      </c>
      <c r="B327" s="125" t="s">
        <v>28287</v>
      </c>
      <c r="C327" s="125">
        <v>1</v>
      </c>
    </row>
    <row r="328" spans="1:3" x14ac:dyDescent="0.25">
      <c r="A328" s="125" t="s">
        <v>25380</v>
      </c>
      <c r="B328" s="125" t="s">
        <v>28287</v>
      </c>
      <c r="C328" s="125">
        <v>1</v>
      </c>
    </row>
    <row r="329" spans="1:3" x14ac:dyDescent="0.25">
      <c r="A329" s="125" t="s">
        <v>22</v>
      </c>
      <c r="B329" s="125" t="s">
        <v>25334</v>
      </c>
      <c r="C329" s="125">
        <v>1</v>
      </c>
    </row>
    <row r="330" spans="1:3" x14ac:dyDescent="0.25">
      <c r="A330" s="125" t="s">
        <v>197</v>
      </c>
      <c r="B330" s="125" t="s">
        <v>28287</v>
      </c>
      <c r="C330" s="125">
        <v>1</v>
      </c>
    </row>
    <row r="331" spans="1:3" x14ac:dyDescent="0.25">
      <c r="A331" s="125" t="s">
        <v>28352</v>
      </c>
      <c r="B331" s="125" t="s">
        <v>28317</v>
      </c>
      <c r="C331" s="125">
        <v>1</v>
      </c>
    </row>
    <row r="332" spans="1:3" x14ac:dyDescent="0.25">
      <c r="A332" s="125" t="s">
        <v>26</v>
      </c>
      <c r="B332" s="125" t="s">
        <v>28245</v>
      </c>
      <c r="C332" s="125">
        <v>1</v>
      </c>
    </row>
    <row r="333" spans="1:3" x14ac:dyDescent="0.25">
      <c r="A333" s="125" t="s">
        <v>25423</v>
      </c>
      <c r="B333" s="125" t="s">
        <v>28287</v>
      </c>
      <c r="C333" s="125">
        <v>1</v>
      </c>
    </row>
    <row r="334" spans="1:3" x14ac:dyDescent="0.25">
      <c r="A334" s="125" t="s">
        <v>25480</v>
      </c>
      <c r="B334" s="125" t="s">
        <v>25333</v>
      </c>
      <c r="C334" s="125">
        <v>1</v>
      </c>
    </row>
    <row r="335" spans="1:3" x14ac:dyDescent="0.25">
      <c r="A335" s="125" t="s">
        <v>25533</v>
      </c>
      <c r="B335" s="125" t="s">
        <v>25334</v>
      </c>
      <c r="C335" s="125">
        <v>1</v>
      </c>
    </row>
    <row r="336" spans="1:3" x14ac:dyDescent="0.25">
      <c r="A336" s="125" t="s">
        <v>43</v>
      </c>
      <c r="B336" s="125" t="s">
        <v>28223</v>
      </c>
      <c r="C336" s="125">
        <v>1</v>
      </c>
    </row>
    <row r="337" spans="1:3" x14ac:dyDescent="0.25">
      <c r="A337" s="125" t="s">
        <v>25472</v>
      </c>
      <c r="B337" s="125" t="s">
        <v>28223</v>
      </c>
      <c r="C337" s="125">
        <v>1</v>
      </c>
    </row>
    <row r="338" spans="1:3" x14ac:dyDescent="0.25">
      <c r="A338" s="125" t="s">
        <v>25488</v>
      </c>
      <c r="B338" s="125" t="s">
        <v>28284</v>
      </c>
      <c r="C338" s="125">
        <v>1</v>
      </c>
    </row>
    <row r="339" spans="1:3" x14ac:dyDescent="0.25">
      <c r="A339" s="125" t="s">
        <v>26</v>
      </c>
      <c r="B339" s="125" t="s">
        <v>28236</v>
      </c>
      <c r="C339" s="125">
        <v>1</v>
      </c>
    </row>
    <row r="340" spans="1:3" x14ac:dyDescent="0.25">
      <c r="A340" s="125" t="s">
        <v>25490</v>
      </c>
      <c r="B340" s="125" t="s">
        <v>25308</v>
      </c>
      <c r="C340" s="125">
        <v>1</v>
      </c>
    </row>
    <row r="341" spans="1:3" x14ac:dyDescent="0.25">
      <c r="A341" s="125" t="s">
        <v>25406</v>
      </c>
      <c r="B341" s="125" t="s">
        <v>25308</v>
      </c>
      <c r="C341" s="125">
        <v>1</v>
      </c>
    </row>
    <row r="342" spans="1:3" x14ac:dyDescent="0.25">
      <c r="A342" s="125" t="s">
        <v>194</v>
      </c>
      <c r="B342" s="125" t="s">
        <v>28283</v>
      </c>
      <c r="C342" s="125">
        <v>1</v>
      </c>
    </row>
    <row r="343" spans="1:3" x14ac:dyDescent="0.25">
      <c r="A343" s="125" t="s">
        <v>35</v>
      </c>
      <c r="B343" s="125" t="s">
        <v>25334</v>
      </c>
      <c r="C343" s="125">
        <v>1</v>
      </c>
    </row>
    <row r="344" spans="1:3" x14ac:dyDescent="0.25">
      <c r="A344" s="125" t="s">
        <v>25438</v>
      </c>
      <c r="B344" s="125" t="s">
        <v>28340</v>
      </c>
      <c r="C344" s="125">
        <v>1</v>
      </c>
    </row>
    <row r="345" spans="1:3" x14ac:dyDescent="0.25">
      <c r="A345" s="125" t="s">
        <v>107</v>
      </c>
      <c r="B345" s="125" t="s">
        <v>28241</v>
      </c>
      <c r="C345" s="125">
        <v>1</v>
      </c>
    </row>
    <row r="346" spans="1:3" x14ac:dyDescent="0.25">
      <c r="A346" s="125" t="s">
        <v>28353</v>
      </c>
      <c r="B346" s="125" t="s">
        <v>28235</v>
      </c>
      <c r="C346" s="125">
        <v>1</v>
      </c>
    </row>
    <row r="347" spans="1:3" x14ac:dyDescent="0.25">
      <c r="A347" s="125" t="s">
        <v>1</v>
      </c>
      <c r="B347" s="125" t="s">
        <v>28311</v>
      </c>
      <c r="C347" s="125">
        <v>1</v>
      </c>
    </row>
    <row r="348" spans="1:3" x14ac:dyDescent="0.25">
      <c r="A348" s="125" t="s">
        <v>25360</v>
      </c>
      <c r="B348" s="125" t="s">
        <v>25308</v>
      </c>
      <c r="C348" s="125">
        <v>1</v>
      </c>
    </row>
    <row r="349" spans="1:3" x14ac:dyDescent="0.25">
      <c r="A349" s="125" t="s">
        <v>22</v>
      </c>
      <c r="B349" s="125" t="s">
        <v>28283</v>
      </c>
      <c r="C349" s="125">
        <v>1</v>
      </c>
    </row>
    <row r="350" spans="1:3" x14ac:dyDescent="0.25">
      <c r="A350" s="125" t="s">
        <v>25368</v>
      </c>
      <c r="B350" s="125" t="s">
        <v>28222</v>
      </c>
      <c r="C350" s="125">
        <v>1</v>
      </c>
    </row>
    <row r="351" spans="1:3" x14ac:dyDescent="0.25">
      <c r="A351" s="125" t="s">
        <v>25383</v>
      </c>
      <c r="B351" s="125" t="s">
        <v>28227</v>
      </c>
      <c r="C351" s="125">
        <v>1</v>
      </c>
    </row>
    <row r="352" spans="1:3" x14ac:dyDescent="0.25">
      <c r="A352" s="125" t="s">
        <v>201</v>
      </c>
      <c r="B352" s="125" t="s">
        <v>28255</v>
      </c>
      <c r="C352" s="125">
        <v>1</v>
      </c>
    </row>
    <row r="353" spans="1:3" x14ac:dyDescent="0.25">
      <c r="A353" s="125" t="s">
        <v>27</v>
      </c>
      <c r="B353" s="125" t="s">
        <v>25333</v>
      </c>
      <c r="C353" s="125">
        <v>1</v>
      </c>
    </row>
    <row r="354" spans="1:3" x14ac:dyDescent="0.25">
      <c r="A354" s="125" t="s">
        <v>123</v>
      </c>
      <c r="B354" s="125" t="s">
        <v>28279</v>
      </c>
      <c r="C354" s="125">
        <v>1</v>
      </c>
    </row>
    <row r="355" spans="1:3" x14ac:dyDescent="0.25">
      <c r="A355" s="125" t="s">
        <v>25426</v>
      </c>
      <c r="B355" s="125" t="s">
        <v>28295</v>
      </c>
      <c r="C355" s="125">
        <v>1</v>
      </c>
    </row>
    <row r="356" spans="1:3" x14ac:dyDescent="0.25">
      <c r="A356" s="125" t="s">
        <v>25437</v>
      </c>
      <c r="B356" s="125" t="s">
        <v>28232</v>
      </c>
      <c r="C356" s="125">
        <v>1</v>
      </c>
    </row>
    <row r="357" spans="1:3" x14ac:dyDescent="0.25">
      <c r="A357" s="125" t="s">
        <v>52</v>
      </c>
      <c r="B357" s="125" t="s">
        <v>28256</v>
      </c>
      <c r="C357" s="125">
        <v>1</v>
      </c>
    </row>
    <row r="358" spans="1:3" x14ac:dyDescent="0.25">
      <c r="A358" s="125" t="s">
        <v>25521</v>
      </c>
      <c r="B358" s="125" t="s">
        <v>28237</v>
      </c>
      <c r="C358" s="125">
        <v>1</v>
      </c>
    </row>
    <row r="359" spans="1:3" x14ac:dyDescent="0.25">
      <c r="A359" s="125" t="s">
        <v>201</v>
      </c>
      <c r="B359" s="125" t="s">
        <v>28284</v>
      </c>
      <c r="C359" s="125">
        <v>1</v>
      </c>
    </row>
    <row r="360" spans="1:3" x14ac:dyDescent="0.25">
      <c r="A360" s="125" t="s">
        <v>25414</v>
      </c>
      <c r="B360" s="125" t="s">
        <v>28313</v>
      </c>
      <c r="C360" s="125">
        <v>1</v>
      </c>
    </row>
    <row r="361" spans="1:3" x14ac:dyDescent="0.25">
      <c r="A361" s="125" t="s">
        <v>25424</v>
      </c>
      <c r="B361" s="125" t="s">
        <v>28348</v>
      </c>
      <c r="C361" s="125">
        <v>1</v>
      </c>
    </row>
    <row r="362" spans="1:3" x14ac:dyDescent="0.25">
      <c r="A362" s="125" t="s">
        <v>43</v>
      </c>
      <c r="B362" s="125" t="s">
        <v>28231</v>
      </c>
      <c r="C362" s="125">
        <v>1</v>
      </c>
    </row>
    <row r="363" spans="1:3" x14ac:dyDescent="0.25">
      <c r="A363" s="125" t="s">
        <v>25481</v>
      </c>
      <c r="B363" s="125" t="s">
        <v>28310</v>
      </c>
      <c r="C363" s="125">
        <v>1</v>
      </c>
    </row>
    <row r="364" spans="1:3" x14ac:dyDescent="0.25">
      <c r="A364" s="125" t="s">
        <v>25486</v>
      </c>
      <c r="B364" s="125" t="s">
        <v>28326</v>
      </c>
      <c r="C364" s="125">
        <v>1</v>
      </c>
    </row>
    <row r="365" spans="1:3" x14ac:dyDescent="0.25">
      <c r="A365" s="125" t="s">
        <v>58</v>
      </c>
      <c r="B365" s="125" t="s">
        <v>28245</v>
      </c>
      <c r="C365" s="125">
        <v>1</v>
      </c>
    </row>
    <row r="366" spans="1:3" x14ac:dyDescent="0.25">
      <c r="A366" s="125" t="s">
        <v>28414</v>
      </c>
      <c r="B366" s="125" t="s">
        <v>28245</v>
      </c>
      <c r="C366" s="125">
        <v>1</v>
      </c>
    </row>
    <row r="367" spans="1:3" x14ac:dyDescent="0.25">
      <c r="A367" s="125" t="s">
        <v>25481</v>
      </c>
      <c r="B367" s="125" t="s">
        <v>25308</v>
      </c>
      <c r="C367" s="125">
        <v>1</v>
      </c>
    </row>
    <row r="368" spans="1:3" x14ac:dyDescent="0.25">
      <c r="A368" s="125" t="s">
        <v>25414</v>
      </c>
      <c r="B368" s="125" t="s">
        <v>28354</v>
      </c>
      <c r="C368" s="125">
        <v>1</v>
      </c>
    </row>
    <row r="369" spans="1:3" x14ac:dyDescent="0.25">
      <c r="A369" s="125" t="s">
        <v>56</v>
      </c>
      <c r="B369" s="125" t="s">
        <v>28313</v>
      </c>
      <c r="C369" s="125">
        <v>1</v>
      </c>
    </row>
    <row r="370" spans="1:3" x14ac:dyDescent="0.25">
      <c r="A370" s="125" t="s">
        <v>25481</v>
      </c>
      <c r="B370" s="125" t="s">
        <v>28340</v>
      </c>
      <c r="C370" s="125">
        <v>1</v>
      </c>
    </row>
    <row r="371" spans="1:3" x14ac:dyDescent="0.25">
      <c r="A371" s="125" t="s">
        <v>25497</v>
      </c>
      <c r="B371" s="125" t="s">
        <v>28249</v>
      </c>
      <c r="C371" s="125">
        <v>1</v>
      </c>
    </row>
    <row r="372" spans="1:3" x14ac:dyDescent="0.25">
      <c r="A372" s="125" t="s">
        <v>25406</v>
      </c>
      <c r="B372" s="125" t="s">
        <v>28264</v>
      </c>
      <c r="C372" s="125">
        <v>1</v>
      </c>
    </row>
    <row r="373" spans="1:3" x14ac:dyDescent="0.25">
      <c r="A373" s="125" t="s">
        <v>25411</v>
      </c>
      <c r="B373" s="125" t="s">
        <v>28247</v>
      </c>
      <c r="C373" s="125">
        <v>1</v>
      </c>
    </row>
    <row r="374" spans="1:3" x14ac:dyDescent="0.25">
      <c r="A374" s="125" t="s">
        <v>36</v>
      </c>
      <c r="B374" s="125" t="s">
        <v>25308</v>
      </c>
      <c r="C374" s="125">
        <v>1</v>
      </c>
    </row>
    <row r="375" spans="1:3" x14ac:dyDescent="0.25">
      <c r="A375" s="125" t="s">
        <v>25409</v>
      </c>
      <c r="B375" s="125" t="s">
        <v>28287</v>
      </c>
      <c r="C375" s="125">
        <v>1</v>
      </c>
    </row>
    <row r="376" spans="1:3" x14ac:dyDescent="0.25">
      <c r="A376" s="125" t="s">
        <v>25412</v>
      </c>
      <c r="B376" s="125" t="s">
        <v>28225</v>
      </c>
      <c r="C376" s="125">
        <v>1</v>
      </c>
    </row>
    <row r="377" spans="1:3" x14ac:dyDescent="0.25">
      <c r="A377" s="125" t="s">
        <v>28</v>
      </c>
      <c r="B377" s="125" t="s">
        <v>28221</v>
      </c>
      <c r="C377" s="125">
        <v>1</v>
      </c>
    </row>
    <row r="378" spans="1:3" x14ac:dyDescent="0.25">
      <c r="A378" s="125" t="s">
        <v>25386</v>
      </c>
      <c r="B378" s="125" t="s">
        <v>28319</v>
      </c>
      <c r="C378" s="125">
        <v>1</v>
      </c>
    </row>
    <row r="379" spans="1:3" x14ac:dyDescent="0.25">
      <c r="A379" s="125" t="s">
        <v>25507</v>
      </c>
      <c r="B379" s="125" t="s">
        <v>28317</v>
      </c>
      <c r="C379" s="125">
        <v>1</v>
      </c>
    </row>
    <row r="380" spans="1:3" x14ac:dyDescent="0.25">
      <c r="A380" s="125" t="s">
        <v>25399</v>
      </c>
      <c r="B380" s="125" t="s">
        <v>28291</v>
      </c>
      <c r="C380" s="125">
        <v>1</v>
      </c>
    </row>
    <row r="381" spans="1:3" x14ac:dyDescent="0.25">
      <c r="A381" s="125" t="s">
        <v>25339</v>
      </c>
      <c r="B381" s="125" t="s">
        <v>28263</v>
      </c>
      <c r="C381" s="125">
        <v>1</v>
      </c>
    </row>
    <row r="382" spans="1:3" x14ac:dyDescent="0.25">
      <c r="A382" s="125" t="s">
        <v>96</v>
      </c>
      <c r="B382" s="125" t="s">
        <v>28220</v>
      </c>
      <c r="C382" s="125">
        <v>1</v>
      </c>
    </row>
    <row r="383" spans="1:3" x14ac:dyDescent="0.25">
      <c r="A383" s="125" t="s">
        <v>25381</v>
      </c>
      <c r="B383" s="125" t="s">
        <v>28253</v>
      </c>
      <c r="C383" s="125">
        <v>1</v>
      </c>
    </row>
    <row r="384" spans="1:3" x14ac:dyDescent="0.25">
      <c r="A384" s="125" t="s">
        <v>25437</v>
      </c>
      <c r="B384" s="125" t="s">
        <v>28340</v>
      </c>
      <c r="C384" s="125">
        <v>1</v>
      </c>
    </row>
    <row r="385" spans="1:3" x14ac:dyDescent="0.25">
      <c r="A385" s="125" t="s">
        <v>22</v>
      </c>
      <c r="B385" s="125" t="s">
        <v>28227</v>
      </c>
      <c r="C385" s="125">
        <v>1</v>
      </c>
    </row>
    <row r="386" spans="1:3" x14ac:dyDescent="0.25">
      <c r="A386" s="125" t="s">
        <v>25509</v>
      </c>
      <c r="B386" s="125" t="s">
        <v>28319</v>
      </c>
      <c r="C386" s="125">
        <v>1</v>
      </c>
    </row>
    <row r="387" spans="1:3" x14ac:dyDescent="0.25">
      <c r="A387" s="125" t="s">
        <v>25451</v>
      </c>
      <c r="B387" s="125" t="s">
        <v>28237</v>
      </c>
      <c r="C387" s="125">
        <v>1</v>
      </c>
    </row>
    <row r="388" spans="1:3" x14ac:dyDescent="0.25">
      <c r="A388" s="125" t="s">
        <v>25465</v>
      </c>
      <c r="B388" s="125" t="s">
        <v>28301</v>
      </c>
      <c r="C388" s="125">
        <v>1</v>
      </c>
    </row>
    <row r="389" spans="1:3" x14ac:dyDescent="0.25">
      <c r="A389" s="125" t="s">
        <v>25464</v>
      </c>
      <c r="B389" s="125" t="s">
        <v>28227</v>
      </c>
      <c r="C389" s="125">
        <v>1</v>
      </c>
    </row>
    <row r="390" spans="1:3" x14ac:dyDescent="0.25">
      <c r="A390" s="125" t="s">
        <v>52</v>
      </c>
      <c r="B390" s="125" t="s">
        <v>28271</v>
      </c>
      <c r="C390" s="125">
        <v>1</v>
      </c>
    </row>
    <row r="391" spans="1:3" x14ac:dyDescent="0.25">
      <c r="A391" s="125" t="s">
        <v>25382</v>
      </c>
      <c r="B391" s="125" t="s">
        <v>28355</v>
      </c>
      <c r="C391" s="125">
        <v>1</v>
      </c>
    </row>
    <row r="392" spans="1:3" x14ac:dyDescent="0.25">
      <c r="A392" s="125" t="s">
        <v>147</v>
      </c>
      <c r="B392" s="125" t="s">
        <v>28307</v>
      </c>
      <c r="C392" s="125">
        <v>1</v>
      </c>
    </row>
    <row r="393" spans="1:3" x14ac:dyDescent="0.25">
      <c r="A393" s="125" t="s">
        <v>25371</v>
      </c>
      <c r="B393" s="125" t="s">
        <v>28332</v>
      </c>
      <c r="C393" s="125">
        <v>1</v>
      </c>
    </row>
    <row r="394" spans="1:3" x14ac:dyDescent="0.25">
      <c r="A394" s="125" t="s">
        <v>52</v>
      </c>
      <c r="B394" s="125" t="s">
        <v>28325</v>
      </c>
      <c r="C394" s="125">
        <v>1</v>
      </c>
    </row>
    <row r="395" spans="1:3" x14ac:dyDescent="0.25">
      <c r="A395" s="125" t="s">
        <v>123</v>
      </c>
      <c r="B395" s="125" t="s">
        <v>28243</v>
      </c>
      <c r="C395" s="125">
        <v>1</v>
      </c>
    </row>
    <row r="396" spans="1:3" x14ac:dyDescent="0.25">
      <c r="A396" s="125" t="s">
        <v>25480</v>
      </c>
      <c r="B396" s="125" t="s">
        <v>28301</v>
      </c>
      <c r="C396" s="125">
        <v>1</v>
      </c>
    </row>
    <row r="397" spans="1:3" x14ac:dyDescent="0.25">
      <c r="A397" s="125" t="s">
        <v>25546</v>
      </c>
      <c r="B397" s="125" t="s">
        <v>28319</v>
      </c>
      <c r="C397" s="125">
        <v>1</v>
      </c>
    </row>
    <row r="398" spans="1:3" x14ac:dyDescent="0.25">
      <c r="A398" s="125" t="s">
        <v>25543</v>
      </c>
      <c r="B398" s="125" t="s">
        <v>28252</v>
      </c>
      <c r="C398" s="125">
        <v>1</v>
      </c>
    </row>
    <row r="399" spans="1:3" x14ac:dyDescent="0.25">
      <c r="A399" s="125" t="s">
        <v>25544</v>
      </c>
      <c r="B399" s="125" t="s">
        <v>28356</v>
      </c>
      <c r="C399" s="125">
        <v>1</v>
      </c>
    </row>
    <row r="400" spans="1:3" x14ac:dyDescent="0.25">
      <c r="A400" s="125" t="s">
        <v>25546</v>
      </c>
      <c r="B400" s="125" t="s">
        <v>28316</v>
      </c>
      <c r="C400" s="125">
        <v>1</v>
      </c>
    </row>
    <row r="401" spans="1:3" x14ac:dyDescent="0.25">
      <c r="A401" s="125" t="s">
        <v>25545</v>
      </c>
      <c r="B401" s="125" t="s">
        <v>28354</v>
      </c>
      <c r="C401" s="125">
        <v>1</v>
      </c>
    </row>
    <row r="402" spans="1:3" x14ac:dyDescent="0.25">
      <c r="A402" s="125" t="s">
        <v>25543</v>
      </c>
      <c r="B402" s="125" t="s">
        <v>28242</v>
      </c>
      <c r="C402" s="125">
        <v>1</v>
      </c>
    </row>
    <row r="403" spans="1:3" x14ac:dyDescent="0.25">
      <c r="A403" s="125" t="s">
        <v>25405</v>
      </c>
      <c r="B403" s="125" t="s">
        <v>25308</v>
      </c>
      <c r="C403" s="125">
        <v>1</v>
      </c>
    </row>
    <row r="404" spans="1:3" x14ac:dyDescent="0.25">
      <c r="A404" s="125" t="s">
        <v>23</v>
      </c>
      <c r="B404" s="125" t="s">
        <v>28299</v>
      </c>
      <c r="C404" s="125">
        <v>1</v>
      </c>
    </row>
    <row r="405" spans="1:3" x14ac:dyDescent="0.25">
      <c r="A405" s="125" t="s">
        <v>25538</v>
      </c>
      <c r="B405" s="125" t="s">
        <v>28265</v>
      </c>
      <c r="C405" s="125">
        <v>1</v>
      </c>
    </row>
    <row r="406" spans="1:3" x14ac:dyDescent="0.25">
      <c r="A406" s="125" t="s">
        <v>25405</v>
      </c>
      <c r="B406" s="125" t="s">
        <v>28301</v>
      </c>
      <c r="C406" s="125">
        <v>1</v>
      </c>
    </row>
    <row r="407" spans="1:3" x14ac:dyDescent="0.25">
      <c r="A407" s="125" t="s">
        <v>42</v>
      </c>
      <c r="B407" s="125" t="s">
        <v>28275</v>
      </c>
      <c r="C407" s="125">
        <v>1</v>
      </c>
    </row>
    <row r="408" spans="1:3" x14ac:dyDescent="0.25">
      <c r="A408" s="125" t="s">
        <v>22</v>
      </c>
      <c r="B408" s="125" t="s">
        <v>28295</v>
      </c>
      <c r="C408" s="125">
        <v>1</v>
      </c>
    </row>
    <row r="409" spans="1:3" x14ac:dyDescent="0.25">
      <c r="A409" s="125" t="s">
        <v>25468</v>
      </c>
      <c r="B409" s="125" t="s">
        <v>28319</v>
      </c>
      <c r="C409" s="125">
        <v>1</v>
      </c>
    </row>
    <row r="410" spans="1:3" x14ac:dyDescent="0.25">
      <c r="A410" s="125" t="s">
        <v>25418</v>
      </c>
      <c r="B410" s="125" t="s">
        <v>28287</v>
      </c>
      <c r="C410" s="125">
        <v>1</v>
      </c>
    </row>
    <row r="411" spans="1:3" x14ac:dyDescent="0.25">
      <c r="A411" s="125" t="s">
        <v>25377</v>
      </c>
      <c r="B411" s="125" t="s">
        <v>28237</v>
      </c>
      <c r="C411" s="125">
        <v>1</v>
      </c>
    </row>
    <row r="412" spans="1:3" x14ac:dyDescent="0.25">
      <c r="A412" s="125" t="s">
        <v>25494</v>
      </c>
      <c r="B412" s="125" t="s">
        <v>28221</v>
      </c>
      <c r="C412" s="125">
        <v>1</v>
      </c>
    </row>
    <row r="413" spans="1:3" x14ac:dyDescent="0.25">
      <c r="A413" s="125" t="s">
        <v>25418</v>
      </c>
      <c r="B413" s="125" t="s">
        <v>28245</v>
      </c>
      <c r="C413" s="125">
        <v>1</v>
      </c>
    </row>
    <row r="414" spans="1:3" x14ac:dyDescent="0.25">
      <c r="A414" s="125" t="s">
        <v>25424</v>
      </c>
      <c r="B414" s="125" t="s">
        <v>28221</v>
      </c>
      <c r="C414" s="125">
        <v>1</v>
      </c>
    </row>
    <row r="415" spans="1:3" x14ac:dyDescent="0.25">
      <c r="A415" s="125" t="s">
        <v>130</v>
      </c>
      <c r="B415" s="125" t="s">
        <v>28220</v>
      </c>
      <c r="C415" s="125">
        <v>1</v>
      </c>
    </row>
    <row r="416" spans="1:3" x14ac:dyDescent="0.25">
      <c r="A416" s="125" t="s">
        <v>25342</v>
      </c>
      <c r="B416" s="125" t="s">
        <v>28236</v>
      </c>
      <c r="C416" s="125">
        <v>1</v>
      </c>
    </row>
    <row r="417" spans="1:3" x14ac:dyDescent="0.25">
      <c r="A417" s="125" t="s">
        <v>25344</v>
      </c>
      <c r="B417" s="125" t="s">
        <v>28283</v>
      </c>
      <c r="C417" s="125">
        <v>1</v>
      </c>
    </row>
    <row r="418" spans="1:3" x14ac:dyDescent="0.25">
      <c r="A418" s="125" t="s">
        <v>25357</v>
      </c>
      <c r="B418" s="125" t="s">
        <v>28222</v>
      </c>
      <c r="C418" s="125">
        <v>1</v>
      </c>
    </row>
    <row r="419" spans="1:3" x14ac:dyDescent="0.25">
      <c r="A419" s="125" t="s">
        <v>25354</v>
      </c>
      <c r="B419" s="125" t="s">
        <v>28283</v>
      </c>
      <c r="C419" s="125">
        <v>1</v>
      </c>
    </row>
    <row r="420" spans="1:3" x14ac:dyDescent="0.25">
      <c r="A420" s="125" t="s">
        <v>56</v>
      </c>
      <c r="B420" s="125" t="s">
        <v>28287</v>
      </c>
      <c r="C420" s="125">
        <v>1</v>
      </c>
    </row>
    <row r="421" spans="1:3" x14ac:dyDescent="0.25">
      <c r="A421" s="125" t="s">
        <v>215</v>
      </c>
      <c r="B421" s="125" t="s">
        <v>28287</v>
      </c>
      <c r="C421" s="125">
        <v>1</v>
      </c>
    </row>
    <row r="422" spans="1:3" x14ac:dyDescent="0.25">
      <c r="A422" s="125" t="s">
        <v>28</v>
      </c>
      <c r="B422" s="125" t="s">
        <v>25334</v>
      </c>
      <c r="C422" s="125">
        <v>1</v>
      </c>
    </row>
    <row r="423" spans="1:3" x14ac:dyDescent="0.25">
      <c r="A423" s="125" t="s">
        <v>25347</v>
      </c>
      <c r="B423" s="125" t="s">
        <v>28283</v>
      </c>
      <c r="C423" s="125">
        <v>1</v>
      </c>
    </row>
    <row r="424" spans="1:3" x14ac:dyDescent="0.25">
      <c r="A424" s="125" t="s">
        <v>36</v>
      </c>
      <c r="B424" s="125" t="s">
        <v>28297</v>
      </c>
      <c r="C424" s="125">
        <v>1</v>
      </c>
    </row>
    <row r="425" spans="1:3" x14ac:dyDescent="0.25">
      <c r="A425" s="125" t="s">
        <v>23</v>
      </c>
      <c r="B425" s="125" t="s">
        <v>25334</v>
      </c>
      <c r="C425" s="125">
        <v>1</v>
      </c>
    </row>
    <row r="426" spans="1:3" x14ac:dyDescent="0.25">
      <c r="A426" s="125" t="s">
        <v>25492</v>
      </c>
      <c r="B426" s="125" t="s">
        <v>28247</v>
      </c>
      <c r="C426" s="125">
        <v>1</v>
      </c>
    </row>
    <row r="427" spans="1:3" x14ac:dyDescent="0.25">
      <c r="A427" s="125" t="s">
        <v>25544</v>
      </c>
      <c r="B427" s="125" t="s">
        <v>28229</v>
      </c>
      <c r="C427" s="125">
        <v>1</v>
      </c>
    </row>
    <row r="428" spans="1:3" x14ac:dyDescent="0.25">
      <c r="A428" s="125" t="s">
        <v>43</v>
      </c>
      <c r="B428" s="125" t="s">
        <v>28245</v>
      </c>
      <c r="C428" s="125">
        <v>1</v>
      </c>
    </row>
    <row r="429" spans="1:3" x14ac:dyDescent="0.25">
      <c r="A429" s="125" t="s">
        <v>28357</v>
      </c>
      <c r="B429" s="125" t="s">
        <v>28229</v>
      </c>
      <c r="C429" s="125">
        <v>1</v>
      </c>
    </row>
    <row r="430" spans="1:3" x14ac:dyDescent="0.25">
      <c r="A430" s="125" t="s">
        <v>27</v>
      </c>
      <c r="B430" s="125" t="s">
        <v>28272</v>
      </c>
      <c r="C430" s="125">
        <v>1</v>
      </c>
    </row>
    <row r="431" spans="1:3" x14ac:dyDescent="0.25">
      <c r="A431" s="125" t="s">
        <v>25532</v>
      </c>
      <c r="B431" s="125" t="s">
        <v>25334</v>
      </c>
      <c r="C431" s="125">
        <v>1</v>
      </c>
    </row>
    <row r="432" spans="1:3" x14ac:dyDescent="0.25">
      <c r="A432" s="125" t="s">
        <v>1</v>
      </c>
      <c r="B432" s="125" t="s">
        <v>28358</v>
      </c>
      <c r="C432" s="125">
        <v>1</v>
      </c>
    </row>
    <row r="433" spans="1:3" x14ac:dyDescent="0.25">
      <c r="A433" s="125" t="s">
        <v>25365</v>
      </c>
      <c r="B433" s="125" t="s">
        <v>28226</v>
      </c>
      <c r="C433" s="125">
        <v>1</v>
      </c>
    </row>
    <row r="434" spans="1:3" x14ac:dyDescent="0.25">
      <c r="A434" s="125" t="s">
        <v>25337</v>
      </c>
      <c r="B434" s="125" t="s">
        <v>25308</v>
      </c>
      <c r="C434" s="125">
        <v>1</v>
      </c>
    </row>
    <row r="435" spans="1:3" x14ac:dyDescent="0.25">
      <c r="A435" s="125" t="s">
        <v>28359</v>
      </c>
      <c r="B435" s="125" t="s">
        <v>28297</v>
      </c>
      <c r="C435" s="125">
        <v>1</v>
      </c>
    </row>
    <row r="436" spans="1:3" x14ac:dyDescent="0.25">
      <c r="A436" s="125" t="s">
        <v>28360</v>
      </c>
      <c r="B436" s="125" t="s">
        <v>28355</v>
      </c>
      <c r="C436" s="125">
        <v>1</v>
      </c>
    </row>
    <row r="437" spans="1:3" x14ac:dyDescent="0.25">
      <c r="A437" s="125" t="s">
        <v>36</v>
      </c>
      <c r="B437" s="125" t="s">
        <v>28361</v>
      </c>
      <c r="C437" s="125">
        <v>1</v>
      </c>
    </row>
    <row r="438" spans="1:3" x14ac:dyDescent="0.25">
      <c r="A438" s="125" t="s">
        <v>25343</v>
      </c>
      <c r="B438" s="125" t="s">
        <v>28283</v>
      </c>
      <c r="C438" s="125">
        <v>1</v>
      </c>
    </row>
    <row r="439" spans="1:3" x14ac:dyDescent="0.25">
      <c r="A439" s="125" t="s">
        <v>25503</v>
      </c>
      <c r="B439" s="125" t="s">
        <v>25308</v>
      </c>
      <c r="C439" s="125">
        <v>1</v>
      </c>
    </row>
    <row r="440" spans="1:3" x14ac:dyDescent="0.25">
      <c r="A440" s="125" t="s">
        <v>28362</v>
      </c>
      <c r="B440" s="125" t="s">
        <v>28247</v>
      </c>
      <c r="C440" s="125">
        <v>1</v>
      </c>
    </row>
    <row r="441" spans="1:3" x14ac:dyDescent="0.25">
      <c r="A441" s="125" t="s">
        <v>25418</v>
      </c>
      <c r="B441" s="125" t="s">
        <v>28253</v>
      </c>
      <c r="C441" s="125">
        <v>1</v>
      </c>
    </row>
    <row r="442" spans="1:3" x14ac:dyDescent="0.25">
      <c r="A442" s="125" t="s">
        <v>130</v>
      </c>
      <c r="B442" s="125" t="s">
        <v>28229</v>
      </c>
      <c r="C442" s="125">
        <v>1</v>
      </c>
    </row>
    <row r="443" spans="1:3" x14ac:dyDescent="0.25">
      <c r="A443" s="125" t="s">
        <v>25480</v>
      </c>
      <c r="B443" s="125" t="s">
        <v>25308</v>
      </c>
      <c r="C443" s="125">
        <v>1</v>
      </c>
    </row>
    <row r="444" spans="1:3" x14ac:dyDescent="0.25">
      <c r="A444" s="125" t="s">
        <v>25435</v>
      </c>
      <c r="B444" s="125" t="s">
        <v>28313</v>
      </c>
      <c r="C444" s="125">
        <v>1</v>
      </c>
    </row>
    <row r="445" spans="1:3" x14ac:dyDescent="0.25">
      <c r="A445" s="125" t="s">
        <v>28363</v>
      </c>
      <c r="B445" s="125" t="s">
        <v>28287</v>
      </c>
      <c r="C445" s="125">
        <v>1</v>
      </c>
    </row>
    <row r="446" spans="1:3" x14ac:dyDescent="0.25">
      <c r="A446" s="125" t="s">
        <v>22</v>
      </c>
      <c r="B446" s="125" t="s">
        <v>28313</v>
      </c>
      <c r="C446" s="125">
        <v>1</v>
      </c>
    </row>
    <row r="447" spans="1:3" x14ac:dyDescent="0.25">
      <c r="A447" s="125" t="s">
        <v>28364</v>
      </c>
      <c r="B447" s="125" t="s">
        <v>28221</v>
      </c>
      <c r="C447" s="125">
        <v>1</v>
      </c>
    </row>
    <row r="448" spans="1:3" x14ac:dyDescent="0.25">
      <c r="A448" s="125" t="s">
        <v>43</v>
      </c>
      <c r="B448" s="125" t="s">
        <v>28279</v>
      </c>
      <c r="C448" s="125">
        <v>1</v>
      </c>
    </row>
    <row r="449" spans="1:3" x14ac:dyDescent="0.25">
      <c r="A449" s="125" t="s">
        <v>215</v>
      </c>
      <c r="B449" s="125" t="s">
        <v>28319</v>
      </c>
      <c r="C449" s="125">
        <v>1</v>
      </c>
    </row>
    <row r="450" spans="1:3" x14ac:dyDescent="0.25">
      <c r="A450" s="125" t="s">
        <v>22</v>
      </c>
      <c r="B450" s="125" t="s">
        <v>28279</v>
      </c>
      <c r="C450" s="125">
        <v>1</v>
      </c>
    </row>
    <row r="451" spans="1:3" x14ac:dyDescent="0.25">
      <c r="A451" s="125" t="s">
        <v>25492</v>
      </c>
      <c r="B451" s="125" t="s">
        <v>25308</v>
      </c>
      <c r="C451" s="125">
        <v>1</v>
      </c>
    </row>
    <row r="452" spans="1:3" x14ac:dyDescent="0.25">
      <c r="A452" s="125" t="s">
        <v>28362</v>
      </c>
      <c r="B452" s="125" t="s">
        <v>25333</v>
      </c>
      <c r="C452" s="125">
        <v>1</v>
      </c>
    </row>
    <row r="453" spans="1:3" x14ac:dyDescent="0.25">
      <c r="A453" s="125" t="s">
        <v>25354</v>
      </c>
      <c r="B453" s="125" t="s">
        <v>28263</v>
      </c>
      <c r="C453" s="125">
        <v>1</v>
      </c>
    </row>
    <row r="454" spans="1:3" x14ac:dyDescent="0.25">
      <c r="A454" s="125" t="s">
        <v>28294</v>
      </c>
      <c r="B454" s="125" t="s">
        <v>28222</v>
      </c>
      <c r="C454" s="125">
        <v>1</v>
      </c>
    </row>
    <row r="455" spans="1:3" x14ac:dyDescent="0.25">
      <c r="A455" s="125" t="s">
        <v>52</v>
      </c>
      <c r="B455" s="125" t="s">
        <v>25333</v>
      </c>
      <c r="C455" s="125">
        <v>1</v>
      </c>
    </row>
    <row r="456" spans="1:3" x14ac:dyDescent="0.25">
      <c r="A456" s="125" t="s">
        <v>123</v>
      </c>
      <c r="B456" s="125" t="s">
        <v>28221</v>
      </c>
      <c r="C456" s="125">
        <v>1</v>
      </c>
    </row>
    <row r="457" spans="1:3" x14ac:dyDescent="0.25">
      <c r="A457" s="125" t="s">
        <v>25527</v>
      </c>
      <c r="B457" s="125" t="s">
        <v>25308</v>
      </c>
      <c r="C457" s="125">
        <v>1</v>
      </c>
    </row>
    <row r="458" spans="1:3" x14ac:dyDescent="0.25">
      <c r="A458" s="125" t="s">
        <v>28</v>
      </c>
      <c r="B458" s="125" t="s">
        <v>28255</v>
      </c>
      <c r="C458" s="125">
        <v>1</v>
      </c>
    </row>
    <row r="459" spans="1:3" x14ac:dyDescent="0.25">
      <c r="A459" s="125" t="s">
        <v>25416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25308</v>
      </c>
      <c r="C460" s="125">
        <v>1</v>
      </c>
    </row>
    <row r="461" spans="1:3" x14ac:dyDescent="0.25">
      <c r="A461" s="125" t="s">
        <v>28365</v>
      </c>
      <c r="B461" s="125" t="s">
        <v>25333</v>
      </c>
      <c r="C461" s="125">
        <v>1</v>
      </c>
    </row>
    <row r="462" spans="1:3" x14ac:dyDescent="0.25">
      <c r="A462" s="125" t="s">
        <v>28366</v>
      </c>
      <c r="B462" s="125" t="s">
        <v>28221</v>
      </c>
      <c r="C462" s="125">
        <v>1</v>
      </c>
    </row>
    <row r="463" spans="1:3" x14ac:dyDescent="0.25">
      <c r="A463" s="125" t="s">
        <v>42</v>
      </c>
      <c r="B463" s="125" t="s">
        <v>28231</v>
      </c>
      <c r="C463" s="125">
        <v>1</v>
      </c>
    </row>
    <row r="464" spans="1:3" x14ac:dyDescent="0.25">
      <c r="A464" s="125" t="s">
        <v>25494</v>
      </c>
      <c r="B464" s="125" t="s">
        <v>28255</v>
      </c>
      <c r="C464" s="125">
        <v>1</v>
      </c>
    </row>
    <row r="465" spans="1:3" x14ac:dyDescent="0.25">
      <c r="A465" s="125" t="s">
        <v>28367</v>
      </c>
      <c r="B465" s="125" t="s">
        <v>28221</v>
      </c>
      <c r="C465" s="125">
        <v>1</v>
      </c>
    </row>
    <row r="466" spans="1:3" x14ac:dyDescent="0.25">
      <c r="A466" s="125" t="s">
        <v>25472</v>
      </c>
      <c r="B466" s="125" t="s">
        <v>28229</v>
      </c>
      <c r="C466" s="125">
        <v>1</v>
      </c>
    </row>
    <row r="467" spans="1:3" x14ac:dyDescent="0.25">
      <c r="A467" s="125" t="s">
        <v>25480</v>
      </c>
      <c r="B467" s="125" t="s">
        <v>25334</v>
      </c>
      <c r="C467" s="125">
        <v>1</v>
      </c>
    </row>
    <row r="468" spans="1:3" x14ac:dyDescent="0.25">
      <c r="A468" s="125" t="s">
        <v>100</v>
      </c>
      <c r="B468" s="125" t="s">
        <v>28223</v>
      </c>
      <c r="C468" s="125">
        <v>1</v>
      </c>
    </row>
    <row r="469" spans="1:3" x14ac:dyDescent="0.25">
      <c r="A469" s="125" t="s">
        <v>25452</v>
      </c>
      <c r="B469" s="125" t="s">
        <v>25308</v>
      </c>
      <c r="C469" s="125">
        <v>1</v>
      </c>
    </row>
    <row r="470" spans="1:3" x14ac:dyDescent="0.25">
      <c r="A470" s="125" t="s">
        <v>23</v>
      </c>
      <c r="B470" s="125" t="s">
        <v>28227</v>
      </c>
      <c r="C470" s="125">
        <v>1</v>
      </c>
    </row>
    <row r="471" spans="1:3" x14ac:dyDescent="0.25">
      <c r="A471" s="125" t="s">
        <v>25340</v>
      </c>
      <c r="B471" s="125" t="s">
        <v>28226</v>
      </c>
      <c r="C471" s="125">
        <v>1</v>
      </c>
    </row>
    <row r="472" spans="1:3" x14ac:dyDescent="0.25">
      <c r="A472" s="125" t="s">
        <v>25352</v>
      </c>
      <c r="B472" s="125" t="s">
        <v>28283</v>
      </c>
      <c r="C472" s="125">
        <v>1</v>
      </c>
    </row>
    <row r="473" spans="1:3" x14ac:dyDescent="0.25">
      <c r="A473" s="125" t="s">
        <v>52</v>
      </c>
      <c r="B473" s="125" t="s">
        <v>28311</v>
      </c>
      <c r="C473" s="125">
        <v>1</v>
      </c>
    </row>
    <row r="474" spans="1:3" x14ac:dyDescent="0.25">
      <c r="A474" s="125" t="s">
        <v>25340</v>
      </c>
      <c r="B474" s="125" t="s">
        <v>25308</v>
      </c>
      <c r="C474" s="125">
        <v>1</v>
      </c>
    </row>
    <row r="475" spans="1:3" x14ac:dyDescent="0.25">
      <c r="A475" s="125" t="s">
        <v>25408</v>
      </c>
      <c r="B475" s="125" t="s">
        <v>28256</v>
      </c>
      <c r="C475" s="125">
        <v>1</v>
      </c>
    </row>
    <row r="476" spans="1:3" x14ac:dyDescent="0.25">
      <c r="A476" s="125" t="s">
        <v>25385</v>
      </c>
      <c r="B476" s="125" t="s">
        <v>28227</v>
      </c>
      <c r="C476" s="125">
        <v>1</v>
      </c>
    </row>
    <row r="477" spans="1:3" x14ac:dyDescent="0.25">
      <c r="A477" s="125" t="s">
        <v>25458</v>
      </c>
      <c r="B477" s="125" t="s">
        <v>28285</v>
      </c>
      <c r="C477" s="125">
        <v>1</v>
      </c>
    </row>
    <row r="478" spans="1:3" x14ac:dyDescent="0.25">
      <c r="A478" s="125" t="s">
        <v>25367</v>
      </c>
      <c r="B478" s="125" t="s">
        <v>28242</v>
      </c>
      <c r="C478" s="125">
        <v>1</v>
      </c>
    </row>
    <row r="479" spans="1:3" x14ac:dyDescent="0.25">
      <c r="A479" s="125" t="s">
        <v>25367</v>
      </c>
      <c r="B479" s="125" t="s">
        <v>28220</v>
      </c>
      <c r="C479" s="125">
        <v>1</v>
      </c>
    </row>
    <row r="480" spans="1:3" x14ac:dyDescent="0.25">
      <c r="A480" s="125" t="s">
        <v>28270</v>
      </c>
      <c r="B480" s="125" t="s">
        <v>28361</v>
      </c>
      <c r="C480" s="125">
        <v>1</v>
      </c>
    </row>
    <row r="481" spans="1:3" x14ac:dyDescent="0.25">
      <c r="A481" s="125" t="s">
        <v>28368</v>
      </c>
      <c r="B481" s="125" t="s">
        <v>28256</v>
      </c>
      <c r="C481" s="125">
        <v>1</v>
      </c>
    </row>
    <row r="482" spans="1:3" x14ac:dyDescent="0.25">
      <c r="A482" s="125" t="s">
        <v>25452</v>
      </c>
      <c r="B482" s="125" t="s">
        <v>28221</v>
      </c>
      <c r="C482" s="125">
        <v>1</v>
      </c>
    </row>
    <row r="483" spans="1:3" x14ac:dyDescent="0.25">
      <c r="A483" s="125" t="s">
        <v>200</v>
      </c>
      <c r="B483" s="125" t="s">
        <v>25334</v>
      </c>
      <c r="C483" s="125">
        <v>1</v>
      </c>
    </row>
    <row r="484" spans="1:3" x14ac:dyDescent="0.25">
      <c r="A484" s="125" t="s">
        <v>28369</v>
      </c>
      <c r="B484" s="125" t="s">
        <v>28247</v>
      </c>
      <c r="C484" s="125">
        <v>1</v>
      </c>
    </row>
    <row r="485" spans="1:3" x14ac:dyDescent="0.25">
      <c r="A485" s="125" t="s">
        <v>201</v>
      </c>
      <c r="B485" s="125" t="s">
        <v>28226</v>
      </c>
      <c r="C485" s="125">
        <v>1</v>
      </c>
    </row>
    <row r="486" spans="1:3" x14ac:dyDescent="0.25">
      <c r="A486" s="125" t="s">
        <v>208</v>
      </c>
      <c r="B486" s="125" t="s">
        <v>28242</v>
      </c>
      <c r="C486" s="125">
        <v>1</v>
      </c>
    </row>
    <row r="487" spans="1:3" x14ac:dyDescent="0.25">
      <c r="A487" s="125" t="s">
        <v>25544</v>
      </c>
      <c r="B487" s="125" t="s">
        <v>28242</v>
      </c>
      <c r="C487" s="125">
        <v>1</v>
      </c>
    </row>
    <row r="488" spans="1:3" x14ac:dyDescent="0.25">
      <c r="A488" s="125" t="s">
        <v>23</v>
      </c>
      <c r="B488" s="125" t="s">
        <v>28356</v>
      </c>
      <c r="C488" s="125">
        <v>1</v>
      </c>
    </row>
    <row r="489" spans="1:3" x14ac:dyDescent="0.25">
      <c r="A489" s="125" t="s">
        <v>25456</v>
      </c>
      <c r="B489" s="125" t="s">
        <v>28225</v>
      </c>
      <c r="C489" s="125">
        <v>1</v>
      </c>
    </row>
    <row r="490" spans="1:3" x14ac:dyDescent="0.25">
      <c r="A490" s="125" t="s">
        <v>43</v>
      </c>
      <c r="B490" s="125" t="s">
        <v>28283</v>
      </c>
      <c r="C490" s="125">
        <v>1</v>
      </c>
    </row>
    <row r="491" spans="1:3" x14ac:dyDescent="0.25">
      <c r="A491" s="125" t="s">
        <v>25350</v>
      </c>
      <c r="B491" s="125" t="s">
        <v>28283</v>
      </c>
      <c r="C491" s="125">
        <v>1</v>
      </c>
    </row>
    <row r="492" spans="1:3" x14ac:dyDescent="0.25">
      <c r="A492" s="125" t="s">
        <v>25488</v>
      </c>
      <c r="B492" s="125" t="s">
        <v>28221</v>
      </c>
      <c r="C492" s="125">
        <v>1</v>
      </c>
    </row>
    <row r="493" spans="1:3" x14ac:dyDescent="0.25">
      <c r="A493" s="125" t="s">
        <v>130</v>
      </c>
      <c r="B493" s="125" t="s">
        <v>28242</v>
      </c>
      <c r="C493" s="125">
        <v>1</v>
      </c>
    </row>
    <row r="494" spans="1:3" x14ac:dyDescent="0.25">
      <c r="A494" s="125" t="s">
        <v>25402</v>
      </c>
      <c r="B494" s="125" t="s">
        <v>25308</v>
      </c>
      <c r="C494" s="125">
        <v>1</v>
      </c>
    </row>
    <row r="495" spans="1:3" x14ac:dyDescent="0.25">
      <c r="A495" s="125" t="s">
        <v>25488</v>
      </c>
      <c r="B495" s="125" t="s">
        <v>28233</v>
      </c>
      <c r="C495" s="125">
        <v>1</v>
      </c>
    </row>
    <row r="496" spans="1:3" x14ac:dyDescent="0.25">
      <c r="A496" s="125" t="s">
        <v>25395</v>
      </c>
      <c r="B496" s="125" t="s">
        <v>28256</v>
      </c>
      <c r="C496" s="125">
        <v>1</v>
      </c>
    </row>
    <row r="497" spans="1:3" x14ac:dyDescent="0.25">
      <c r="A497" s="125" t="s">
        <v>25391</v>
      </c>
      <c r="B497" s="125" t="s">
        <v>28227</v>
      </c>
      <c r="C497" s="125">
        <v>1</v>
      </c>
    </row>
    <row r="498" spans="1:3" x14ac:dyDescent="0.25">
      <c r="A498" s="125" t="s">
        <v>25457</v>
      </c>
      <c r="B498" s="125" t="s">
        <v>28225</v>
      </c>
      <c r="C498" s="125">
        <v>1</v>
      </c>
    </row>
    <row r="499" spans="1:3" x14ac:dyDescent="0.25">
      <c r="A499" s="125" t="s">
        <v>25480</v>
      </c>
      <c r="B499" s="125" t="s">
        <v>28228</v>
      </c>
      <c r="C499" s="125">
        <v>1</v>
      </c>
    </row>
    <row r="500" spans="1:3" x14ac:dyDescent="0.25">
      <c r="A500" s="125" t="s">
        <v>25406</v>
      </c>
      <c r="B500" s="125" t="s">
        <v>28245</v>
      </c>
      <c r="C500" s="125">
        <v>1</v>
      </c>
    </row>
    <row r="501" spans="1:3" x14ac:dyDescent="0.25">
      <c r="A501" s="125" t="s">
        <v>25541</v>
      </c>
      <c r="B501" s="125" t="s">
        <v>28222</v>
      </c>
      <c r="C501" s="125">
        <v>1</v>
      </c>
    </row>
    <row r="502" spans="1:3" x14ac:dyDescent="0.25">
      <c r="A502" s="125" t="s">
        <v>123</v>
      </c>
      <c r="B502" s="125" t="s">
        <v>28256</v>
      </c>
      <c r="C502" s="125">
        <v>1</v>
      </c>
    </row>
    <row r="503" spans="1:3" x14ac:dyDescent="0.25">
      <c r="A503" s="125" t="s">
        <v>58</v>
      </c>
      <c r="B503" s="125" t="s">
        <v>28228</v>
      </c>
      <c r="C503" s="125">
        <v>1</v>
      </c>
    </row>
    <row r="504" spans="1:3" x14ac:dyDescent="0.25">
      <c r="A504" s="125" t="s">
        <v>29</v>
      </c>
      <c r="B504" s="125" t="s">
        <v>28256</v>
      </c>
      <c r="C504" s="125">
        <v>1</v>
      </c>
    </row>
    <row r="505" spans="1:3" x14ac:dyDescent="0.25">
      <c r="A505" s="125" t="s">
        <v>25392</v>
      </c>
      <c r="B505" s="125" t="s">
        <v>28227</v>
      </c>
      <c r="C505" s="125">
        <v>1</v>
      </c>
    </row>
    <row r="506" spans="1:3" x14ac:dyDescent="0.25">
      <c r="A506" s="125" t="s">
        <v>1</v>
      </c>
      <c r="B506" s="125" t="s">
        <v>28298</v>
      </c>
      <c r="C506" s="125">
        <v>1</v>
      </c>
    </row>
    <row r="507" spans="1:3" x14ac:dyDescent="0.25">
      <c r="A507" s="125" t="s">
        <v>25384</v>
      </c>
      <c r="B507" s="125" t="s">
        <v>28227</v>
      </c>
      <c r="C507" s="125">
        <v>1</v>
      </c>
    </row>
    <row r="508" spans="1:3" x14ac:dyDescent="0.25">
      <c r="A508" s="125" t="s">
        <v>25529</v>
      </c>
      <c r="B508" s="125" t="s">
        <v>28287</v>
      </c>
      <c r="C508" s="125">
        <v>1</v>
      </c>
    </row>
    <row r="509" spans="1:3" x14ac:dyDescent="0.25">
      <c r="A509" s="125" t="s">
        <v>25381</v>
      </c>
      <c r="B509" s="125" t="s">
        <v>28279</v>
      </c>
      <c r="C509" s="125">
        <v>1</v>
      </c>
    </row>
    <row r="510" spans="1:3" x14ac:dyDescent="0.25">
      <c r="A510" s="125" t="s">
        <v>1</v>
      </c>
      <c r="B510" s="125" t="s">
        <v>28287</v>
      </c>
      <c r="C510" s="125">
        <v>1</v>
      </c>
    </row>
    <row r="511" spans="1:3" x14ac:dyDescent="0.25">
      <c r="A511" s="125" t="s">
        <v>197</v>
      </c>
      <c r="B511" s="125" t="s">
        <v>28222</v>
      </c>
      <c r="C511" s="125">
        <v>1</v>
      </c>
    </row>
    <row r="512" spans="1:3" x14ac:dyDescent="0.25">
      <c r="A512" s="125" t="s">
        <v>25481</v>
      </c>
      <c r="B512" s="125" t="s">
        <v>28355</v>
      </c>
      <c r="C512" s="125">
        <v>1</v>
      </c>
    </row>
    <row r="513" spans="1:3" x14ac:dyDescent="0.25">
      <c r="A513" s="125" t="s">
        <v>25489</v>
      </c>
      <c r="B513" s="125" t="s">
        <v>28227</v>
      </c>
      <c r="C513" s="125">
        <v>1</v>
      </c>
    </row>
    <row r="514" spans="1:3" x14ac:dyDescent="0.25">
      <c r="A514" s="125" t="s">
        <v>25497</v>
      </c>
      <c r="B514" s="125" t="s">
        <v>28301</v>
      </c>
      <c r="C514" s="125">
        <v>1</v>
      </c>
    </row>
    <row r="515" spans="1:3" x14ac:dyDescent="0.25">
      <c r="A515" s="125" t="s">
        <v>28370</v>
      </c>
      <c r="B515" s="125" t="s">
        <v>28298</v>
      </c>
      <c r="C515" s="125">
        <v>1</v>
      </c>
    </row>
    <row r="516" spans="1:3" x14ac:dyDescent="0.25">
      <c r="A516" s="125" t="s">
        <v>127</v>
      </c>
      <c r="B516" s="125" t="s">
        <v>28256</v>
      </c>
      <c r="C516" s="125">
        <v>1</v>
      </c>
    </row>
    <row r="517" spans="1:3" x14ac:dyDescent="0.25">
      <c r="A517" s="125" t="s">
        <v>55</v>
      </c>
      <c r="B517" s="125" t="s">
        <v>28247</v>
      </c>
      <c r="C517" s="125">
        <v>1</v>
      </c>
    </row>
    <row r="518" spans="1:3" x14ac:dyDescent="0.25">
      <c r="A518" s="125" t="s">
        <v>22</v>
      </c>
      <c r="B518" s="125" t="s">
        <v>28226</v>
      </c>
      <c r="C518" s="125">
        <v>1</v>
      </c>
    </row>
    <row r="519" spans="1:3" x14ac:dyDescent="0.25">
      <c r="A519" s="125" t="s">
        <v>35</v>
      </c>
      <c r="B519" s="125" t="s">
        <v>28222</v>
      </c>
      <c r="C519" s="125">
        <v>1</v>
      </c>
    </row>
    <row r="520" spans="1:3" x14ac:dyDescent="0.25">
      <c r="A520" s="125" t="s">
        <v>25508</v>
      </c>
      <c r="B520" s="125" t="s">
        <v>28313</v>
      </c>
      <c r="C520" s="125">
        <v>1</v>
      </c>
    </row>
    <row r="521" spans="1:3" x14ac:dyDescent="0.25">
      <c r="A521" s="125" t="s">
        <v>25413</v>
      </c>
      <c r="B521" s="125" t="s">
        <v>28220</v>
      </c>
      <c r="C521" s="125">
        <v>1</v>
      </c>
    </row>
    <row r="522" spans="1:3" x14ac:dyDescent="0.25">
      <c r="A522" s="125" t="s">
        <v>28293</v>
      </c>
      <c r="B522" s="125" t="s">
        <v>28371</v>
      </c>
      <c r="C522" s="125">
        <v>1</v>
      </c>
    </row>
    <row r="523" spans="1:3" x14ac:dyDescent="0.25">
      <c r="A523" s="125" t="s">
        <v>28289</v>
      </c>
      <c r="B523" s="125" t="s">
        <v>28234</v>
      </c>
      <c r="C523" s="125">
        <v>1</v>
      </c>
    </row>
    <row r="524" spans="1:3" x14ac:dyDescent="0.25">
      <c r="A524" s="125" t="s">
        <v>25536</v>
      </c>
      <c r="B524" s="125" t="s">
        <v>25334</v>
      </c>
      <c r="C524" s="125">
        <v>1</v>
      </c>
    </row>
    <row r="525" spans="1:3" x14ac:dyDescent="0.25">
      <c r="A525" s="125" t="s">
        <v>25402</v>
      </c>
      <c r="B525" s="125" t="s">
        <v>28245</v>
      </c>
      <c r="C525" s="125">
        <v>1</v>
      </c>
    </row>
    <row r="526" spans="1:3" x14ac:dyDescent="0.25">
      <c r="A526" s="125" t="s">
        <v>25516</v>
      </c>
      <c r="B526" s="125" t="s">
        <v>28297</v>
      </c>
      <c r="C526" s="125">
        <v>1</v>
      </c>
    </row>
    <row r="527" spans="1:3" x14ac:dyDescent="0.25">
      <c r="A527" s="125" t="s">
        <v>25477</v>
      </c>
      <c r="B527" s="125" t="s">
        <v>28332</v>
      </c>
      <c r="C527" s="125">
        <v>1</v>
      </c>
    </row>
    <row r="528" spans="1:3" x14ac:dyDescent="0.25">
      <c r="A528" s="125" t="s">
        <v>25517</v>
      </c>
      <c r="B528" s="125" t="s">
        <v>28229</v>
      </c>
      <c r="C528" s="125">
        <v>1</v>
      </c>
    </row>
    <row r="529" spans="1:3" x14ac:dyDescent="0.25">
      <c r="A529" s="125" t="s">
        <v>25394</v>
      </c>
      <c r="B529" s="125" t="s">
        <v>28229</v>
      </c>
      <c r="C529" s="125">
        <v>1</v>
      </c>
    </row>
    <row r="530" spans="1:3" x14ac:dyDescent="0.25">
      <c r="A530" s="125" t="s">
        <v>25461</v>
      </c>
      <c r="B530" s="125" t="s">
        <v>25332</v>
      </c>
      <c r="C530" s="125">
        <v>1</v>
      </c>
    </row>
    <row r="531" spans="1:3" x14ac:dyDescent="0.25">
      <c r="A531" s="125" t="s">
        <v>29</v>
      </c>
      <c r="B531" s="125" t="s">
        <v>28247</v>
      </c>
      <c r="C531" s="125">
        <v>1</v>
      </c>
    </row>
    <row r="532" spans="1:3" x14ac:dyDescent="0.25">
      <c r="A532" s="125" t="s">
        <v>25483</v>
      </c>
      <c r="B532" s="125" t="s">
        <v>28266</v>
      </c>
      <c r="C532" s="125">
        <v>1</v>
      </c>
    </row>
    <row r="533" spans="1:3" x14ac:dyDescent="0.25">
      <c r="A533" s="125" t="s">
        <v>25504</v>
      </c>
      <c r="B533" s="125" t="s">
        <v>28220</v>
      </c>
      <c r="C533" s="125">
        <v>1</v>
      </c>
    </row>
    <row r="534" spans="1:3" x14ac:dyDescent="0.25">
      <c r="A534" s="125" t="s">
        <v>27</v>
      </c>
      <c r="B534" s="125" t="s">
        <v>28228</v>
      </c>
      <c r="C534" s="125">
        <v>1</v>
      </c>
    </row>
    <row r="535" spans="1:3" x14ac:dyDescent="0.25">
      <c r="A535" s="125" t="s">
        <v>52</v>
      </c>
      <c r="B535" s="125" t="s">
        <v>28223</v>
      </c>
      <c r="C535" s="125">
        <v>1</v>
      </c>
    </row>
    <row r="536" spans="1:3" x14ac:dyDescent="0.25">
      <c r="A536" s="125" t="s">
        <v>26</v>
      </c>
      <c r="B536" s="125" t="s">
        <v>25334</v>
      </c>
      <c r="C536" s="125">
        <v>1</v>
      </c>
    </row>
    <row r="537" spans="1:3" x14ac:dyDescent="0.25">
      <c r="A537" s="125" t="s">
        <v>25397</v>
      </c>
      <c r="B537" s="125" t="s">
        <v>28372</v>
      </c>
      <c r="C537" s="125">
        <v>1</v>
      </c>
    </row>
    <row r="538" spans="1:3" x14ac:dyDescent="0.25">
      <c r="A538" s="125" t="s">
        <v>52</v>
      </c>
      <c r="B538" s="125" t="s">
        <v>28305</v>
      </c>
      <c r="C538" s="125">
        <v>1</v>
      </c>
    </row>
    <row r="539" spans="1:3" x14ac:dyDescent="0.25">
      <c r="A539" s="125" t="s">
        <v>25506</v>
      </c>
      <c r="B539" s="125" t="s">
        <v>28301</v>
      </c>
      <c r="C539" s="125">
        <v>1</v>
      </c>
    </row>
    <row r="540" spans="1:3" x14ac:dyDescent="0.25">
      <c r="A540" s="125" t="s">
        <v>25338</v>
      </c>
      <c r="B540" s="125" t="s">
        <v>28242</v>
      </c>
      <c r="C540" s="125">
        <v>1</v>
      </c>
    </row>
    <row r="541" spans="1:3" x14ac:dyDescent="0.25">
      <c r="A541" s="125" t="s">
        <v>25419</v>
      </c>
      <c r="B541" s="125" t="s">
        <v>28305</v>
      </c>
      <c r="C541" s="125">
        <v>1</v>
      </c>
    </row>
    <row r="542" spans="1:3" x14ac:dyDescent="0.25">
      <c r="A542" s="125" t="s">
        <v>25526</v>
      </c>
      <c r="B542" s="125" t="s">
        <v>28323</v>
      </c>
      <c r="C542" s="125">
        <v>1</v>
      </c>
    </row>
    <row r="543" spans="1:3" x14ac:dyDescent="0.25">
      <c r="A543" s="125" t="s">
        <v>25441</v>
      </c>
      <c r="B543" s="125" t="s">
        <v>28313</v>
      </c>
      <c r="C543" s="125">
        <v>1</v>
      </c>
    </row>
    <row r="544" spans="1:3" x14ac:dyDescent="0.25">
      <c r="A544" s="125" t="s">
        <v>25468</v>
      </c>
      <c r="B544" s="125" t="s">
        <v>28358</v>
      </c>
      <c r="C544" s="125">
        <v>1</v>
      </c>
    </row>
    <row r="545" spans="1:3" x14ac:dyDescent="0.25">
      <c r="A545" s="125" t="s">
        <v>25530</v>
      </c>
      <c r="B545" s="125" t="s">
        <v>28269</v>
      </c>
      <c r="C545" s="125">
        <v>1</v>
      </c>
    </row>
    <row r="546" spans="1:3" x14ac:dyDescent="0.25">
      <c r="A546" s="125" t="s">
        <v>25393</v>
      </c>
      <c r="B546" s="125" t="s">
        <v>28245</v>
      </c>
      <c r="C546" s="125">
        <v>1</v>
      </c>
    </row>
    <row r="547" spans="1:3" x14ac:dyDescent="0.25">
      <c r="A547" s="125" t="s">
        <v>123</v>
      </c>
      <c r="B547" s="125" t="s">
        <v>28286</v>
      </c>
      <c r="C547" s="125">
        <v>1</v>
      </c>
    </row>
    <row r="548" spans="1:3" x14ac:dyDescent="0.25">
      <c r="A548" s="125" t="s">
        <v>25366</v>
      </c>
      <c r="B548" s="125" t="s">
        <v>28238</v>
      </c>
      <c r="C548" s="125">
        <v>1</v>
      </c>
    </row>
    <row r="549" spans="1:3" x14ac:dyDescent="0.25">
      <c r="A549" s="125" t="s">
        <v>25422</v>
      </c>
      <c r="B549" s="125" t="s">
        <v>28316</v>
      </c>
      <c r="C549" s="125">
        <v>1</v>
      </c>
    </row>
    <row r="550" spans="1:3" x14ac:dyDescent="0.25">
      <c r="A550" s="125" t="s">
        <v>25376</v>
      </c>
      <c r="B550" s="125" t="s">
        <v>28231</v>
      </c>
      <c r="C550" s="125">
        <v>1</v>
      </c>
    </row>
    <row r="551" spans="1:3" x14ac:dyDescent="0.25">
      <c r="A551" s="125" t="s">
        <v>25474</v>
      </c>
      <c r="B551" s="125" t="s">
        <v>25333</v>
      </c>
      <c r="C551" s="125">
        <v>1</v>
      </c>
    </row>
    <row r="552" spans="1:3" x14ac:dyDescent="0.25">
      <c r="A552" s="125" t="s">
        <v>25366</v>
      </c>
      <c r="B552" s="125" t="s">
        <v>28226</v>
      </c>
      <c r="C552" s="125">
        <v>1</v>
      </c>
    </row>
    <row r="553" spans="1:3" x14ac:dyDescent="0.25">
      <c r="A553" s="125" t="s">
        <v>25377</v>
      </c>
      <c r="B553" s="125" t="s">
        <v>28298</v>
      </c>
      <c r="C553" s="125">
        <v>1</v>
      </c>
    </row>
    <row r="554" spans="1:3" x14ac:dyDescent="0.25">
      <c r="A554" s="125" t="s">
        <v>25460</v>
      </c>
      <c r="B554" s="125" t="s">
        <v>28256</v>
      </c>
      <c r="C554" s="125">
        <v>1</v>
      </c>
    </row>
    <row r="555" spans="1:3" x14ac:dyDescent="0.25">
      <c r="A555" s="125" t="s">
        <v>25473</v>
      </c>
      <c r="B555" s="125" t="s">
        <v>28236</v>
      </c>
      <c r="C555" s="125">
        <v>1</v>
      </c>
    </row>
    <row r="556" spans="1:3" x14ac:dyDescent="0.25">
      <c r="A556" s="125" t="s">
        <v>25525</v>
      </c>
      <c r="B556" s="125" t="s">
        <v>28222</v>
      </c>
      <c r="C556" s="125">
        <v>1</v>
      </c>
    </row>
    <row r="557" spans="1:3" x14ac:dyDescent="0.25">
      <c r="A557" s="125" t="s">
        <v>25471</v>
      </c>
      <c r="B557" s="125" t="s">
        <v>28373</v>
      </c>
      <c r="C557" s="125">
        <v>1</v>
      </c>
    </row>
    <row r="558" spans="1:3" x14ac:dyDescent="0.25">
      <c r="A558" s="125" t="s">
        <v>25480</v>
      </c>
      <c r="B558" s="125" t="s">
        <v>28287</v>
      </c>
      <c r="C558" s="125">
        <v>1</v>
      </c>
    </row>
    <row r="559" spans="1:3" x14ac:dyDescent="0.25">
      <c r="A559" s="125" t="s">
        <v>25492</v>
      </c>
      <c r="B559" s="125" t="s">
        <v>28221</v>
      </c>
      <c r="C559" s="125">
        <v>1</v>
      </c>
    </row>
    <row r="560" spans="1:3" x14ac:dyDescent="0.25">
      <c r="A560" s="125" t="s">
        <v>25476</v>
      </c>
      <c r="B560" s="125" t="s">
        <v>25333</v>
      </c>
      <c r="C560" s="125">
        <v>1</v>
      </c>
    </row>
    <row r="561" spans="1:3" x14ac:dyDescent="0.25">
      <c r="A561" s="125" t="s">
        <v>25457</v>
      </c>
      <c r="B561" s="125" t="s">
        <v>25308</v>
      </c>
      <c r="C561" s="125">
        <v>1</v>
      </c>
    </row>
    <row r="562" spans="1:3" x14ac:dyDescent="0.25">
      <c r="A562" s="125" t="s">
        <v>25438</v>
      </c>
      <c r="B562" s="125" t="s">
        <v>28220</v>
      </c>
      <c r="C562" s="125">
        <v>1</v>
      </c>
    </row>
    <row r="563" spans="1:3" x14ac:dyDescent="0.25">
      <c r="A563" s="125" t="s">
        <v>25453</v>
      </c>
      <c r="B563" s="125" t="s">
        <v>28225</v>
      </c>
      <c r="C563" s="125">
        <v>1</v>
      </c>
    </row>
    <row r="564" spans="1:3" x14ac:dyDescent="0.25">
      <c r="A564" s="125" t="s">
        <v>25405</v>
      </c>
      <c r="B564" s="125" t="s">
        <v>28245</v>
      </c>
      <c r="C564" s="125">
        <v>1</v>
      </c>
    </row>
    <row r="565" spans="1:3" x14ac:dyDescent="0.25">
      <c r="A565" s="125" t="s">
        <v>25368</v>
      </c>
      <c r="B565" s="125" t="s">
        <v>28374</v>
      </c>
      <c r="C565" s="125">
        <v>1</v>
      </c>
    </row>
    <row r="566" spans="1:3" x14ac:dyDescent="0.25">
      <c r="A566" s="125" t="s">
        <v>25467</v>
      </c>
      <c r="B566" s="125" t="s">
        <v>28276</v>
      </c>
      <c r="C566" s="125">
        <v>1</v>
      </c>
    </row>
    <row r="567" spans="1:3" x14ac:dyDescent="0.25">
      <c r="A567" s="125" t="s">
        <v>25493</v>
      </c>
      <c r="B567" s="125" t="s">
        <v>28239</v>
      </c>
      <c r="C567" s="125">
        <v>1</v>
      </c>
    </row>
    <row r="568" spans="1:3" x14ac:dyDescent="0.25">
      <c r="A568" s="125" t="s">
        <v>25522</v>
      </c>
      <c r="B568" s="125" t="s">
        <v>28344</v>
      </c>
      <c r="C568" s="125">
        <v>1</v>
      </c>
    </row>
    <row r="569" spans="1:3" x14ac:dyDescent="0.25">
      <c r="A569" s="125" t="s">
        <v>25471</v>
      </c>
      <c r="B569" s="125" t="s">
        <v>28247</v>
      </c>
      <c r="C569" s="125">
        <v>1</v>
      </c>
    </row>
    <row r="570" spans="1:3" x14ac:dyDescent="0.25">
      <c r="A570" s="125" t="s">
        <v>41</v>
      </c>
      <c r="B570" s="125" t="s">
        <v>28260</v>
      </c>
      <c r="C570" s="125">
        <v>1</v>
      </c>
    </row>
    <row r="571" spans="1:3" x14ac:dyDescent="0.25">
      <c r="A571" s="125" t="s">
        <v>25444</v>
      </c>
      <c r="B571" s="125" t="s">
        <v>28266</v>
      </c>
      <c r="C571" s="125">
        <v>1</v>
      </c>
    </row>
    <row r="572" spans="1:3" x14ac:dyDescent="0.25">
      <c r="A572" s="125" t="s">
        <v>25358</v>
      </c>
      <c r="B572" s="125" t="s">
        <v>28283</v>
      </c>
      <c r="C572" s="125">
        <v>1</v>
      </c>
    </row>
    <row r="573" spans="1:3" x14ac:dyDescent="0.25">
      <c r="A573" s="125" t="s">
        <v>25459</v>
      </c>
      <c r="B573" s="125" t="s">
        <v>28298</v>
      </c>
      <c r="C573" s="125">
        <v>1</v>
      </c>
    </row>
    <row r="574" spans="1:3" x14ac:dyDescent="0.25">
      <c r="A574" s="125" t="s">
        <v>28</v>
      </c>
      <c r="B574" s="125" t="s">
        <v>28220</v>
      </c>
      <c r="C574" s="125">
        <v>1</v>
      </c>
    </row>
    <row r="575" spans="1:3" x14ac:dyDescent="0.25">
      <c r="A575" s="125" t="s">
        <v>25374</v>
      </c>
      <c r="B575" s="125" t="s">
        <v>28227</v>
      </c>
      <c r="C575" s="125">
        <v>1</v>
      </c>
    </row>
    <row r="576" spans="1:3" x14ac:dyDescent="0.25">
      <c r="A576" s="125" t="s">
        <v>28353</v>
      </c>
      <c r="B576" s="125" t="s">
        <v>28311</v>
      </c>
      <c r="C576" s="125">
        <v>1</v>
      </c>
    </row>
    <row r="577" spans="1:3" x14ac:dyDescent="0.25">
      <c r="A577" s="125" t="s">
        <v>25518</v>
      </c>
      <c r="B577" s="125" t="s">
        <v>28229</v>
      </c>
      <c r="C577" s="125">
        <v>1</v>
      </c>
    </row>
    <row r="578" spans="1:3" x14ac:dyDescent="0.25">
      <c r="A578" s="125" t="s">
        <v>25485</v>
      </c>
      <c r="B578" s="125" t="s">
        <v>25333</v>
      </c>
      <c r="C578" s="125">
        <v>1</v>
      </c>
    </row>
    <row r="579" spans="1:3" x14ac:dyDescent="0.25">
      <c r="A579" s="125" t="s">
        <v>25515</v>
      </c>
      <c r="B579" s="125" t="s">
        <v>28229</v>
      </c>
      <c r="C579" s="125">
        <v>1</v>
      </c>
    </row>
    <row r="580" spans="1:3" x14ac:dyDescent="0.25">
      <c r="A580" s="125" t="s">
        <v>25497</v>
      </c>
      <c r="B580" s="125" t="s">
        <v>28221</v>
      </c>
      <c r="C580" s="125">
        <v>1</v>
      </c>
    </row>
    <row r="581" spans="1:3" x14ac:dyDescent="0.25">
      <c r="A581" s="125" t="s">
        <v>28277</v>
      </c>
      <c r="B581" s="125" t="s">
        <v>28228</v>
      </c>
      <c r="C581" s="125">
        <v>1</v>
      </c>
    </row>
    <row r="582" spans="1:3" x14ac:dyDescent="0.25">
      <c r="A582" s="125" t="s">
        <v>34</v>
      </c>
      <c r="B582" s="125" t="s">
        <v>28229</v>
      </c>
      <c r="C582" s="125">
        <v>1</v>
      </c>
    </row>
    <row r="583" spans="1:3" x14ac:dyDescent="0.25">
      <c r="A583" s="125" t="s">
        <v>23</v>
      </c>
      <c r="B583" s="125" t="s">
        <v>28336</v>
      </c>
      <c r="C583" s="125">
        <v>1</v>
      </c>
    </row>
    <row r="584" spans="1:3" x14ac:dyDescent="0.25">
      <c r="A584" s="125" t="s">
        <v>54</v>
      </c>
      <c r="B584" s="125" t="s">
        <v>28361</v>
      </c>
      <c r="C584" s="125">
        <v>1</v>
      </c>
    </row>
    <row r="585" spans="1:3" x14ac:dyDescent="0.25">
      <c r="A585" s="125" t="s">
        <v>27779</v>
      </c>
      <c r="B585" s="125" t="s">
        <v>28221</v>
      </c>
      <c r="C585" s="125">
        <v>1</v>
      </c>
    </row>
    <row r="586" spans="1:3" x14ac:dyDescent="0.25">
      <c r="A586" s="125" t="s">
        <v>28250</v>
      </c>
      <c r="B586" s="125" t="s">
        <v>28223</v>
      </c>
      <c r="C586" s="125">
        <v>1</v>
      </c>
    </row>
    <row r="587" spans="1:3" x14ac:dyDescent="0.25">
      <c r="A587" s="125" t="s">
        <v>28375</v>
      </c>
      <c r="B587" s="125" t="s">
        <v>28361</v>
      </c>
      <c r="C587" s="125">
        <v>1</v>
      </c>
    </row>
    <row r="588" spans="1:3" x14ac:dyDescent="0.25">
      <c r="A588" s="125" t="s">
        <v>54</v>
      </c>
      <c r="B588" s="125" t="s">
        <v>28222</v>
      </c>
      <c r="C588" s="125">
        <v>1</v>
      </c>
    </row>
    <row r="589" spans="1:3" x14ac:dyDescent="0.25">
      <c r="A589" s="125" t="s">
        <v>147</v>
      </c>
      <c r="B589" s="125" t="s">
        <v>28221</v>
      </c>
      <c r="C589" s="125">
        <v>1</v>
      </c>
    </row>
    <row r="590" spans="1:3" x14ac:dyDescent="0.25">
      <c r="A590" s="125" t="s">
        <v>200</v>
      </c>
      <c r="B590" s="125" t="s">
        <v>28225</v>
      </c>
      <c r="C590" s="125">
        <v>1</v>
      </c>
    </row>
    <row r="591" spans="1:3" x14ac:dyDescent="0.25">
      <c r="A591" s="125" t="s">
        <v>25376</v>
      </c>
      <c r="B591" s="125" t="s">
        <v>28285</v>
      </c>
      <c r="C591" s="125">
        <v>1</v>
      </c>
    </row>
    <row r="592" spans="1:3" x14ac:dyDescent="0.25">
      <c r="A592" s="125" t="s">
        <v>25523</v>
      </c>
      <c r="B592" s="125" t="s">
        <v>28298</v>
      </c>
      <c r="C592" s="125">
        <v>1</v>
      </c>
    </row>
    <row r="593" spans="1:3" x14ac:dyDescent="0.25">
      <c r="A593" s="125" t="s">
        <v>25400</v>
      </c>
      <c r="B593" s="125" t="s">
        <v>28249</v>
      </c>
      <c r="C593" s="125">
        <v>1</v>
      </c>
    </row>
    <row r="594" spans="1:3" x14ac:dyDescent="0.25">
      <c r="A594" s="125" t="s">
        <v>25447</v>
      </c>
      <c r="B594" s="125" t="s">
        <v>28239</v>
      </c>
      <c r="C594" s="125">
        <v>1</v>
      </c>
    </row>
    <row r="595" spans="1:3" x14ac:dyDescent="0.25">
      <c r="A595" s="125" t="s">
        <v>25481</v>
      </c>
      <c r="B595" s="125" t="s">
        <v>28228</v>
      </c>
      <c r="C595" s="125">
        <v>1</v>
      </c>
    </row>
    <row r="596" spans="1:3" x14ac:dyDescent="0.25">
      <c r="A596" s="125" t="s">
        <v>25496</v>
      </c>
      <c r="B596" s="125" t="s">
        <v>28221</v>
      </c>
      <c r="C596" s="125">
        <v>1</v>
      </c>
    </row>
    <row r="597" spans="1:3" x14ac:dyDescent="0.25">
      <c r="A597" s="125" t="s">
        <v>25487</v>
      </c>
      <c r="B597" s="125" t="s">
        <v>28221</v>
      </c>
      <c r="C597" s="125">
        <v>1</v>
      </c>
    </row>
    <row r="598" spans="1:3" x14ac:dyDescent="0.25">
      <c r="A598" s="125" t="s">
        <v>25364</v>
      </c>
      <c r="B598" s="125" t="s">
        <v>28226</v>
      </c>
      <c r="C598" s="125">
        <v>1</v>
      </c>
    </row>
    <row r="599" spans="1:3" x14ac:dyDescent="0.25">
      <c r="A599" s="125" t="s">
        <v>25479</v>
      </c>
      <c r="B599" s="125" t="s">
        <v>25333</v>
      </c>
      <c r="C599" s="125">
        <v>1</v>
      </c>
    </row>
    <row r="600" spans="1:3" x14ac:dyDescent="0.25">
      <c r="A600" s="125" t="s">
        <v>25373</v>
      </c>
      <c r="B600" s="125" t="s">
        <v>28226</v>
      </c>
      <c r="C600" s="125">
        <v>1</v>
      </c>
    </row>
    <row r="601" spans="1:3" x14ac:dyDescent="0.25">
      <c r="A601" s="125" t="s">
        <v>25492</v>
      </c>
      <c r="B601" s="125" t="s">
        <v>28239</v>
      </c>
      <c r="C601" s="125">
        <v>1</v>
      </c>
    </row>
    <row r="602" spans="1:3" x14ac:dyDescent="0.25">
      <c r="A602" s="125" t="s">
        <v>25401</v>
      </c>
      <c r="B602" s="125" t="s">
        <v>28245</v>
      </c>
      <c r="C602" s="125">
        <v>1</v>
      </c>
    </row>
    <row r="603" spans="1:3" x14ac:dyDescent="0.25">
      <c r="A603" s="125" t="s">
        <v>25362</v>
      </c>
      <c r="B603" s="125" t="s">
        <v>28242</v>
      </c>
      <c r="C603" s="125">
        <v>1</v>
      </c>
    </row>
    <row r="604" spans="1:3" x14ac:dyDescent="0.25">
      <c r="A604" s="125" t="s">
        <v>25389</v>
      </c>
      <c r="B604" s="125" t="s">
        <v>28227</v>
      </c>
      <c r="C604" s="125">
        <v>1</v>
      </c>
    </row>
    <row r="605" spans="1:3" x14ac:dyDescent="0.25">
      <c r="A605" s="125" t="s">
        <v>25455</v>
      </c>
      <c r="B605" s="125" t="s">
        <v>28225</v>
      </c>
      <c r="C605" s="125">
        <v>1</v>
      </c>
    </row>
    <row r="606" spans="1:3" x14ac:dyDescent="0.25">
      <c r="A606" s="125" t="s">
        <v>42</v>
      </c>
      <c r="B606" s="125" t="s">
        <v>25334</v>
      </c>
      <c r="C606" s="125">
        <v>1</v>
      </c>
    </row>
    <row r="607" spans="1:3" x14ac:dyDescent="0.25">
      <c r="A607" s="125" t="s">
        <v>28327</v>
      </c>
      <c r="B607" s="125" t="s">
        <v>28225</v>
      </c>
      <c r="C607" s="125">
        <v>1</v>
      </c>
    </row>
    <row r="608" spans="1:3" x14ac:dyDescent="0.25">
      <c r="A608" s="125" t="s">
        <v>28376</v>
      </c>
      <c r="B608" s="125" t="s">
        <v>25308</v>
      </c>
      <c r="C608" s="125">
        <v>1</v>
      </c>
    </row>
    <row r="609" spans="1:3" x14ac:dyDescent="0.25">
      <c r="A609" s="125" t="s">
        <v>28376</v>
      </c>
      <c r="B609" s="125" t="s">
        <v>28315</v>
      </c>
      <c r="C609" s="125">
        <v>1</v>
      </c>
    </row>
    <row r="610" spans="1:3" x14ac:dyDescent="0.25">
      <c r="A610" s="125" t="s">
        <v>25352</v>
      </c>
      <c r="B610" s="125" t="s">
        <v>28226</v>
      </c>
      <c r="C610" s="125">
        <v>1</v>
      </c>
    </row>
    <row r="611" spans="1:3" x14ac:dyDescent="0.25">
      <c r="A611" s="125" t="s">
        <v>28377</v>
      </c>
      <c r="B611" s="125" t="s">
        <v>28226</v>
      </c>
      <c r="C611" s="125">
        <v>1</v>
      </c>
    </row>
    <row r="612" spans="1:3" x14ac:dyDescent="0.25">
      <c r="A612" s="125" t="s">
        <v>28378</v>
      </c>
      <c r="B612" s="125" t="s">
        <v>28237</v>
      </c>
      <c r="C612" s="125">
        <v>1</v>
      </c>
    </row>
    <row r="613" spans="1:3" x14ac:dyDescent="0.25">
      <c r="A613" s="125" t="s">
        <v>28379</v>
      </c>
      <c r="B613" s="125" t="s">
        <v>28221</v>
      </c>
      <c r="C613" s="125">
        <v>1</v>
      </c>
    </row>
    <row r="614" spans="1:3" x14ac:dyDescent="0.25">
      <c r="A614" s="125" t="s">
        <v>28322</v>
      </c>
      <c r="B614" s="125" t="s">
        <v>28245</v>
      </c>
      <c r="C614" s="125">
        <v>1</v>
      </c>
    </row>
    <row r="615" spans="1:3" x14ac:dyDescent="0.25">
      <c r="A615" s="125" t="s">
        <v>28380</v>
      </c>
      <c r="B615" s="125" t="s">
        <v>28245</v>
      </c>
      <c r="C615" s="125">
        <v>1</v>
      </c>
    </row>
    <row r="616" spans="1:3" x14ac:dyDescent="0.25">
      <c r="A616" s="125" t="s">
        <v>28381</v>
      </c>
      <c r="B616" s="125" t="s">
        <v>28283</v>
      </c>
      <c r="C616" s="125">
        <v>1</v>
      </c>
    </row>
    <row r="617" spans="1:3" x14ac:dyDescent="0.25">
      <c r="A617" s="125" t="s">
        <v>28382</v>
      </c>
      <c r="B617" s="125" t="s">
        <v>28237</v>
      </c>
      <c r="C617" s="125">
        <v>1</v>
      </c>
    </row>
    <row r="618" spans="1:3" x14ac:dyDescent="0.25">
      <c r="A618" s="125" t="s">
        <v>28383</v>
      </c>
      <c r="B618" s="125" t="s">
        <v>28237</v>
      </c>
      <c r="C618" s="125">
        <v>1</v>
      </c>
    </row>
    <row r="619" spans="1:3" x14ac:dyDescent="0.25">
      <c r="A619" s="125" t="s">
        <v>28</v>
      </c>
      <c r="B619" s="125" t="s">
        <v>28236</v>
      </c>
      <c r="C619" s="125">
        <v>1</v>
      </c>
    </row>
    <row r="620" spans="1:3" x14ac:dyDescent="0.25">
      <c r="A620" s="125" t="s">
        <v>25423</v>
      </c>
      <c r="B620" s="125" t="s">
        <v>28384</v>
      </c>
      <c r="C620" s="125">
        <v>1</v>
      </c>
    </row>
    <row r="621" spans="1:3" x14ac:dyDescent="0.25">
      <c r="A621" s="125" t="s">
        <v>28385</v>
      </c>
      <c r="B621" s="125" t="s">
        <v>28256</v>
      </c>
      <c r="C621" s="125">
        <v>1</v>
      </c>
    </row>
    <row r="622" spans="1:3" x14ac:dyDescent="0.25">
      <c r="A622" s="125" t="s">
        <v>25494</v>
      </c>
      <c r="B622" s="125" t="s">
        <v>25333</v>
      </c>
      <c r="C622" s="125">
        <v>1</v>
      </c>
    </row>
    <row r="623" spans="1:3" x14ac:dyDescent="0.25">
      <c r="A623" s="125" t="s">
        <v>23</v>
      </c>
      <c r="B623" s="125" t="s">
        <v>28262</v>
      </c>
      <c r="C623" s="125">
        <v>1</v>
      </c>
    </row>
    <row r="624" spans="1:3" x14ac:dyDescent="0.25">
      <c r="A624" s="125" t="s">
        <v>25485</v>
      </c>
      <c r="B624" s="125" t="s">
        <v>28246</v>
      </c>
      <c r="C624" s="125">
        <v>1</v>
      </c>
    </row>
    <row r="625" spans="1:3" x14ac:dyDescent="0.25">
      <c r="A625" s="125" t="s">
        <v>28386</v>
      </c>
      <c r="B625" s="125" t="s">
        <v>28227</v>
      </c>
      <c r="C625" s="125">
        <v>1</v>
      </c>
    </row>
    <row r="626" spans="1:3" x14ac:dyDescent="0.25">
      <c r="A626" s="125" t="s">
        <v>28387</v>
      </c>
      <c r="B626" s="125" t="s">
        <v>28245</v>
      </c>
      <c r="C626" s="125">
        <v>1</v>
      </c>
    </row>
    <row r="627" spans="1:3" x14ac:dyDescent="0.25">
      <c r="A627" s="125" t="s">
        <v>25483</v>
      </c>
      <c r="B627" s="125" t="s">
        <v>25308</v>
      </c>
      <c r="C627" s="125">
        <v>1</v>
      </c>
    </row>
    <row r="628" spans="1:3" x14ac:dyDescent="0.25">
      <c r="A628" s="125" t="s">
        <v>25494</v>
      </c>
      <c r="B628" s="125" t="s">
        <v>28311</v>
      </c>
      <c r="C628" s="125">
        <v>1</v>
      </c>
    </row>
    <row r="629" spans="1:3" x14ac:dyDescent="0.25">
      <c r="A629" s="125" t="s">
        <v>22</v>
      </c>
      <c r="B629" s="125" t="s">
        <v>28236</v>
      </c>
      <c r="C629" s="125">
        <v>1</v>
      </c>
    </row>
    <row r="630" spans="1:3" x14ac:dyDescent="0.25">
      <c r="A630" s="125" t="s">
        <v>58</v>
      </c>
      <c r="B630" s="125" t="s">
        <v>25308</v>
      </c>
      <c r="C630" s="125">
        <v>1</v>
      </c>
    </row>
    <row r="631" spans="1:3" x14ac:dyDescent="0.25">
      <c r="A631" s="125" t="s">
        <v>208</v>
      </c>
      <c r="B631" s="125" t="s">
        <v>28243</v>
      </c>
      <c r="C631" s="125">
        <v>1</v>
      </c>
    </row>
    <row r="632" spans="1:3" x14ac:dyDescent="0.25">
      <c r="A632" s="125" t="s">
        <v>25439</v>
      </c>
      <c r="B632" s="125" t="s">
        <v>28326</v>
      </c>
      <c r="C632" s="125">
        <v>1</v>
      </c>
    </row>
    <row r="633" spans="1:3" x14ac:dyDescent="0.25">
      <c r="A633" s="125" t="s">
        <v>25404</v>
      </c>
      <c r="B633" s="125" t="s">
        <v>28388</v>
      </c>
      <c r="C633" s="125">
        <v>1</v>
      </c>
    </row>
    <row r="634" spans="1:3" x14ac:dyDescent="0.25">
      <c r="A634" s="125" t="s">
        <v>28389</v>
      </c>
      <c r="B634" s="125" t="s">
        <v>28226</v>
      </c>
      <c r="C634" s="125">
        <v>1</v>
      </c>
    </row>
    <row r="635" spans="1:3" x14ac:dyDescent="0.25">
      <c r="A635" s="125" t="s">
        <v>28390</v>
      </c>
      <c r="B635" s="125" t="s">
        <v>28247</v>
      </c>
      <c r="C635" s="125">
        <v>1</v>
      </c>
    </row>
    <row r="636" spans="1:3" x14ac:dyDescent="0.25">
      <c r="A636" s="125" t="s">
        <v>28391</v>
      </c>
      <c r="B636" s="125" t="s">
        <v>28225</v>
      </c>
      <c r="C636" s="125">
        <v>1</v>
      </c>
    </row>
    <row r="637" spans="1:3" x14ac:dyDescent="0.25">
      <c r="A637" s="125" t="s">
        <v>28392</v>
      </c>
      <c r="B637" s="125" t="s">
        <v>28225</v>
      </c>
      <c r="C637" s="125">
        <v>1</v>
      </c>
    </row>
    <row r="638" spans="1:3" x14ac:dyDescent="0.25">
      <c r="A638" s="125" t="s">
        <v>25489</v>
      </c>
      <c r="B638" s="125" t="s">
        <v>25308</v>
      </c>
      <c r="C638" s="125">
        <v>1</v>
      </c>
    </row>
    <row r="639" spans="1:3" x14ac:dyDescent="0.25">
      <c r="A639" s="125" t="s">
        <v>25432</v>
      </c>
      <c r="B639" s="125" t="s">
        <v>28220</v>
      </c>
      <c r="C639" s="125">
        <v>1</v>
      </c>
    </row>
    <row r="640" spans="1:3" x14ac:dyDescent="0.25">
      <c r="A640" s="125" t="s">
        <v>25398</v>
      </c>
      <c r="B640" s="125" t="s">
        <v>28256</v>
      </c>
      <c r="C640" s="125">
        <v>1</v>
      </c>
    </row>
    <row r="641" spans="1:3" x14ac:dyDescent="0.25">
      <c r="A641" s="125" t="s">
        <v>147</v>
      </c>
      <c r="B641" s="125" t="s">
        <v>28220</v>
      </c>
      <c r="C641" s="125">
        <v>1</v>
      </c>
    </row>
    <row r="642" spans="1:3" x14ac:dyDescent="0.25">
      <c r="A642" s="125" t="s">
        <v>25486</v>
      </c>
      <c r="B642" s="125" t="s">
        <v>28223</v>
      </c>
      <c r="C642" s="125">
        <v>1</v>
      </c>
    </row>
    <row r="643" spans="1:3" x14ac:dyDescent="0.25">
      <c r="A643" s="125" t="s">
        <v>25466</v>
      </c>
      <c r="B643" s="125" t="s">
        <v>28245</v>
      </c>
      <c r="C643" s="125">
        <v>1</v>
      </c>
    </row>
    <row r="644" spans="1:3" x14ac:dyDescent="0.25">
      <c r="A644" s="125" t="s">
        <v>25512</v>
      </c>
      <c r="B644" s="125" t="s">
        <v>28253</v>
      </c>
      <c r="C644" s="125">
        <v>1</v>
      </c>
    </row>
    <row r="645" spans="1:3" x14ac:dyDescent="0.25">
      <c r="A645" s="125" t="s">
        <v>25479</v>
      </c>
      <c r="B645" s="125" t="s">
        <v>28228</v>
      </c>
      <c r="C645" s="125">
        <v>1</v>
      </c>
    </row>
    <row r="646" spans="1:3" x14ac:dyDescent="0.25">
      <c r="A646" s="125" t="s">
        <v>28393</v>
      </c>
      <c r="B646" s="125" t="s">
        <v>28245</v>
      </c>
      <c r="C646" s="125">
        <v>1</v>
      </c>
    </row>
    <row r="647" spans="1:3" x14ac:dyDescent="0.25">
      <c r="A647" s="125" t="s">
        <v>25472</v>
      </c>
      <c r="B647" s="125" t="s">
        <v>25333</v>
      </c>
      <c r="C647" s="125">
        <v>1</v>
      </c>
    </row>
    <row r="648" spans="1:3" x14ac:dyDescent="0.25">
      <c r="A648" s="125" t="s">
        <v>28330</v>
      </c>
      <c r="B648" s="125" t="s">
        <v>28234</v>
      </c>
      <c r="C648" s="125">
        <v>1</v>
      </c>
    </row>
    <row r="649" spans="1:3" x14ac:dyDescent="0.25">
      <c r="A649" s="125" t="s">
        <v>141</v>
      </c>
      <c r="B649" s="125" t="s">
        <v>28247</v>
      </c>
      <c r="C649" s="125">
        <v>1</v>
      </c>
    </row>
    <row r="650" spans="1:3" x14ac:dyDescent="0.25">
      <c r="A650" s="125" t="s">
        <v>123</v>
      </c>
      <c r="B650" s="125" t="s">
        <v>28220</v>
      </c>
      <c r="C650" s="125">
        <v>1</v>
      </c>
    </row>
    <row r="651" spans="1:3" x14ac:dyDescent="0.25">
      <c r="A651" s="125" t="s">
        <v>25427</v>
      </c>
      <c r="B651" s="125" t="s">
        <v>28279</v>
      </c>
      <c r="C651" s="125">
        <v>1</v>
      </c>
    </row>
    <row r="652" spans="1:3" x14ac:dyDescent="0.25">
      <c r="A652" s="125" t="s">
        <v>197</v>
      </c>
      <c r="B652" s="125" t="s">
        <v>28299</v>
      </c>
      <c r="C652" s="125">
        <v>1</v>
      </c>
    </row>
    <row r="653" spans="1:3" x14ac:dyDescent="0.25">
      <c r="A653" s="125" t="s">
        <v>43</v>
      </c>
      <c r="B653" s="125" t="s">
        <v>25335</v>
      </c>
      <c r="C653" s="125">
        <v>1</v>
      </c>
    </row>
    <row r="654" spans="1:3" x14ac:dyDescent="0.25">
      <c r="A654" s="125" t="s">
        <v>25503</v>
      </c>
      <c r="B654" s="125" t="s">
        <v>28301</v>
      </c>
      <c r="C654" s="125">
        <v>1</v>
      </c>
    </row>
    <row r="655" spans="1:3" x14ac:dyDescent="0.25">
      <c r="A655" s="125" t="s">
        <v>215</v>
      </c>
      <c r="B655" s="125" t="s">
        <v>28311</v>
      </c>
      <c r="C655" s="125">
        <v>1</v>
      </c>
    </row>
    <row r="656" spans="1:3" x14ac:dyDescent="0.25">
      <c r="A656" s="125" t="s">
        <v>25366</v>
      </c>
      <c r="B656" s="125" t="s">
        <v>28272</v>
      </c>
      <c r="C656" s="125">
        <v>1</v>
      </c>
    </row>
    <row r="657" spans="1:3" x14ac:dyDescent="0.25">
      <c r="A657" s="125" t="s">
        <v>25349</v>
      </c>
      <c r="B657" s="125" t="s">
        <v>28313</v>
      </c>
      <c r="C657" s="125">
        <v>1</v>
      </c>
    </row>
    <row r="658" spans="1:3" x14ac:dyDescent="0.25">
      <c r="A658" s="125" t="s">
        <v>25366</v>
      </c>
      <c r="B658" s="125" t="s">
        <v>28356</v>
      </c>
      <c r="C658" s="125">
        <v>1</v>
      </c>
    </row>
    <row r="659" spans="1:3" x14ac:dyDescent="0.25">
      <c r="A659" s="125" t="s">
        <v>107</v>
      </c>
      <c r="B659" s="125" t="s">
        <v>28297</v>
      </c>
      <c r="C659" s="125">
        <v>1</v>
      </c>
    </row>
    <row r="660" spans="1:3" x14ac:dyDescent="0.25">
      <c r="A660" s="125" t="s">
        <v>25378</v>
      </c>
      <c r="B660" s="125" t="s">
        <v>25308</v>
      </c>
      <c r="C660" s="125">
        <v>1</v>
      </c>
    </row>
    <row r="661" spans="1:3" x14ac:dyDescent="0.25">
      <c r="A661" s="125" t="s">
        <v>28394</v>
      </c>
      <c r="B661" s="125" t="s">
        <v>28223</v>
      </c>
      <c r="C661" s="125">
        <v>1</v>
      </c>
    </row>
    <row r="662" spans="1:3" x14ac:dyDescent="0.25">
      <c r="A662" s="125" t="s">
        <v>25498</v>
      </c>
      <c r="B662" s="125" t="s">
        <v>25333</v>
      </c>
      <c r="C662" s="125">
        <v>1</v>
      </c>
    </row>
    <row r="663" spans="1:3" x14ac:dyDescent="0.25">
      <c r="A663" s="125" t="s">
        <v>25411</v>
      </c>
      <c r="B663" s="125" t="s">
        <v>28279</v>
      </c>
      <c r="C663" s="125">
        <v>1</v>
      </c>
    </row>
    <row r="664" spans="1:3" x14ac:dyDescent="0.25">
      <c r="A664" s="125" t="s">
        <v>25410</v>
      </c>
      <c r="B664" s="125" t="s">
        <v>28272</v>
      </c>
      <c r="C664" s="125">
        <v>1</v>
      </c>
    </row>
    <row r="665" spans="1:3" x14ac:dyDescent="0.25">
      <c r="A665" s="125" t="s">
        <v>25469</v>
      </c>
      <c r="B665" s="125" t="s">
        <v>28222</v>
      </c>
      <c r="C665" s="125">
        <v>1</v>
      </c>
    </row>
    <row r="666" spans="1:3" x14ac:dyDescent="0.25">
      <c r="A666" s="125" t="s">
        <v>25472</v>
      </c>
      <c r="B666" s="125" t="s">
        <v>28283</v>
      </c>
      <c r="C666" s="125">
        <v>1</v>
      </c>
    </row>
    <row r="667" spans="1:3" x14ac:dyDescent="0.25">
      <c r="A667" s="125" t="s">
        <v>25363</v>
      </c>
      <c r="B667" s="125" t="s">
        <v>28227</v>
      </c>
      <c r="C667" s="125">
        <v>1</v>
      </c>
    </row>
    <row r="668" spans="1:3" x14ac:dyDescent="0.25">
      <c r="A668" s="125" t="s">
        <v>25371</v>
      </c>
      <c r="B668" s="125" t="s">
        <v>25333</v>
      </c>
      <c r="C668" s="125">
        <v>1</v>
      </c>
    </row>
    <row r="669" spans="1:3" x14ac:dyDescent="0.25">
      <c r="A669" s="125" t="s">
        <v>201</v>
      </c>
      <c r="B669" s="125" t="s">
        <v>25335</v>
      </c>
      <c r="C669" s="125">
        <v>1</v>
      </c>
    </row>
    <row r="670" spans="1:3" x14ac:dyDescent="0.25">
      <c r="A670" s="125" t="s">
        <v>25372</v>
      </c>
      <c r="B670" s="125" t="s">
        <v>28229</v>
      </c>
      <c r="C670" s="125">
        <v>1</v>
      </c>
    </row>
    <row r="671" spans="1:3" x14ac:dyDescent="0.25">
      <c r="A671" s="125" t="s">
        <v>25354</v>
      </c>
      <c r="B671" s="125" t="s">
        <v>28241</v>
      </c>
      <c r="C671" s="125">
        <v>1</v>
      </c>
    </row>
    <row r="672" spans="1:3" x14ac:dyDescent="0.25">
      <c r="A672" s="125" t="s">
        <v>42</v>
      </c>
      <c r="B672" s="125" t="s">
        <v>28235</v>
      </c>
      <c r="C672" s="125">
        <v>1</v>
      </c>
    </row>
    <row r="673" spans="1:3" x14ac:dyDescent="0.25">
      <c r="A673" s="125" t="s">
        <v>215</v>
      </c>
      <c r="B673" s="125" t="s">
        <v>25335</v>
      </c>
      <c r="C673" s="125">
        <v>1</v>
      </c>
    </row>
    <row r="674" spans="1:3" x14ac:dyDescent="0.25">
      <c r="A674" s="125" t="s">
        <v>25354</v>
      </c>
      <c r="B674" s="125" t="s">
        <v>28235</v>
      </c>
      <c r="C674" s="125">
        <v>1</v>
      </c>
    </row>
    <row r="675" spans="1:3" x14ac:dyDescent="0.25">
      <c r="A675" s="125" t="s">
        <v>25346</v>
      </c>
      <c r="B675" s="125" t="s">
        <v>28242</v>
      </c>
      <c r="C675" s="125">
        <v>1</v>
      </c>
    </row>
    <row r="676" spans="1:3" x14ac:dyDescent="0.25">
      <c r="A676" s="125" t="s">
        <v>52</v>
      </c>
      <c r="B676" s="125" t="s">
        <v>28299</v>
      </c>
      <c r="C676" s="125">
        <v>1</v>
      </c>
    </row>
    <row r="677" spans="1:3" x14ac:dyDescent="0.25">
      <c r="A677" s="125" t="s">
        <v>100</v>
      </c>
      <c r="B677" s="125" t="s">
        <v>28283</v>
      </c>
      <c r="C677" s="125">
        <v>1</v>
      </c>
    </row>
    <row r="678" spans="1:3" x14ac:dyDescent="0.25">
      <c r="A678" s="125" t="s">
        <v>43</v>
      </c>
      <c r="B678" s="125" t="s">
        <v>28311</v>
      </c>
      <c r="C678" s="125">
        <v>1</v>
      </c>
    </row>
    <row r="679" spans="1:3" x14ac:dyDescent="0.25">
      <c r="A679" s="125" t="s">
        <v>28395</v>
      </c>
      <c r="B679" s="125" t="s">
        <v>28285</v>
      </c>
      <c r="C679" s="125">
        <v>1</v>
      </c>
    </row>
    <row r="680" spans="1:3" x14ac:dyDescent="0.25">
      <c r="A680" s="125" t="s">
        <v>25354</v>
      </c>
      <c r="B680" s="125" t="s">
        <v>28336</v>
      </c>
      <c r="C680" s="125">
        <v>1</v>
      </c>
    </row>
    <row r="681" spans="1:3" x14ac:dyDescent="0.25">
      <c r="A681" s="125" t="s">
        <v>28273</v>
      </c>
      <c r="B681" s="125" t="s">
        <v>28269</v>
      </c>
      <c r="C681" s="125">
        <v>1</v>
      </c>
    </row>
    <row r="682" spans="1:3" x14ac:dyDescent="0.25">
      <c r="A682" s="125" t="s">
        <v>25341</v>
      </c>
      <c r="B682" s="125" t="s">
        <v>25308</v>
      </c>
      <c r="C682" s="125">
        <v>1</v>
      </c>
    </row>
    <row r="683" spans="1:3" x14ac:dyDescent="0.25">
      <c r="A683" s="125" t="s">
        <v>28268</v>
      </c>
      <c r="B683" s="125" t="s">
        <v>28283</v>
      </c>
      <c r="C683" s="125">
        <v>1</v>
      </c>
    </row>
    <row r="684" spans="1:3" x14ac:dyDescent="0.25">
      <c r="A684" s="125" t="s">
        <v>42</v>
      </c>
      <c r="B684" s="125" t="s">
        <v>25335</v>
      </c>
      <c r="C684" s="125">
        <v>1</v>
      </c>
    </row>
    <row r="685" spans="1:3" x14ac:dyDescent="0.25">
      <c r="A685" s="125" t="s">
        <v>25374</v>
      </c>
      <c r="B685" s="125" t="s">
        <v>28231</v>
      </c>
      <c r="C685" s="125">
        <v>1</v>
      </c>
    </row>
    <row r="686" spans="1:3" x14ac:dyDescent="0.25">
      <c r="A686" s="125" t="s">
        <v>96</v>
      </c>
      <c r="B686" s="125" t="s">
        <v>28239</v>
      </c>
      <c r="C686" s="125">
        <v>1</v>
      </c>
    </row>
    <row r="687" spans="1:3" x14ac:dyDescent="0.25">
      <c r="A687" s="125" t="s">
        <v>28352</v>
      </c>
      <c r="B687" s="125" t="s">
        <v>28301</v>
      </c>
      <c r="C687" s="125">
        <v>1</v>
      </c>
    </row>
    <row r="688" spans="1:3" x14ac:dyDescent="0.25">
      <c r="A688" s="125" t="s">
        <v>25411</v>
      </c>
      <c r="B688" s="125" t="s">
        <v>28238</v>
      </c>
      <c r="C688" s="125">
        <v>1</v>
      </c>
    </row>
    <row r="689" spans="1:3" x14ac:dyDescent="0.25">
      <c r="A689" s="125" t="s">
        <v>28396</v>
      </c>
      <c r="B689" s="125" t="s">
        <v>28371</v>
      </c>
      <c r="C689" s="125">
        <v>1</v>
      </c>
    </row>
    <row r="690" spans="1:3" x14ac:dyDescent="0.25">
      <c r="A690" s="125" t="s">
        <v>197</v>
      </c>
      <c r="B690" s="125" t="s">
        <v>28313</v>
      </c>
      <c r="C690" s="125">
        <v>1</v>
      </c>
    </row>
    <row r="691" spans="1:3" x14ac:dyDescent="0.25">
      <c r="A691" s="125" t="s">
        <v>25469</v>
      </c>
      <c r="B691" s="125" t="s">
        <v>28397</v>
      </c>
      <c r="C691" s="125">
        <v>1</v>
      </c>
    </row>
    <row r="692" spans="1:3" x14ac:dyDescent="0.25">
      <c r="A692" s="125" t="s">
        <v>25504</v>
      </c>
      <c r="B692" s="125" t="s">
        <v>28237</v>
      </c>
      <c r="C692" s="125">
        <v>1</v>
      </c>
    </row>
    <row r="693" spans="1:3" x14ac:dyDescent="0.25">
      <c r="A693" s="125" t="s">
        <v>25505</v>
      </c>
      <c r="B693" s="125" t="s">
        <v>25308</v>
      </c>
      <c r="C693" s="125">
        <v>1</v>
      </c>
    </row>
    <row r="694" spans="1:3" x14ac:dyDescent="0.25">
      <c r="A694" s="125" t="s">
        <v>25520</v>
      </c>
      <c r="B694" s="125" t="s">
        <v>28247</v>
      </c>
      <c r="C694" s="125">
        <v>1</v>
      </c>
    </row>
    <row r="695" spans="1:3" x14ac:dyDescent="0.25">
      <c r="A695" s="125" t="s">
        <v>28398</v>
      </c>
      <c r="B695" s="125" t="s">
        <v>28311</v>
      </c>
      <c r="C695" s="125">
        <v>1</v>
      </c>
    </row>
    <row r="696" spans="1:3" x14ac:dyDescent="0.25">
      <c r="A696" s="125" t="s">
        <v>25409</v>
      </c>
      <c r="B696" s="125" t="s">
        <v>28234</v>
      </c>
      <c r="C696" s="125">
        <v>1</v>
      </c>
    </row>
    <row r="697" spans="1:3" x14ac:dyDescent="0.25">
      <c r="A697" s="125" t="s">
        <v>25410</v>
      </c>
      <c r="B697" s="125" t="s">
        <v>28316</v>
      </c>
      <c r="C697" s="125">
        <v>1</v>
      </c>
    </row>
    <row r="698" spans="1:3" x14ac:dyDescent="0.25">
      <c r="A698" s="125" t="s">
        <v>43</v>
      </c>
      <c r="B698" s="125" t="s">
        <v>28287</v>
      </c>
      <c r="C698" s="125">
        <v>1</v>
      </c>
    </row>
    <row r="699" spans="1:3" x14ac:dyDescent="0.25">
      <c r="A699" s="125" t="s">
        <v>197</v>
      </c>
      <c r="B699" s="125" t="s">
        <v>28256</v>
      </c>
      <c r="C699" s="125">
        <v>1</v>
      </c>
    </row>
    <row r="700" spans="1:3" x14ac:dyDescent="0.25">
      <c r="A700" s="125" t="s">
        <v>1</v>
      </c>
      <c r="B700" s="125" t="s">
        <v>28246</v>
      </c>
      <c r="C700" s="125">
        <v>1</v>
      </c>
    </row>
    <row r="701" spans="1:3" x14ac:dyDescent="0.25">
      <c r="A701" s="125" t="s">
        <v>25469</v>
      </c>
      <c r="B701" s="125" t="s">
        <v>25332</v>
      </c>
      <c r="C701" s="125">
        <v>1</v>
      </c>
    </row>
    <row r="702" spans="1:3" x14ac:dyDescent="0.25">
      <c r="A702" s="125" t="s">
        <v>28399</v>
      </c>
      <c r="B702" s="125" t="s">
        <v>28249</v>
      </c>
      <c r="C702" s="125">
        <v>1</v>
      </c>
    </row>
    <row r="703" spans="1:3" x14ac:dyDescent="0.25">
      <c r="A703" s="125" t="s">
        <v>25411</v>
      </c>
      <c r="B703" s="125" t="s">
        <v>28299</v>
      </c>
      <c r="C703" s="125">
        <v>1</v>
      </c>
    </row>
    <row r="704" spans="1:3" x14ac:dyDescent="0.25">
      <c r="A704" s="125" t="s">
        <v>43</v>
      </c>
      <c r="B704" s="125" t="s">
        <v>28264</v>
      </c>
      <c r="C704" s="125">
        <v>1</v>
      </c>
    </row>
    <row r="705" spans="1:3" x14ac:dyDescent="0.25">
      <c r="A705" s="125" t="s">
        <v>28393</v>
      </c>
      <c r="B705" s="125" t="s">
        <v>28256</v>
      </c>
      <c r="C705" s="125">
        <v>1</v>
      </c>
    </row>
    <row r="706" spans="1:3" x14ac:dyDescent="0.25">
      <c r="A706" s="125" t="s">
        <v>35</v>
      </c>
      <c r="B706" s="125" t="s">
        <v>28245</v>
      </c>
      <c r="C706" s="125">
        <v>1</v>
      </c>
    </row>
    <row r="707" spans="1:3" x14ac:dyDescent="0.25">
      <c r="A707" s="125" t="s">
        <v>25353</v>
      </c>
      <c r="B707" s="125" t="s">
        <v>28283</v>
      </c>
      <c r="C707" s="125">
        <v>1</v>
      </c>
    </row>
    <row r="708" spans="1:3" x14ac:dyDescent="0.25">
      <c r="A708" s="125" t="s">
        <v>197</v>
      </c>
      <c r="B708" s="125" t="s">
        <v>28283</v>
      </c>
      <c r="C708" s="125">
        <v>1</v>
      </c>
    </row>
    <row r="709" spans="1:3" x14ac:dyDescent="0.25">
      <c r="A709" s="125" t="s">
        <v>25485</v>
      </c>
      <c r="B709" s="125" t="s">
        <v>28236</v>
      </c>
      <c r="C709" s="125">
        <v>1</v>
      </c>
    </row>
    <row r="710" spans="1:3" x14ac:dyDescent="0.25">
      <c r="A710" s="125" t="s">
        <v>96</v>
      </c>
      <c r="B710" s="125" t="s">
        <v>28345</v>
      </c>
      <c r="C710" s="125">
        <v>1</v>
      </c>
    </row>
    <row r="711" spans="1:3" x14ac:dyDescent="0.25">
      <c r="A711" s="125" t="s">
        <v>28357</v>
      </c>
      <c r="B711" s="125" t="s">
        <v>28339</v>
      </c>
      <c r="C711" s="125">
        <v>1</v>
      </c>
    </row>
    <row r="712" spans="1:3" x14ac:dyDescent="0.25">
      <c r="A712" s="125" t="s">
        <v>28</v>
      </c>
      <c r="B712" s="125" t="s">
        <v>28283</v>
      </c>
      <c r="C712" s="125">
        <v>1</v>
      </c>
    </row>
    <row r="713" spans="1:3" x14ac:dyDescent="0.25">
      <c r="A713" s="125" t="s">
        <v>25503</v>
      </c>
      <c r="B713" s="125" t="s">
        <v>28299</v>
      </c>
      <c r="C713" s="125">
        <v>1</v>
      </c>
    </row>
    <row r="714" spans="1:3" x14ac:dyDescent="0.25">
      <c r="A714" s="125" t="s">
        <v>28400</v>
      </c>
      <c r="B714" s="125" t="s">
        <v>25308</v>
      </c>
      <c r="C714" s="125">
        <v>1</v>
      </c>
    </row>
    <row r="715" spans="1:3" x14ac:dyDescent="0.25">
      <c r="A715" s="125" t="s">
        <v>25427</v>
      </c>
      <c r="B715" s="125" t="s">
        <v>28345</v>
      </c>
      <c r="C715" s="125">
        <v>1</v>
      </c>
    </row>
    <row r="716" spans="1:3" x14ac:dyDescent="0.25">
      <c r="A716" s="125" t="s">
        <v>147</v>
      </c>
      <c r="B716" s="125" t="s">
        <v>28274</v>
      </c>
      <c r="C716" s="125">
        <v>1</v>
      </c>
    </row>
    <row r="717" spans="1:3" x14ac:dyDescent="0.25">
      <c r="A717" s="125" t="s">
        <v>25433</v>
      </c>
      <c r="B717" s="125" t="s">
        <v>28317</v>
      </c>
      <c r="C717" s="125">
        <v>1</v>
      </c>
    </row>
    <row r="718" spans="1:3" x14ac:dyDescent="0.25">
      <c r="A718" s="125" t="s">
        <v>25487</v>
      </c>
      <c r="B718" s="125" t="s">
        <v>28287</v>
      </c>
      <c r="C718" s="125">
        <v>1</v>
      </c>
    </row>
    <row r="719" spans="1:3" x14ac:dyDescent="0.25">
      <c r="A719" s="125" t="s">
        <v>25494</v>
      </c>
      <c r="B719" s="125" t="s">
        <v>28279</v>
      </c>
      <c r="C719" s="125">
        <v>1</v>
      </c>
    </row>
    <row r="720" spans="1:3" x14ac:dyDescent="0.25">
      <c r="A720" s="125" t="s">
        <v>25524</v>
      </c>
      <c r="B720" s="125" t="s">
        <v>28340</v>
      </c>
      <c r="C720" s="125">
        <v>1</v>
      </c>
    </row>
    <row r="721" spans="1:3" x14ac:dyDescent="0.25">
      <c r="A721" s="125" t="s">
        <v>25434</v>
      </c>
      <c r="B721" s="125" t="s">
        <v>28223</v>
      </c>
      <c r="C721" s="125">
        <v>1</v>
      </c>
    </row>
    <row r="722" spans="1:3" x14ac:dyDescent="0.25">
      <c r="A722" s="125" t="s">
        <v>25486</v>
      </c>
      <c r="B722" s="125" t="s">
        <v>28348</v>
      </c>
      <c r="C722" s="125">
        <v>1</v>
      </c>
    </row>
    <row r="723" spans="1:3" x14ac:dyDescent="0.25">
      <c r="A723" s="125" t="s">
        <v>25463</v>
      </c>
      <c r="B723" s="125" t="s">
        <v>28282</v>
      </c>
      <c r="C723" s="125">
        <v>1</v>
      </c>
    </row>
    <row r="724" spans="1:3" x14ac:dyDescent="0.25">
      <c r="A724" s="125" t="s">
        <v>25472</v>
      </c>
      <c r="B724" s="125" t="s">
        <v>28226</v>
      </c>
      <c r="C724" s="125">
        <v>1</v>
      </c>
    </row>
    <row r="725" spans="1:3" x14ac:dyDescent="0.25">
      <c r="A725" s="125" t="s">
        <v>25411</v>
      </c>
      <c r="B725" s="125" t="s">
        <v>25308</v>
      </c>
      <c r="C725" s="125">
        <v>1</v>
      </c>
    </row>
    <row r="726" spans="1:3" x14ac:dyDescent="0.25">
      <c r="A726" s="125" t="s">
        <v>28375</v>
      </c>
      <c r="B726" s="125" t="s">
        <v>28222</v>
      </c>
      <c r="C726" s="125">
        <v>1</v>
      </c>
    </row>
    <row r="727" spans="1:3" x14ac:dyDescent="0.25">
      <c r="A727" s="125" t="s">
        <v>25340</v>
      </c>
      <c r="B727" s="125" t="s">
        <v>28223</v>
      </c>
      <c r="C727" s="125">
        <v>1</v>
      </c>
    </row>
    <row r="728" spans="1:3" x14ac:dyDescent="0.25">
      <c r="A728" s="125" t="s">
        <v>25527</v>
      </c>
      <c r="B728" s="125" t="s">
        <v>28241</v>
      </c>
      <c r="C728" s="125">
        <v>1</v>
      </c>
    </row>
    <row r="729" spans="1:3" x14ac:dyDescent="0.25">
      <c r="A729" s="125" t="s">
        <v>25463</v>
      </c>
      <c r="B729" s="125" t="s">
        <v>28372</v>
      </c>
      <c r="C729" s="125">
        <v>1</v>
      </c>
    </row>
    <row r="730" spans="1:3" x14ac:dyDescent="0.25">
      <c r="A730" s="125" t="s">
        <v>25527</v>
      </c>
      <c r="B730" s="125" t="s">
        <v>28235</v>
      </c>
      <c r="C730" s="125">
        <v>1</v>
      </c>
    </row>
    <row r="731" spans="1:3" x14ac:dyDescent="0.25">
      <c r="A731" s="125" t="s">
        <v>25347</v>
      </c>
      <c r="B731" s="125" t="s">
        <v>28275</v>
      </c>
      <c r="C731" s="125">
        <v>1</v>
      </c>
    </row>
    <row r="732" spans="1:3" x14ac:dyDescent="0.25">
      <c r="A732" s="125" t="s">
        <v>25360</v>
      </c>
      <c r="B732" s="125" t="s">
        <v>28354</v>
      </c>
      <c r="C732" s="125">
        <v>1</v>
      </c>
    </row>
    <row r="733" spans="1:3" x14ac:dyDescent="0.25">
      <c r="A733" s="125" t="s">
        <v>25364</v>
      </c>
      <c r="B733" s="125" t="s">
        <v>28256</v>
      </c>
      <c r="C733" s="125">
        <v>1</v>
      </c>
    </row>
    <row r="734" spans="1:3" x14ac:dyDescent="0.25">
      <c r="A734" s="125" t="s">
        <v>25486</v>
      </c>
      <c r="B734" s="125" t="s">
        <v>25333</v>
      </c>
      <c r="C734" s="125">
        <v>1</v>
      </c>
    </row>
    <row r="735" spans="1:3" x14ac:dyDescent="0.25">
      <c r="A735" s="125" t="s">
        <v>25363</v>
      </c>
      <c r="B735" s="125" t="s">
        <v>28336</v>
      </c>
      <c r="C735" s="125">
        <v>1</v>
      </c>
    </row>
    <row r="736" spans="1:3" x14ac:dyDescent="0.25">
      <c r="A736" s="125" t="s">
        <v>25487</v>
      </c>
      <c r="B736" s="125" t="s">
        <v>28263</v>
      </c>
      <c r="C736" s="125">
        <v>1</v>
      </c>
    </row>
    <row r="737" spans="1:3" x14ac:dyDescent="0.25">
      <c r="A737" s="125" t="s">
        <v>25533</v>
      </c>
      <c r="B737" s="125" t="s">
        <v>28269</v>
      </c>
      <c r="C737" s="125">
        <v>1</v>
      </c>
    </row>
    <row r="738" spans="1:3" x14ac:dyDescent="0.25">
      <c r="A738" s="125" t="s">
        <v>25360</v>
      </c>
      <c r="B738" s="125" t="s">
        <v>28226</v>
      </c>
      <c r="C738" s="125">
        <v>1</v>
      </c>
    </row>
    <row r="739" spans="1:3" x14ac:dyDescent="0.25">
      <c r="A739" s="125" t="s">
        <v>25410</v>
      </c>
      <c r="B739" s="125" t="s">
        <v>28253</v>
      </c>
      <c r="C739" s="125">
        <v>1</v>
      </c>
    </row>
    <row r="740" spans="1:3" x14ac:dyDescent="0.25">
      <c r="A740" s="125" t="s">
        <v>25499</v>
      </c>
      <c r="B740" s="125" t="s">
        <v>28237</v>
      </c>
      <c r="C740" s="125">
        <v>1</v>
      </c>
    </row>
    <row r="741" spans="1:3" x14ac:dyDescent="0.25">
      <c r="A741" s="125" t="s">
        <v>25343</v>
      </c>
      <c r="B741" s="125" t="s">
        <v>28227</v>
      </c>
      <c r="C741" s="125">
        <v>1</v>
      </c>
    </row>
    <row r="742" spans="1:3" x14ac:dyDescent="0.25">
      <c r="A742" s="125" t="s">
        <v>25360</v>
      </c>
      <c r="B742" s="125" t="s">
        <v>28351</v>
      </c>
      <c r="C742" s="125">
        <v>1</v>
      </c>
    </row>
    <row r="743" spans="1:3" x14ac:dyDescent="0.25">
      <c r="A743" s="125" t="s">
        <v>25370</v>
      </c>
      <c r="B743" s="125" t="s">
        <v>28226</v>
      </c>
      <c r="C743" s="125">
        <v>1</v>
      </c>
    </row>
    <row r="744" spans="1:3" x14ac:dyDescent="0.25">
      <c r="A744" s="125" t="s">
        <v>25369</v>
      </c>
      <c r="B744" s="125" t="s">
        <v>28351</v>
      </c>
      <c r="C744" s="125">
        <v>1</v>
      </c>
    </row>
    <row r="745" spans="1:3" x14ac:dyDescent="0.25">
      <c r="A745" s="125" t="s">
        <v>25370</v>
      </c>
      <c r="B745" s="125" t="s">
        <v>28225</v>
      </c>
      <c r="C745" s="125">
        <v>1</v>
      </c>
    </row>
    <row r="746" spans="1:3" x14ac:dyDescent="0.25">
      <c r="A746" s="125" t="s">
        <v>25378</v>
      </c>
      <c r="B746" s="125" t="s">
        <v>28237</v>
      </c>
      <c r="C746" s="125">
        <v>1</v>
      </c>
    </row>
    <row r="747" spans="1:3" x14ac:dyDescent="0.25">
      <c r="A747" s="125" t="s">
        <v>25394</v>
      </c>
      <c r="B747" s="125" t="s">
        <v>28247</v>
      </c>
      <c r="C747" s="125">
        <v>1</v>
      </c>
    </row>
    <row r="748" spans="1:3" x14ac:dyDescent="0.25">
      <c r="A748" s="125" t="s">
        <v>25463</v>
      </c>
      <c r="B748" s="125" t="s">
        <v>28254</v>
      </c>
      <c r="C748" s="125">
        <v>1</v>
      </c>
    </row>
    <row r="749" spans="1:3" x14ac:dyDescent="0.25">
      <c r="A749" s="125" t="s">
        <v>25471</v>
      </c>
      <c r="B749" s="125" t="s">
        <v>28263</v>
      </c>
      <c r="C749" s="125">
        <v>1</v>
      </c>
    </row>
    <row r="750" spans="1:3" x14ac:dyDescent="0.25">
      <c r="A750" s="125" t="s">
        <v>34</v>
      </c>
      <c r="B750" s="125" t="s">
        <v>28344</v>
      </c>
      <c r="C750" s="125">
        <v>1</v>
      </c>
    </row>
    <row r="751" spans="1:3" x14ac:dyDescent="0.25">
      <c r="A751" s="125" t="s">
        <v>28331</v>
      </c>
      <c r="B751" s="125" t="s">
        <v>28285</v>
      </c>
      <c r="C751" s="125">
        <v>1</v>
      </c>
    </row>
    <row r="752" spans="1:3" x14ac:dyDescent="0.25">
      <c r="A752" s="125" t="s">
        <v>25488</v>
      </c>
      <c r="B752" s="125" t="s">
        <v>28229</v>
      </c>
      <c r="C752" s="125">
        <v>1</v>
      </c>
    </row>
    <row r="753" spans="1:3" x14ac:dyDescent="0.25">
      <c r="A753" s="125" t="s">
        <v>25352</v>
      </c>
      <c r="B753" s="125" t="s">
        <v>25308</v>
      </c>
      <c r="C753" s="125">
        <v>1</v>
      </c>
    </row>
    <row r="754" spans="1:3" x14ac:dyDescent="0.25">
      <c r="A754" s="125" t="s">
        <v>28368</v>
      </c>
      <c r="B754" s="125" t="s">
        <v>28361</v>
      </c>
      <c r="C754" s="125">
        <v>1</v>
      </c>
    </row>
    <row r="755" spans="1:3" x14ac:dyDescent="0.25">
      <c r="A755" s="125" t="s">
        <v>28331</v>
      </c>
      <c r="B755" s="125" t="s">
        <v>28356</v>
      </c>
      <c r="C755" s="125">
        <v>1</v>
      </c>
    </row>
    <row r="756" spans="1:3" x14ac:dyDescent="0.25">
      <c r="A756" s="125" t="s">
        <v>25503</v>
      </c>
      <c r="B756" s="125" t="s">
        <v>28351</v>
      </c>
      <c r="C756" s="125">
        <v>1</v>
      </c>
    </row>
    <row r="757" spans="1:3" x14ac:dyDescent="0.25">
      <c r="A757" s="125" t="s">
        <v>25505</v>
      </c>
      <c r="B757" s="125" t="s">
        <v>28401</v>
      </c>
      <c r="C757" s="125">
        <v>1</v>
      </c>
    </row>
    <row r="758" spans="1:3" x14ac:dyDescent="0.25">
      <c r="A758" s="125" t="s">
        <v>1</v>
      </c>
      <c r="B758" s="125" t="s">
        <v>28235</v>
      </c>
      <c r="C758" s="125">
        <v>1</v>
      </c>
    </row>
    <row r="759" spans="1:3" x14ac:dyDescent="0.25">
      <c r="A759" s="125" t="s">
        <v>25504</v>
      </c>
      <c r="B759" s="125" t="s">
        <v>28287</v>
      </c>
      <c r="C759" s="125">
        <v>1</v>
      </c>
    </row>
    <row r="760" spans="1:3" x14ac:dyDescent="0.25">
      <c r="A760" s="125" t="s">
        <v>25442</v>
      </c>
      <c r="B760" s="125" t="s">
        <v>28222</v>
      </c>
      <c r="C760" s="125">
        <v>1</v>
      </c>
    </row>
    <row r="761" spans="1:3" x14ac:dyDescent="0.25">
      <c r="A761" s="125" t="s">
        <v>25443</v>
      </c>
      <c r="B761" s="125" t="s">
        <v>28247</v>
      </c>
      <c r="C761" s="125">
        <v>1</v>
      </c>
    </row>
    <row r="762" spans="1:3" x14ac:dyDescent="0.25">
      <c r="A762" s="125" t="s">
        <v>25341</v>
      </c>
      <c r="B762" s="125" t="s">
        <v>28283</v>
      </c>
      <c r="C762" s="125">
        <v>1</v>
      </c>
    </row>
    <row r="763" spans="1:3" x14ac:dyDescent="0.25">
      <c r="A763" s="125" t="s">
        <v>25453</v>
      </c>
      <c r="B763" s="125" t="s">
        <v>25308</v>
      </c>
      <c r="C763" s="125">
        <v>1</v>
      </c>
    </row>
    <row r="764" spans="1:3" x14ac:dyDescent="0.25">
      <c r="A764" s="125" t="s">
        <v>28402</v>
      </c>
      <c r="B764" s="125" t="s">
        <v>28229</v>
      </c>
      <c r="C764" s="125">
        <v>1</v>
      </c>
    </row>
    <row r="765" spans="1:3" x14ac:dyDescent="0.25">
      <c r="A765" s="125" t="s">
        <v>28331</v>
      </c>
      <c r="B765" s="125" t="s">
        <v>28298</v>
      </c>
      <c r="C765" s="125">
        <v>1</v>
      </c>
    </row>
    <row r="766" spans="1:3" x14ac:dyDescent="0.25">
      <c r="A766" s="125" t="s">
        <v>25374</v>
      </c>
      <c r="B766" s="125" t="s">
        <v>28221</v>
      </c>
      <c r="C766" s="125">
        <v>1</v>
      </c>
    </row>
    <row r="767" spans="1:3" x14ac:dyDescent="0.25">
      <c r="A767" s="125" t="s">
        <v>25512</v>
      </c>
      <c r="B767" s="125" t="s">
        <v>28358</v>
      </c>
      <c r="C767" s="125">
        <v>1</v>
      </c>
    </row>
    <row r="768" spans="1:3" x14ac:dyDescent="0.25">
      <c r="A768" s="125" t="s">
        <v>28403</v>
      </c>
      <c r="B768" s="125" t="s">
        <v>28231</v>
      </c>
      <c r="C768" s="125">
        <v>1</v>
      </c>
    </row>
    <row r="769" spans="1:3" x14ac:dyDescent="0.25">
      <c r="A769" s="125" t="s">
        <v>25393</v>
      </c>
      <c r="B769" s="125" t="s">
        <v>28247</v>
      </c>
      <c r="C769" s="125">
        <v>1</v>
      </c>
    </row>
    <row r="770" spans="1:3" x14ac:dyDescent="0.25">
      <c r="A770" s="125" t="s">
        <v>197</v>
      </c>
      <c r="B770" s="125" t="s">
        <v>28279</v>
      </c>
      <c r="C770" s="125">
        <v>1</v>
      </c>
    </row>
    <row r="771" spans="1:3" x14ac:dyDescent="0.25">
      <c r="A771" s="125" t="s">
        <v>25360</v>
      </c>
      <c r="B771" s="125" t="s">
        <v>28374</v>
      </c>
      <c r="C771" s="125">
        <v>1</v>
      </c>
    </row>
    <row r="772" spans="1:3" x14ac:dyDescent="0.25">
      <c r="A772" s="125" t="s">
        <v>25360</v>
      </c>
      <c r="B772" s="125" t="s">
        <v>28332</v>
      </c>
      <c r="C772" s="125">
        <v>1</v>
      </c>
    </row>
    <row r="773" spans="1:3" x14ac:dyDescent="0.25">
      <c r="A773" s="125" t="s">
        <v>25527</v>
      </c>
      <c r="B773" s="125" t="s">
        <v>25334</v>
      </c>
      <c r="C773" s="125">
        <v>1</v>
      </c>
    </row>
    <row r="774" spans="1:3" x14ac:dyDescent="0.25">
      <c r="A774" s="125" t="s">
        <v>25463</v>
      </c>
      <c r="B774" s="125" t="s">
        <v>28283</v>
      </c>
      <c r="C774" s="125">
        <v>1</v>
      </c>
    </row>
    <row r="775" spans="1:3" x14ac:dyDescent="0.25">
      <c r="A775" s="125" t="s">
        <v>25527</v>
      </c>
      <c r="B775" s="125" t="s">
        <v>28242</v>
      </c>
      <c r="C775" s="125">
        <v>1</v>
      </c>
    </row>
    <row r="776" spans="1:3" x14ac:dyDescent="0.25">
      <c r="A776" s="125" t="s">
        <v>25341</v>
      </c>
      <c r="B776" s="125" t="s">
        <v>28313</v>
      </c>
      <c r="C776" s="125">
        <v>1</v>
      </c>
    </row>
    <row r="777" spans="1:3" x14ac:dyDescent="0.25">
      <c r="A777" s="125" t="s">
        <v>107</v>
      </c>
      <c r="B777" s="125" t="s">
        <v>28226</v>
      </c>
      <c r="C777" s="125">
        <v>1</v>
      </c>
    </row>
    <row r="778" spans="1:3" x14ac:dyDescent="0.25">
      <c r="A778" s="125" t="s">
        <v>25356</v>
      </c>
      <c r="B778" s="125" t="s">
        <v>25308</v>
      </c>
      <c r="C778" s="125">
        <v>1</v>
      </c>
    </row>
    <row r="779" spans="1:3" x14ac:dyDescent="0.25">
      <c r="A779" s="125" t="s">
        <v>25478</v>
      </c>
      <c r="B779" s="125" t="s">
        <v>28374</v>
      </c>
      <c r="C779" s="125">
        <v>1</v>
      </c>
    </row>
    <row r="780" spans="1:3" x14ac:dyDescent="0.25">
      <c r="A780" s="125" t="s">
        <v>58</v>
      </c>
      <c r="B780" s="125" t="s">
        <v>28283</v>
      </c>
      <c r="C780" s="125">
        <v>1</v>
      </c>
    </row>
    <row r="781" spans="1:3" x14ac:dyDescent="0.25">
      <c r="A781" s="125" t="s">
        <v>107</v>
      </c>
      <c r="B781" s="125" t="s">
        <v>28242</v>
      </c>
      <c r="C781" s="125">
        <v>1</v>
      </c>
    </row>
    <row r="782" spans="1:3" x14ac:dyDescent="0.25">
      <c r="A782" s="125" t="s">
        <v>215</v>
      </c>
      <c r="B782" s="125" t="s">
        <v>25334</v>
      </c>
      <c r="C782" s="125">
        <v>1</v>
      </c>
    </row>
    <row r="783" spans="1:3" x14ac:dyDescent="0.25">
      <c r="A783" s="125" t="s">
        <v>25427</v>
      </c>
      <c r="B783" s="125" t="s">
        <v>28371</v>
      </c>
      <c r="C783" s="125">
        <v>1</v>
      </c>
    </row>
    <row r="784" spans="1:3" x14ac:dyDescent="0.25">
      <c r="A784" s="125" t="s">
        <v>25466</v>
      </c>
      <c r="B784" s="125" t="s">
        <v>28228</v>
      </c>
      <c r="C784" s="125">
        <v>1</v>
      </c>
    </row>
    <row r="785" spans="1:3" x14ac:dyDescent="0.25">
      <c r="A785" s="125" t="s">
        <v>25475</v>
      </c>
      <c r="B785" s="125" t="s">
        <v>28227</v>
      </c>
      <c r="C785" s="125">
        <v>1</v>
      </c>
    </row>
    <row r="786" spans="1:3" x14ac:dyDescent="0.25">
      <c r="A786" s="125" t="s">
        <v>25354</v>
      </c>
      <c r="B786" s="125" t="s">
        <v>28221</v>
      </c>
      <c r="C786" s="125">
        <v>1</v>
      </c>
    </row>
    <row r="787" spans="1:3" x14ac:dyDescent="0.25">
      <c r="A787" s="125" t="s">
        <v>194</v>
      </c>
      <c r="B787" s="125" t="s">
        <v>28286</v>
      </c>
      <c r="C787" s="125">
        <v>1</v>
      </c>
    </row>
    <row r="788" spans="1:3" x14ac:dyDescent="0.25">
      <c r="A788" s="125" t="s">
        <v>25359</v>
      </c>
      <c r="B788" s="125" t="s">
        <v>28283</v>
      </c>
      <c r="C788" s="125">
        <v>1</v>
      </c>
    </row>
    <row r="789" spans="1:3" x14ac:dyDescent="0.25">
      <c r="A789" s="125" t="s">
        <v>52</v>
      </c>
      <c r="B789" s="125" t="s">
        <v>28247</v>
      </c>
      <c r="C789" s="125">
        <v>1</v>
      </c>
    </row>
    <row r="790" spans="1:3" x14ac:dyDescent="0.25">
      <c r="A790" s="125" t="s">
        <v>96</v>
      </c>
      <c r="B790" s="125" t="s">
        <v>28298</v>
      </c>
      <c r="C790" s="125">
        <v>1</v>
      </c>
    </row>
    <row r="791" spans="1:3" x14ac:dyDescent="0.25">
      <c r="A791" s="125" t="s">
        <v>25390</v>
      </c>
      <c r="B791" s="125" t="s">
        <v>28326</v>
      </c>
      <c r="C791" s="125">
        <v>1</v>
      </c>
    </row>
    <row r="792" spans="1:3" x14ac:dyDescent="0.25">
      <c r="A792" s="125" t="s">
        <v>25354</v>
      </c>
      <c r="B792" s="125" t="s">
        <v>28223</v>
      </c>
      <c r="C792" s="125">
        <v>1</v>
      </c>
    </row>
    <row r="793" spans="1:3" x14ac:dyDescent="0.25">
      <c r="A793" s="125" t="s">
        <v>25347</v>
      </c>
      <c r="B793" s="125" t="s">
        <v>28371</v>
      </c>
      <c r="C793" s="125">
        <v>1</v>
      </c>
    </row>
    <row r="794" spans="1:3" x14ac:dyDescent="0.25">
      <c r="A794" s="125" t="s">
        <v>25433</v>
      </c>
      <c r="B794" s="125" t="s">
        <v>28221</v>
      </c>
      <c r="C794" s="125">
        <v>1</v>
      </c>
    </row>
    <row r="795" spans="1:3" x14ac:dyDescent="0.25">
      <c r="A795" s="125" t="s">
        <v>25445</v>
      </c>
      <c r="B795" s="125" t="s">
        <v>28247</v>
      </c>
      <c r="C795" s="125">
        <v>1</v>
      </c>
    </row>
    <row r="796" spans="1:3" x14ac:dyDescent="0.25">
      <c r="A796" s="125" t="s">
        <v>25347</v>
      </c>
      <c r="B796" s="125" t="s">
        <v>28220</v>
      </c>
      <c r="C796" s="125">
        <v>1</v>
      </c>
    </row>
    <row r="797" spans="1:3" x14ac:dyDescent="0.25">
      <c r="A797" s="125" t="s">
        <v>25341</v>
      </c>
      <c r="B797" s="125" t="s">
        <v>28220</v>
      </c>
      <c r="C797" s="125">
        <v>1</v>
      </c>
    </row>
    <row r="798" spans="1:3" x14ac:dyDescent="0.25">
      <c r="A798" s="125" t="s">
        <v>25350</v>
      </c>
      <c r="B798" s="125" t="s">
        <v>25308</v>
      </c>
      <c r="C798" s="125">
        <v>1</v>
      </c>
    </row>
    <row r="799" spans="1:3" x14ac:dyDescent="0.25">
      <c r="A799" s="125" t="s">
        <v>25346</v>
      </c>
      <c r="B799" s="125" t="s">
        <v>28223</v>
      </c>
      <c r="C799" s="125">
        <v>1</v>
      </c>
    </row>
    <row r="800" spans="1:3" x14ac:dyDescent="0.25">
      <c r="A800" s="125" t="s">
        <v>25427</v>
      </c>
      <c r="B800" s="125" t="s">
        <v>28299</v>
      </c>
      <c r="C800" s="125">
        <v>1</v>
      </c>
    </row>
    <row r="801" spans="1:3" x14ac:dyDescent="0.25">
      <c r="A801" s="125" t="s">
        <v>25345</v>
      </c>
      <c r="B801" s="125" t="s">
        <v>28245</v>
      </c>
      <c r="C801" s="125">
        <v>1</v>
      </c>
    </row>
    <row r="802" spans="1:3" x14ac:dyDescent="0.25">
      <c r="A802" s="125" t="s">
        <v>25341</v>
      </c>
      <c r="B802" s="125" t="s">
        <v>28237</v>
      </c>
      <c r="C802" s="125">
        <v>1</v>
      </c>
    </row>
    <row r="803" spans="1:3" x14ac:dyDescent="0.25">
      <c r="A803" s="125" t="s">
        <v>25369</v>
      </c>
      <c r="B803" s="125" t="s">
        <v>25308</v>
      </c>
      <c r="C803" s="125">
        <v>1</v>
      </c>
    </row>
    <row r="804" spans="1:3" x14ac:dyDescent="0.25">
      <c r="A804" s="125" t="s">
        <v>25387</v>
      </c>
      <c r="B804" s="125" t="s">
        <v>28326</v>
      </c>
      <c r="C804" s="125">
        <v>1</v>
      </c>
    </row>
    <row r="805" spans="1:3" x14ac:dyDescent="0.25">
      <c r="A805" s="125" t="s">
        <v>52</v>
      </c>
      <c r="B805" s="125" t="s">
        <v>28226</v>
      </c>
      <c r="C805" s="125">
        <v>1</v>
      </c>
    </row>
    <row r="806" spans="1:3" x14ac:dyDescent="0.25">
      <c r="A806" s="125" t="s">
        <v>42</v>
      </c>
      <c r="B806" s="125" t="s">
        <v>28242</v>
      </c>
      <c r="C806" s="125">
        <v>1</v>
      </c>
    </row>
    <row r="807" spans="1:3" x14ac:dyDescent="0.25">
      <c r="A807" s="125" t="s">
        <v>25361</v>
      </c>
      <c r="B807" s="125" t="s">
        <v>28226</v>
      </c>
      <c r="C807" s="125">
        <v>1</v>
      </c>
    </row>
    <row r="808" spans="1:3" x14ac:dyDescent="0.25">
      <c r="A808" s="125" t="s">
        <v>28404</v>
      </c>
      <c r="B808" s="125" t="s">
        <v>28241</v>
      </c>
      <c r="C808" s="125">
        <v>1</v>
      </c>
    </row>
    <row r="809" spans="1:3" x14ac:dyDescent="0.25">
      <c r="A809" s="125" t="s">
        <v>25351</v>
      </c>
      <c r="B809" s="125" t="s">
        <v>28286</v>
      </c>
      <c r="C809" s="125">
        <v>1</v>
      </c>
    </row>
    <row r="810" spans="1:3" x14ac:dyDescent="0.25">
      <c r="A810" s="125" t="s">
        <v>25350</v>
      </c>
      <c r="B810" s="125" t="s">
        <v>28310</v>
      </c>
      <c r="C810" s="125">
        <v>1</v>
      </c>
    </row>
    <row r="811" spans="1:3" x14ac:dyDescent="0.25">
      <c r="A811" s="125" t="s">
        <v>25352</v>
      </c>
      <c r="B811" s="125" t="s">
        <v>28313</v>
      </c>
      <c r="C811" s="125">
        <v>1</v>
      </c>
    </row>
    <row r="812" spans="1:3" x14ac:dyDescent="0.25">
      <c r="A812" s="125" t="s">
        <v>25340</v>
      </c>
      <c r="B812" s="125" t="s">
        <v>28283</v>
      </c>
      <c r="C812" s="125">
        <v>1</v>
      </c>
    </row>
    <row r="813" spans="1:3" x14ac:dyDescent="0.25">
      <c r="A813" s="125" t="s">
        <v>25429</v>
      </c>
      <c r="B813" s="125" t="s">
        <v>28313</v>
      </c>
      <c r="C813" s="125">
        <v>1</v>
      </c>
    </row>
    <row r="814" spans="1:3" x14ac:dyDescent="0.25">
      <c r="A814" s="125" t="s">
        <v>25369</v>
      </c>
      <c r="B814" s="125" t="s">
        <v>28226</v>
      </c>
      <c r="C814" s="125">
        <v>1</v>
      </c>
    </row>
    <row r="815" spans="1:3" x14ac:dyDescent="0.25">
      <c r="A815" s="125" t="s">
        <v>25480</v>
      </c>
      <c r="B815" s="125" t="s">
        <v>28278</v>
      </c>
      <c r="C815" s="125">
        <v>1</v>
      </c>
    </row>
    <row r="816" spans="1:3" x14ac:dyDescent="0.25">
      <c r="A816" s="125" t="s">
        <v>25356</v>
      </c>
      <c r="B816" s="125" t="s">
        <v>28283</v>
      </c>
      <c r="C816" s="125">
        <v>1</v>
      </c>
    </row>
    <row r="817" spans="1:3" x14ac:dyDescent="0.25">
      <c r="A817" s="145" t="s">
        <v>28482</v>
      </c>
      <c r="B817" s="125" t="s">
        <v>25308</v>
      </c>
      <c r="C817" s="125">
        <v>1</v>
      </c>
    </row>
    <row r="818" spans="1:3" x14ac:dyDescent="0.25">
      <c r="A818" s="125" t="s">
        <v>194</v>
      </c>
      <c r="B818" s="125" t="s">
        <v>28255</v>
      </c>
      <c r="C818" s="125">
        <v>1</v>
      </c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  <row r="822" spans="1:3" x14ac:dyDescent="0.25">
      <c r="A822"/>
      <c r="B822"/>
      <c r="C822"/>
    </row>
  </sheetData>
  <autoFilter ref="A2:B818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24"/>
  <sheetViews>
    <sheetView workbookViewId="0">
      <selection sqref="A1:B24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  <row r="18" spans="1:2" x14ac:dyDescent="0.25">
      <c r="A18" s="120" t="s">
        <v>194</v>
      </c>
      <c r="B18" s="121">
        <v>1</v>
      </c>
    </row>
    <row r="19" spans="1:2" x14ac:dyDescent="0.25">
      <c r="A19" s="120" t="s">
        <v>29</v>
      </c>
      <c r="B19" s="121">
        <v>1</v>
      </c>
    </row>
    <row r="20" spans="1:2" x14ac:dyDescent="0.25">
      <c r="A20" s="120" t="s">
        <v>25374</v>
      </c>
      <c r="B20" s="121">
        <v>1</v>
      </c>
    </row>
    <row r="21" spans="1:2" x14ac:dyDescent="0.25">
      <c r="A21" s="120" t="s">
        <v>25408</v>
      </c>
      <c r="B21" s="121">
        <v>1</v>
      </c>
    </row>
    <row r="22" spans="1:2" x14ac:dyDescent="0.25">
      <c r="A22" s="120" t="s">
        <v>25410</v>
      </c>
      <c r="B22" s="121">
        <v>1</v>
      </c>
    </row>
    <row r="23" spans="1:2" x14ac:dyDescent="0.25">
      <c r="A23" s="120" t="s">
        <v>25525</v>
      </c>
      <c r="B23" s="121">
        <v>1</v>
      </c>
    </row>
    <row r="24" spans="1:2" x14ac:dyDescent="0.25">
      <c r="A24" s="120" t="s">
        <v>197</v>
      </c>
      <c r="B24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28409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28409</v>
      </c>
      <c r="B22" s="34" t="s">
        <v>28415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R230"/>
  <sheetViews>
    <sheetView topLeftCell="H1" workbookViewId="0">
      <pane ySplit="1" topLeftCell="A2" activePane="bottomLeft" state="frozen"/>
      <selection pane="bottomLeft" activeCell="J27" sqref="J27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" style="103" customWidth="1"/>
    <col min="19" max="19" width="5" style="115" customWidth="1"/>
    <col min="20" max="20" width="5" style="104" customWidth="1"/>
    <col min="21" max="44" width="4" style="81" bestFit="1" customWidth="1"/>
    <col min="45" max="45" width="9.140625" customWidth="1"/>
  </cols>
  <sheetData>
    <row r="1" spans="1:44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28416</v>
      </c>
      <c r="P1" s="79" t="s">
        <v>28417</v>
      </c>
      <c r="Q1" s="79" t="s">
        <v>2</v>
      </c>
      <c r="R1" s="105" t="s">
        <v>249</v>
      </c>
      <c r="S1" s="114" t="s">
        <v>3</v>
      </c>
      <c r="T1" s="106" t="s">
        <v>245</v>
      </c>
      <c r="U1" s="86" t="s">
        <v>26812</v>
      </c>
      <c r="V1" s="86" t="s">
        <v>26799</v>
      </c>
      <c r="W1" s="86" t="s">
        <v>26800</v>
      </c>
      <c r="X1" s="86" t="s">
        <v>26801</v>
      </c>
      <c r="Y1" s="86" t="s">
        <v>26802</v>
      </c>
      <c r="Z1" s="86" t="s">
        <v>26803</v>
      </c>
      <c r="AA1" s="86" t="s">
        <v>26804</v>
      </c>
      <c r="AB1" s="86" t="s">
        <v>26805</v>
      </c>
      <c r="AC1" s="86" t="s">
        <v>26806</v>
      </c>
      <c r="AD1" s="86" t="s">
        <v>26807</v>
      </c>
      <c r="AE1" s="86" t="s">
        <v>26808</v>
      </c>
      <c r="AF1" s="86" t="s">
        <v>26809</v>
      </c>
      <c r="AG1" s="86" t="s">
        <v>26810</v>
      </c>
      <c r="AH1" s="86" t="s">
        <v>26811</v>
      </c>
      <c r="AI1" s="85">
        <v>6</v>
      </c>
      <c r="AJ1" s="85">
        <v>6.5</v>
      </c>
      <c r="AK1" s="85">
        <v>7</v>
      </c>
      <c r="AL1" s="85">
        <v>7.5</v>
      </c>
      <c r="AM1" s="85">
        <v>8</v>
      </c>
      <c r="AN1" s="85">
        <v>8.5</v>
      </c>
      <c r="AO1" s="85">
        <v>9</v>
      </c>
      <c r="AP1" s="85">
        <v>9.5</v>
      </c>
      <c r="AQ1" s="85">
        <v>10</v>
      </c>
      <c r="AR1" s="85">
        <v>10.5</v>
      </c>
    </row>
    <row r="2" spans="1:44" ht="15" customHeight="1" x14ac:dyDescent="0.2">
      <c r="A2" s="80" t="s">
        <v>895</v>
      </c>
      <c r="B2" s="80" t="s">
        <v>28445</v>
      </c>
      <c r="C2" s="80" t="s">
        <v>8</v>
      </c>
      <c r="D2" s="80" t="s">
        <v>21</v>
      </c>
      <c r="E2" s="80" t="s">
        <v>10</v>
      </c>
      <c r="F2" s="80" t="s">
        <v>26652</v>
      </c>
      <c r="G2" s="80" t="s">
        <v>90</v>
      </c>
      <c r="H2" s="80">
        <v>7</v>
      </c>
      <c r="I2" s="80" t="s">
        <v>52</v>
      </c>
      <c r="J2" s="83" t="s">
        <v>28471</v>
      </c>
      <c r="K2" s="80" t="s">
        <v>25685</v>
      </c>
      <c r="L2" s="80" t="s">
        <v>25607</v>
      </c>
      <c r="M2" s="80" t="s">
        <v>20</v>
      </c>
      <c r="N2" s="80">
        <v>9098.7999999999993</v>
      </c>
      <c r="O2" s="80"/>
      <c r="P2" s="80"/>
      <c r="Q2" s="80" t="s">
        <v>52</v>
      </c>
      <c r="R2" s="103" t="str">
        <f>A2&amp;"-"&amp;S2</f>
        <v>02-170-02-</v>
      </c>
      <c r="U2" s="81" t="s">
        <v>28429</v>
      </c>
      <c r="V2" s="81" t="s">
        <v>28429</v>
      </c>
      <c r="W2" s="81" t="s">
        <v>28429</v>
      </c>
      <c r="X2" s="81" t="s">
        <v>28429</v>
      </c>
      <c r="Y2" s="81" t="s">
        <v>28429</v>
      </c>
      <c r="Z2" s="81" t="s">
        <v>28429</v>
      </c>
      <c r="AA2" s="81" t="s">
        <v>28429</v>
      </c>
      <c r="AB2" s="81">
        <v>1</v>
      </c>
      <c r="AC2" s="81" t="s">
        <v>28429</v>
      </c>
      <c r="AD2" s="81">
        <v>1</v>
      </c>
      <c r="AE2" s="81" t="s">
        <v>28429</v>
      </c>
      <c r="AF2" s="81" t="s">
        <v>28429</v>
      </c>
      <c r="AG2" s="81" t="s">
        <v>28429</v>
      </c>
      <c r="AH2" s="81" t="s">
        <v>28429</v>
      </c>
    </row>
    <row r="3" spans="1:44" ht="15" customHeight="1" x14ac:dyDescent="0.2">
      <c r="A3" s="81" t="s">
        <v>28430</v>
      </c>
      <c r="B3" s="81" t="s">
        <v>28446</v>
      </c>
      <c r="C3" s="81" t="s">
        <v>8</v>
      </c>
      <c r="D3" s="81" t="s">
        <v>21</v>
      </c>
      <c r="E3" s="81" t="s">
        <v>10</v>
      </c>
      <c r="F3" s="81" t="s">
        <v>28467</v>
      </c>
      <c r="G3" s="81" t="s">
        <v>90</v>
      </c>
      <c r="H3" s="81">
        <v>7</v>
      </c>
      <c r="I3" s="81" t="s">
        <v>52</v>
      </c>
      <c r="J3" s="84" t="s">
        <v>28472</v>
      </c>
      <c r="K3" s="81" t="s">
        <v>25685</v>
      </c>
      <c r="L3" s="81" t="s">
        <v>25607</v>
      </c>
      <c r="M3" s="81" t="s">
        <v>20</v>
      </c>
      <c r="N3" s="81">
        <v>4509.8399999999992</v>
      </c>
      <c r="Q3" s="80"/>
      <c r="R3" s="103" t="str">
        <f t="shared" ref="R3:R32" si="0">A3&amp;"-"&amp;S3</f>
        <v>02-653-02-</v>
      </c>
      <c r="U3" s="81" t="s">
        <v>28429</v>
      </c>
      <c r="V3" s="81" t="s">
        <v>28429</v>
      </c>
      <c r="W3" s="81" t="s">
        <v>28429</v>
      </c>
      <c r="X3" s="81" t="s">
        <v>28429</v>
      </c>
      <c r="Y3" s="81" t="s">
        <v>28429</v>
      </c>
      <c r="Z3" s="81" t="s">
        <v>28429</v>
      </c>
      <c r="AA3" s="81" t="s">
        <v>28429</v>
      </c>
      <c r="AB3" s="81" t="s">
        <v>28429</v>
      </c>
      <c r="AC3" s="81" t="s">
        <v>28429</v>
      </c>
      <c r="AD3" s="81">
        <v>1</v>
      </c>
      <c r="AE3" s="81" t="s">
        <v>28429</v>
      </c>
      <c r="AF3" s="81">
        <v>1</v>
      </c>
      <c r="AG3" s="81" t="s">
        <v>28429</v>
      </c>
      <c r="AH3" s="81" t="s">
        <v>28429</v>
      </c>
    </row>
    <row r="4" spans="1:44" ht="15" customHeight="1" x14ac:dyDescent="0.2">
      <c r="A4" s="81" t="s">
        <v>337</v>
      </c>
      <c r="B4" s="81" t="s">
        <v>28447</v>
      </c>
      <c r="C4" s="81" t="s">
        <v>8</v>
      </c>
      <c r="D4" s="81" t="s">
        <v>21</v>
      </c>
      <c r="E4" s="81" t="s">
        <v>10</v>
      </c>
      <c r="F4" s="81" t="s">
        <v>26652</v>
      </c>
      <c r="G4" s="81" t="s">
        <v>90</v>
      </c>
      <c r="H4" s="81">
        <v>71</v>
      </c>
      <c r="I4" s="81" t="s">
        <v>194</v>
      </c>
      <c r="J4" s="84" t="s">
        <v>28473</v>
      </c>
      <c r="K4" s="81" t="s">
        <v>25680</v>
      </c>
      <c r="L4" s="81" t="s">
        <v>25607</v>
      </c>
      <c r="M4" s="81" t="s">
        <v>12</v>
      </c>
      <c r="N4" s="81">
        <v>2682.1680000000001</v>
      </c>
      <c r="Q4" s="80" t="s">
        <v>52</v>
      </c>
      <c r="R4" s="103" t="str">
        <f t="shared" si="0"/>
        <v>02-019-36-</v>
      </c>
      <c r="U4" s="81" t="s">
        <v>28429</v>
      </c>
      <c r="V4" s="81" t="s">
        <v>28429</v>
      </c>
      <c r="W4" s="81" t="s">
        <v>28429</v>
      </c>
      <c r="X4" s="81" t="s">
        <v>28429</v>
      </c>
      <c r="Y4" s="81" t="s">
        <v>28429</v>
      </c>
      <c r="Z4" s="81" t="s">
        <v>28429</v>
      </c>
      <c r="AA4" s="81" t="s">
        <v>28429</v>
      </c>
      <c r="AB4" s="81">
        <v>4</v>
      </c>
      <c r="AC4" s="81" t="s">
        <v>28429</v>
      </c>
      <c r="AD4" s="81" t="s">
        <v>28429</v>
      </c>
      <c r="AE4" s="81" t="s">
        <v>28429</v>
      </c>
      <c r="AF4" s="81" t="s">
        <v>28429</v>
      </c>
      <c r="AG4" s="81" t="s">
        <v>28429</v>
      </c>
      <c r="AH4" s="81" t="s">
        <v>28429</v>
      </c>
    </row>
    <row r="5" spans="1:44" ht="15" customHeight="1" x14ac:dyDescent="0.2">
      <c r="A5" s="81" t="s">
        <v>1491</v>
      </c>
      <c r="B5" s="81" t="s">
        <v>28448</v>
      </c>
      <c r="C5" s="81" t="s">
        <v>8</v>
      </c>
      <c r="D5" s="81" t="s">
        <v>21</v>
      </c>
      <c r="E5" s="81" t="s">
        <v>10</v>
      </c>
      <c r="F5" s="81" t="s">
        <v>26652</v>
      </c>
      <c r="G5" s="81" t="s">
        <v>90</v>
      </c>
      <c r="H5" s="81">
        <v>7</v>
      </c>
      <c r="I5" s="81" t="s">
        <v>52</v>
      </c>
      <c r="J5" s="84" t="s">
        <v>28474</v>
      </c>
      <c r="K5" s="81" t="s">
        <v>25685</v>
      </c>
      <c r="L5" s="81" t="s">
        <v>25607</v>
      </c>
      <c r="M5" s="81" t="s">
        <v>12</v>
      </c>
      <c r="N5" s="81">
        <v>2365.6880000000001</v>
      </c>
      <c r="Q5" s="80" t="s">
        <v>52</v>
      </c>
      <c r="R5" s="103" t="str">
        <f t="shared" si="0"/>
        <v>02-359-02-</v>
      </c>
      <c r="U5" s="81" t="s">
        <v>28429</v>
      </c>
      <c r="V5" s="81" t="s">
        <v>28429</v>
      </c>
      <c r="W5" s="81" t="s">
        <v>28429</v>
      </c>
      <c r="X5" s="81" t="s">
        <v>28429</v>
      </c>
      <c r="Y5" s="81" t="s">
        <v>28429</v>
      </c>
      <c r="Z5" s="81">
        <v>2</v>
      </c>
      <c r="AA5" s="81" t="s">
        <v>28429</v>
      </c>
      <c r="AB5" s="81" t="s">
        <v>28429</v>
      </c>
      <c r="AC5" s="81" t="s">
        <v>28429</v>
      </c>
      <c r="AD5" s="81">
        <v>2</v>
      </c>
      <c r="AE5" s="81" t="s">
        <v>28429</v>
      </c>
      <c r="AF5" s="81">
        <v>2</v>
      </c>
      <c r="AG5" s="81" t="s">
        <v>28429</v>
      </c>
      <c r="AH5" s="81" t="s">
        <v>28429</v>
      </c>
    </row>
    <row r="6" spans="1:44" ht="15" customHeight="1" x14ac:dyDescent="0.2">
      <c r="A6" s="81" t="s">
        <v>28431</v>
      </c>
      <c r="B6" s="81" t="s">
        <v>28449</v>
      </c>
      <c r="C6" s="81" t="s">
        <v>8</v>
      </c>
      <c r="D6" s="81" t="s">
        <v>30</v>
      </c>
      <c r="E6" s="81" t="s">
        <v>10</v>
      </c>
      <c r="F6" s="81" t="s">
        <v>28467</v>
      </c>
      <c r="G6" s="81" t="s">
        <v>90</v>
      </c>
      <c r="H6" s="81">
        <v>7</v>
      </c>
      <c r="I6" s="81" t="s">
        <v>52</v>
      </c>
      <c r="J6" s="84" t="s">
        <v>28474</v>
      </c>
      <c r="K6" s="81" t="s">
        <v>25685</v>
      </c>
      <c r="L6" s="81" t="s">
        <v>25607</v>
      </c>
      <c r="M6" s="81" t="s">
        <v>12</v>
      </c>
      <c r="N6" s="81">
        <v>2365.6880000000001</v>
      </c>
      <c r="Q6" s="80"/>
      <c r="R6" s="103" t="str">
        <f t="shared" si="0"/>
        <v>02-659-02-</v>
      </c>
      <c r="U6" s="81" t="s">
        <v>28429</v>
      </c>
      <c r="V6" s="81" t="s">
        <v>28429</v>
      </c>
      <c r="W6" s="81" t="s">
        <v>28429</v>
      </c>
      <c r="X6" s="81">
        <v>2</v>
      </c>
      <c r="Y6" s="81" t="s">
        <v>28429</v>
      </c>
      <c r="Z6" s="81">
        <v>6</v>
      </c>
      <c r="AA6" s="81" t="s">
        <v>28429</v>
      </c>
      <c r="AB6" s="81">
        <v>8</v>
      </c>
      <c r="AC6" s="81" t="s">
        <v>28429</v>
      </c>
      <c r="AD6" s="81">
        <v>6</v>
      </c>
      <c r="AE6" s="81" t="s">
        <v>28429</v>
      </c>
      <c r="AF6" s="81">
        <v>3</v>
      </c>
      <c r="AG6" s="81" t="s">
        <v>28429</v>
      </c>
      <c r="AH6" s="81" t="s">
        <v>28429</v>
      </c>
    </row>
    <row r="7" spans="1:44" ht="15" customHeight="1" x14ac:dyDescent="0.2">
      <c r="A7" s="81" t="s">
        <v>28432</v>
      </c>
      <c r="B7" s="81" t="s">
        <v>28450</v>
      </c>
      <c r="C7" s="81" t="s">
        <v>31</v>
      </c>
      <c r="D7" s="81" t="s">
        <v>32</v>
      </c>
      <c r="E7" s="81" t="s">
        <v>10</v>
      </c>
      <c r="F7" s="81" t="s">
        <v>28468</v>
      </c>
      <c r="G7" s="81" t="s">
        <v>90</v>
      </c>
      <c r="H7" s="81">
        <v>99</v>
      </c>
      <c r="I7" s="81" t="s">
        <v>147</v>
      </c>
      <c r="J7" s="84" t="s">
        <v>28475</v>
      </c>
      <c r="K7" s="81" t="s">
        <v>25684</v>
      </c>
      <c r="L7" s="81" t="s">
        <v>25607</v>
      </c>
      <c r="M7" s="81" t="s">
        <v>61</v>
      </c>
      <c r="N7" s="81">
        <v>2998.6479999999997</v>
      </c>
      <c r="Q7" s="80"/>
      <c r="R7" s="103" t="str">
        <f t="shared" si="0"/>
        <v>02-661-19-</v>
      </c>
      <c r="U7" s="81" t="s">
        <v>28429</v>
      </c>
      <c r="V7" s="81" t="s">
        <v>28429</v>
      </c>
      <c r="W7" s="81" t="s">
        <v>28429</v>
      </c>
      <c r="X7" s="81" t="s">
        <v>28429</v>
      </c>
      <c r="Y7" s="81" t="s">
        <v>28429</v>
      </c>
      <c r="Z7" s="81">
        <v>2</v>
      </c>
      <c r="AA7" s="81" t="s">
        <v>28429</v>
      </c>
      <c r="AB7" s="81">
        <v>4</v>
      </c>
      <c r="AC7" s="81" t="s">
        <v>28429</v>
      </c>
      <c r="AD7" s="81" t="s">
        <v>28429</v>
      </c>
      <c r="AE7" s="81" t="s">
        <v>28429</v>
      </c>
      <c r="AF7" s="81" t="s">
        <v>28429</v>
      </c>
      <c r="AG7" s="81" t="s">
        <v>28429</v>
      </c>
      <c r="AH7" s="81" t="s">
        <v>28429</v>
      </c>
    </row>
    <row r="8" spans="1:44" ht="15" customHeight="1" x14ac:dyDescent="0.2">
      <c r="A8" s="81" t="s">
        <v>28433</v>
      </c>
      <c r="B8" s="81" t="s">
        <v>28451</v>
      </c>
      <c r="C8" s="81" t="s">
        <v>31</v>
      </c>
      <c r="D8" s="81" t="s">
        <v>32</v>
      </c>
      <c r="E8" s="81" t="s">
        <v>10</v>
      </c>
      <c r="F8" s="81" t="s">
        <v>28468</v>
      </c>
      <c r="G8" s="81" t="s">
        <v>90</v>
      </c>
      <c r="H8" s="81">
        <v>99</v>
      </c>
      <c r="I8" s="81" t="s">
        <v>25387</v>
      </c>
      <c r="J8" s="84" t="s">
        <v>27406</v>
      </c>
      <c r="K8" s="81" t="s">
        <v>25687</v>
      </c>
      <c r="L8" s="81" t="s">
        <v>25607</v>
      </c>
      <c r="M8" s="81" t="s">
        <v>60</v>
      </c>
      <c r="N8" s="81">
        <v>2128.328</v>
      </c>
      <c r="Q8" s="80"/>
      <c r="R8" s="103" t="str">
        <f t="shared" si="0"/>
        <v>02-663-19-</v>
      </c>
      <c r="U8" s="81" t="s">
        <v>28429</v>
      </c>
      <c r="V8" s="81" t="s">
        <v>28429</v>
      </c>
      <c r="W8" s="81" t="s">
        <v>28429</v>
      </c>
      <c r="X8" s="81" t="s">
        <v>28429</v>
      </c>
      <c r="Y8" s="81" t="s">
        <v>28429</v>
      </c>
      <c r="Z8" s="81">
        <v>2</v>
      </c>
      <c r="AA8" s="81" t="s">
        <v>28429</v>
      </c>
      <c r="AB8" s="81">
        <v>4</v>
      </c>
      <c r="AC8" s="81" t="s">
        <v>28429</v>
      </c>
      <c r="AD8" s="81" t="s">
        <v>28429</v>
      </c>
      <c r="AE8" s="81" t="s">
        <v>28429</v>
      </c>
      <c r="AF8" s="81" t="s">
        <v>28429</v>
      </c>
      <c r="AG8" s="81" t="s">
        <v>28429</v>
      </c>
      <c r="AH8" s="81" t="s">
        <v>28429</v>
      </c>
    </row>
    <row r="9" spans="1:44" ht="15" customHeight="1" x14ac:dyDescent="0.2">
      <c r="A9" s="81" t="s">
        <v>28434</v>
      </c>
      <c r="B9" s="81" t="s">
        <v>28452</v>
      </c>
      <c r="C9" s="81" t="s">
        <v>46</v>
      </c>
      <c r="D9" s="81" t="s">
        <v>28469</v>
      </c>
      <c r="E9" s="81" t="s">
        <v>10</v>
      </c>
      <c r="F9" s="81" t="s">
        <v>28468</v>
      </c>
      <c r="G9" s="81" t="s">
        <v>90</v>
      </c>
      <c r="H9" s="81">
        <v>1</v>
      </c>
      <c r="I9" s="81" t="s">
        <v>1</v>
      </c>
      <c r="J9" s="84" t="s">
        <v>27406</v>
      </c>
      <c r="K9" s="81" t="s">
        <v>25687</v>
      </c>
      <c r="L9" s="81" t="s">
        <v>25607</v>
      </c>
      <c r="M9" s="81" t="s">
        <v>12</v>
      </c>
      <c r="N9" s="81">
        <v>1178.8879999999997</v>
      </c>
      <c r="Q9" s="80"/>
      <c r="R9" s="103" t="str">
        <f t="shared" si="0"/>
        <v>02-677-09-</v>
      </c>
      <c r="U9" s="81">
        <v>6</v>
      </c>
      <c r="V9" s="81" t="s">
        <v>28429</v>
      </c>
      <c r="W9" s="81" t="s">
        <v>28429</v>
      </c>
      <c r="X9" s="81" t="s">
        <v>28429</v>
      </c>
      <c r="Y9" s="81" t="s">
        <v>28429</v>
      </c>
      <c r="Z9" s="81" t="s">
        <v>28429</v>
      </c>
      <c r="AA9" s="81" t="s">
        <v>28429</v>
      </c>
      <c r="AB9" s="81" t="s">
        <v>28429</v>
      </c>
      <c r="AC9" s="81" t="s">
        <v>28429</v>
      </c>
      <c r="AD9" s="81" t="s">
        <v>28429</v>
      </c>
      <c r="AE9" s="81" t="s">
        <v>28429</v>
      </c>
      <c r="AF9" s="81" t="s">
        <v>28429</v>
      </c>
      <c r="AG9" s="81" t="s">
        <v>28429</v>
      </c>
      <c r="AH9" s="81" t="s">
        <v>28429</v>
      </c>
    </row>
    <row r="10" spans="1:44" ht="15" customHeight="1" x14ac:dyDescent="0.2">
      <c r="A10" s="81" t="s">
        <v>28435</v>
      </c>
      <c r="B10" s="81" t="s">
        <v>28453</v>
      </c>
      <c r="C10" s="81" t="s">
        <v>46</v>
      </c>
      <c r="D10" s="81" t="s">
        <v>28469</v>
      </c>
      <c r="E10" s="81" t="s">
        <v>10</v>
      </c>
      <c r="F10" s="81" t="s">
        <v>28468</v>
      </c>
      <c r="G10" s="81" t="s">
        <v>90</v>
      </c>
      <c r="H10" s="81">
        <v>89</v>
      </c>
      <c r="I10" s="81" t="s">
        <v>28312</v>
      </c>
      <c r="J10" s="84" t="s">
        <v>28476</v>
      </c>
      <c r="K10" s="81" t="s">
        <v>25687</v>
      </c>
      <c r="L10" s="81" t="s">
        <v>25607</v>
      </c>
      <c r="M10" s="81" t="s">
        <v>12</v>
      </c>
      <c r="N10" s="81">
        <v>1178.8879999999997</v>
      </c>
      <c r="Q10" s="80"/>
      <c r="R10" s="103" t="str">
        <f t="shared" si="0"/>
        <v>02-678-86-</v>
      </c>
      <c r="U10" s="81">
        <v>1</v>
      </c>
      <c r="V10" s="81" t="s">
        <v>28429</v>
      </c>
      <c r="W10" s="81" t="s">
        <v>28429</v>
      </c>
      <c r="X10" s="81" t="s">
        <v>28429</v>
      </c>
      <c r="Y10" s="81" t="s">
        <v>28429</v>
      </c>
      <c r="Z10" s="81" t="s">
        <v>28429</v>
      </c>
      <c r="AA10" s="81" t="s">
        <v>28429</v>
      </c>
      <c r="AB10" s="81" t="s">
        <v>28429</v>
      </c>
      <c r="AC10" s="81" t="s">
        <v>28429</v>
      </c>
      <c r="AD10" s="81" t="s">
        <v>28429</v>
      </c>
      <c r="AE10" s="81" t="s">
        <v>28429</v>
      </c>
      <c r="AF10" s="81" t="s">
        <v>28429</v>
      </c>
      <c r="AG10" s="81" t="s">
        <v>28429</v>
      </c>
      <c r="AH10" s="81" t="s">
        <v>28429</v>
      </c>
    </row>
    <row r="11" spans="1:44" ht="15" customHeight="1" x14ac:dyDescent="0.2">
      <c r="A11" s="81" t="s">
        <v>28436</v>
      </c>
      <c r="B11" s="81" t="s">
        <v>28454</v>
      </c>
      <c r="C11" s="81" t="s">
        <v>31</v>
      </c>
      <c r="D11" s="81" t="s">
        <v>25556</v>
      </c>
      <c r="E11" s="81" t="s">
        <v>10</v>
      </c>
      <c r="F11" s="81" t="s">
        <v>28468</v>
      </c>
      <c r="G11" s="81" t="s">
        <v>90</v>
      </c>
      <c r="H11" s="81">
        <v>2</v>
      </c>
      <c r="I11" s="81" t="s">
        <v>23</v>
      </c>
      <c r="J11" s="84" t="s">
        <v>28477</v>
      </c>
      <c r="K11" s="81" t="s">
        <v>25687</v>
      </c>
      <c r="L11" s="81" t="s">
        <v>25607</v>
      </c>
      <c r="M11" s="81" t="s">
        <v>60</v>
      </c>
      <c r="N11" s="81">
        <v>1811.8479999999997</v>
      </c>
      <c r="Q11" s="80"/>
      <c r="R11" s="103" t="str">
        <f t="shared" si="0"/>
        <v>02-680-16-</v>
      </c>
      <c r="U11" s="81" t="s">
        <v>28429</v>
      </c>
      <c r="V11" s="81" t="s">
        <v>28429</v>
      </c>
      <c r="W11" s="81">
        <v>1</v>
      </c>
      <c r="X11" s="81" t="s">
        <v>28429</v>
      </c>
      <c r="Y11" s="81">
        <v>4</v>
      </c>
      <c r="Z11" s="81" t="s">
        <v>28429</v>
      </c>
      <c r="AA11" s="81">
        <v>6</v>
      </c>
      <c r="AB11" s="81" t="s">
        <v>28429</v>
      </c>
      <c r="AC11" s="81">
        <v>4</v>
      </c>
      <c r="AD11" s="81" t="s">
        <v>28429</v>
      </c>
      <c r="AE11" s="81">
        <v>2</v>
      </c>
      <c r="AF11" s="81" t="s">
        <v>28429</v>
      </c>
      <c r="AG11" s="81" t="s">
        <v>28429</v>
      </c>
      <c r="AH11" s="81" t="s">
        <v>28429</v>
      </c>
    </row>
    <row r="12" spans="1:44" ht="15" customHeight="1" x14ac:dyDescent="0.2">
      <c r="A12" s="81" t="s">
        <v>28437</v>
      </c>
      <c r="B12" s="81" t="s">
        <v>28455</v>
      </c>
      <c r="C12" s="81" t="s">
        <v>31</v>
      </c>
      <c r="D12" s="81" t="s">
        <v>39</v>
      </c>
      <c r="E12" s="81" t="s">
        <v>10</v>
      </c>
      <c r="F12" s="81" t="s">
        <v>28467</v>
      </c>
      <c r="G12" s="81" t="s">
        <v>90</v>
      </c>
      <c r="H12" s="81">
        <v>28</v>
      </c>
      <c r="I12" s="81" t="s">
        <v>25424</v>
      </c>
      <c r="J12" s="84" t="s">
        <v>28478</v>
      </c>
      <c r="K12" s="81" t="s">
        <v>25684</v>
      </c>
      <c r="L12" s="81" t="s">
        <v>25607</v>
      </c>
      <c r="M12" s="81" t="s">
        <v>60</v>
      </c>
      <c r="N12" s="81">
        <v>2365.6880000000001</v>
      </c>
      <c r="Q12" s="80"/>
      <c r="R12" s="103" t="str">
        <f t="shared" si="0"/>
        <v>02-682-14-</v>
      </c>
      <c r="U12" s="81" t="s">
        <v>28429</v>
      </c>
      <c r="V12" s="81" t="s">
        <v>28429</v>
      </c>
      <c r="W12" s="81" t="s">
        <v>28429</v>
      </c>
      <c r="X12" s="81">
        <v>3</v>
      </c>
      <c r="Y12" s="81" t="s">
        <v>28429</v>
      </c>
      <c r="Z12" s="81">
        <v>7</v>
      </c>
      <c r="AA12" s="81" t="s">
        <v>28429</v>
      </c>
      <c r="AB12" s="81">
        <v>9</v>
      </c>
      <c r="AC12" s="81" t="s">
        <v>28429</v>
      </c>
      <c r="AD12" s="81">
        <v>7</v>
      </c>
      <c r="AE12" s="81" t="s">
        <v>28429</v>
      </c>
      <c r="AF12" s="81">
        <v>3</v>
      </c>
      <c r="AG12" s="81" t="s">
        <v>28429</v>
      </c>
      <c r="AH12" s="81" t="s">
        <v>28429</v>
      </c>
    </row>
    <row r="13" spans="1:44" ht="15" customHeight="1" x14ac:dyDescent="0.2">
      <c r="A13" s="80" t="s">
        <v>1003</v>
      </c>
      <c r="B13" s="81" t="s">
        <v>28456</v>
      </c>
      <c r="C13" s="81" t="s">
        <v>31</v>
      </c>
      <c r="D13" s="81" t="s">
        <v>32</v>
      </c>
      <c r="E13" s="81" t="s">
        <v>10</v>
      </c>
      <c r="F13" s="81" t="s">
        <v>91</v>
      </c>
      <c r="G13" s="81" t="s">
        <v>90</v>
      </c>
      <c r="H13" s="81">
        <v>1</v>
      </c>
      <c r="I13" s="80" t="s">
        <v>1</v>
      </c>
      <c r="J13" s="84" t="s">
        <v>27406</v>
      </c>
      <c r="K13" s="81" t="s">
        <v>25687</v>
      </c>
      <c r="L13" s="81" t="s">
        <v>25607</v>
      </c>
      <c r="M13" s="81" t="s">
        <v>12</v>
      </c>
      <c r="N13" s="81">
        <v>1020.6479999999999</v>
      </c>
      <c r="Q13" s="80" t="s">
        <v>1</v>
      </c>
      <c r="R13" s="103" t="str">
        <f t="shared" si="0"/>
        <v>02-201-09-</v>
      </c>
      <c r="U13" s="81" t="s">
        <v>28429</v>
      </c>
      <c r="V13" s="81" t="s">
        <v>28429</v>
      </c>
      <c r="W13" s="81" t="s">
        <v>28429</v>
      </c>
      <c r="X13" s="81" t="s">
        <v>28429</v>
      </c>
      <c r="Y13" s="81" t="s">
        <v>28429</v>
      </c>
      <c r="Z13" s="81">
        <v>3</v>
      </c>
      <c r="AA13" s="81" t="s">
        <v>28429</v>
      </c>
      <c r="AB13" s="81">
        <v>3</v>
      </c>
      <c r="AC13" s="81" t="s">
        <v>28429</v>
      </c>
      <c r="AD13" s="81" t="s">
        <v>28429</v>
      </c>
      <c r="AE13" s="81" t="s">
        <v>28429</v>
      </c>
      <c r="AF13" s="81" t="s">
        <v>28429</v>
      </c>
      <c r="AG13" s="81" t="s">
        <v>28429</v>
      </c>
      <c r="AH13" s="81" t="s">
        <v>28429</v>
      </c>
    </row>
    <row r="14" spans="1:44" ht="15" customHeight="1" x14ac:dyDescent="0.2">
      <c r="A14" s="81" t="s">
        <v>999</v>
      </c>
      <c r="B14" s="81" t="s">
        <v>28456</v>
      </c>
      <c r="C14" s="81" t="s">
        <v>31</v>
      </c>
      <c r="D14" s="81" t="s">
        <v>32</v>
      </c>
      <c r="E14" s="81" t="s">
        <v>10</v>
      </c>
      <c r="F14" s="81" t="s">
        <v>26652</v>
      </c>
      <c r="G14" s="81" t="s">
        <v>90</v>
      </c>
      <c r="H14" s="81">
        <v>23</v>
      </c>
      <c r="I14" s="81" t="s">
        <v>27</v>
      </c>
      <c r="J14" s="84" t="s">
        <v>27406</v>
      </c>
      <c r="K14" s="81" t="s">
        <v>25687</v>
      </c>
      <c r="L14" s="81" t="s">
        <v>25607</v>
      </c>
      <c r="M14" s="81" t="s">
        <v>12</v>
      </c>
      <c r="N14" s="81">
        <v>1020.6479999999999</v>
      </c>
      <c r="Q14" s="80" t="s">
        <v>27</v>
      </c>
      <c r="R14" s="103" t="str">
        <f t="shared" si="0"/>
        <v>02-201-06-</v>
      </c>
      <c r="U14" s="81" t="s">
        <v>28429</v>
      </c>
      <c r="V14" s="81" t="s">
        <v>28429</v>
      </c>
      <c r="W14" s="81" t="s">
        <v>28429</v>
      </c>
      <c r="X14" s="81" t="s">
        <v>28429</v>
      </c>
      <c r="Y14" s="81" t="s">
        <v>28429</v>
      </c>
      <c r="Z14" s="81" t="s">
        <v>28429</v>
      </c>
      <c r="AA14" s="81" t="s">
        <v>28429</v>
      </c>
      <c r="AB14" s="81">
        <v>4</v>
      </c>
      <c r="AC14" s="81" t="s">
        <v>28429</v>
      </c>
      <c r="AD14" s="81">
        <v>2</v>
      </c>
      <c r="AE14" s="81" t="s">
        <v>28429</v>
      </c>
      <c r="AF14" s="81" t="s">
        <v>28429</v>
      </c>
      <c r="AG14" s="81" t="s">
        <v>28429</v>
      </c>
      <c r="AH14" s="81" t="s">
        <v>28429</v>
      </c>
    </row>
    <row r="15" spans="1:44" ht="15" customHeight="1" x14ac:dyDescent="0.2">
      <c r="A15" s="81" t="s">
        <v>1057</v>
      </c>
      <c r="B15" s="81" t="s">
        <v>28457</v>
      </c>
      <c r="C15" s="81" t="s">
        <v>46</v>
      </c>
      <c r="D15" s="81" t="s">
        <v>47</v>
      </c>
      <c r="E15" s="81" t="s">
        <v>10</v>
      </c>
      <c r="F15" s="81" t="s">
        <v>91</v>
      </c>
      <c r="G15" s="81" t="s">
        <v>90</v>
      </c>
      <c r="H15" s="81">
        <v>1</v>
      </c>
      <c r="I15" s="81" t="s">
        <v>1</v>
      </c>
      <c r="J15" s="84" t="s">
        <v>27406</v>
      </c>
      <c r="K15" s="81" t="s">
        <v>25687</v>
      </c>
      <c r="L15" s="81" t="s">
        <v>25607</v>
      </c>
      <c r="M15" s="81" t="s">
        <v>12</v>
      </c>
      <c r="N15" s="81">
        <v>862.40800000000002</v>
      </c>
      <c r="Q15" s="80" t="s">
        <v>1</v>
      </c>
      <c r="R15" s="103" t="str">
        <f t="shared" si="0"/>
        <v>02-214-09-</v>
      </c>
      <c r="U15" s="81">
        <v>95</v>
      </c>
      <c r="V15" s="81" t="s">
        <v>28429</v>
      </c>
      <c r="W15" s="81" t="s">
        <v>28429</v>
      </c>
      <c r="X15" s="81" t="s">
        <v>28429</v>
      </c>
      <c r="Y15" s="81" t="s">
        <v>28429</v>
      </c>
      <c r="Z15" s="81" t="s">
        <v>28429</v>
      </c>
      <c r="AA15" s="81" t="s">
        <v>28429</v>
      </c>
      <c r="AB15" s="81" t="s">
        <v>28429</v>
      </c>
      <c r="AC15" s="81" t="s">
        <v>28429</v>
      </c>
      <c r="AD15" s="81" t="s">
        <v>28429</v>
      </c>
      <c r="AE15" s="81" t="s">
        <v>28429</v>
      </c>
      <c r="AF15" s="81" t="s">
        <v>28429</v>
      </c>
      <c r="AG15" s="81" t="s">
        <v>28429</v>
      </c>
      <c r="AH15" s="81" t="s">
        <v>28429</v>
      </c>
    </row>
    <row r="16" spans="1:44" ht="15" customHeight="1" x14ac:dyDescent="0.2">
      <c r="A16" s="81" t="s">
        <v>1065</v>
      </c>
      <c r="B16" s="81" t="s">
        <v>28457</v>
      </c>
      <c r="C16" s="81" t="s">
        <v>46</v>
      </c>
      <c r="D16" s="81" t="s">
        <v>47</v>
      </c>
      <c r="E16" s="81" t="s">
        <v>10</v>
      </c>
      <c r="F16" s="81" t="s">
        <v>91</v>
      </c>
      <c r="G16" s="81" t="s">
        <v>90</v>
      </c>
      <c r="H16" s="81">
        <v>2</v>
      </c>
      <c r="I16" s="81" t="s">
        <v>23</v>
      </c>
      <c r="J16" s="84" t="s">
        <v>27406</v>
      </c>
      <c r="K16" s="81" t="s">
        <v>25687</v>
      </c>
      <c r="L16" s="81" t="s">
        <v>25607</v>
      </c>
      <c r="M16" s="81" t="s">
        <v>12</v>
      </c>
      <c r="N16" s="81">
        <v>862.40800000000002</v>
      </c>
      <c r="Q16" s="80" t="s">
        <v>27</v>
      </c>
      <c r="R16" s="103" t="str">
        <f t="shared" si="0"/>
        <v>02-214-16-</v>
      </c>
      <c r="U16" s="81">
        <v>45</v>
      </c>
      <c r="V16" s="81" t="s">
        <v>28429</v>
      </c>
      <c r="W16" s="81" t="s">
        <v>28429</v>
      </c>
      <c r="X16" s="81" t="s">
        <v>28429</v>
      </c>
      <c r="Y16" s="81" t="s">
        <v>28429</v>
      </c>
      <c r="Z16" s="81" t="s">
        <v>28429</v>
      </c>
      <c r="AA16" s="81" t="s">
        <v>28429</v>
      </c>
      <c r="AB16" s="81" t="s">
        <v>28429</v>
      </c>
      <c r="AC16" s="81" t="s">
        <v>28429</v>
      </c>
      <c r="AD16" s="81" t="s">
        <v>28429</v>
      </c>
      <c r="AE16" s="81" t="s">
        <v>28429</v>
      </c>
      <c r="AF16" s="81" t="s">
        <v>28429</v>
      </c>
      <c r="AG16" s="81" t="s">
        <v>28429</v>
      </c>
      <c r="AH16" s="81" t="s">
        <v>28429</v>
      </c>
    </row>
    <row r="17" spans="1:34" ht="15" customHeight="1" x14ac:dyDescent="0.2">
      <c r="A17" s="81" t="s">
        <v>1071</v>
      </c>
      <c r="B17" s="81" t="s">
        <v>28457</v>
      </c>
      <c r="C17" s="81" t="s">
        <v>46</v>
      </c>
      <c r="D17" s="81" t="s">
        <v>47</v>
      </c>
      <c r="E17" s="81" t="s">
        <v>10</v>
      </c>
      <c r="F17" s="81" t="s">
        <v>91</v>
      </c>
      <c r="G17" s="81" t="s">
        <v>90</v>
      </c>
      <c r="H17" s="81">
        <v>20</v>
      </c>
      <c r="I17" s="81" t="s">
        <v>147</v>
      </c>
      <c r="J17" s="84" t="s">
        <v>27406</v>
      </c>
      <c r="K17" s="81" t="s">
        <v>25687</v>
      </c>
      <c r="L17" s="81" t="s">
        <v>25607</v>
      </c>
      <c r="M17" s="81" t="s">
        <v>12</v>
      </c>
      <c r="N17" s="81">
        <v>862.40800000000002</v>
      </c>
      <c r="Q17" s="80"/>
      <c r="R17" s="103" t="str">
        <f t="shared" si="0"/>
        <v>02-214-19-</v>
      </c>
      <c r="U17" s="81">
        <v>25</v>
      </c>
      <c r="V17" s="81" t="s">
        <v>28429</v>
      </c>
      <c r="W17" s="81" t="s">
        <v>28429</v>
      </c>
      <c r="X17" s="81" t="s">
        <v>28429</v>
      </c>
      <c r="Y17" s="81" t="s">
        <v>28429</v>
      </c>
      <c r="Z17" s="81" t="s">
        <v>28429</v>
      </c>
      <c r="AA17" s="81" t="s">
        <v>28429</v>
      </c>
      <c r="AB17" s="81" t="s">
        <v>28429</v>
      </c>
      <c r="AC17" s="81" t="s">
        <v>28429</v>
      </c>
      <c r="AD17" s="81" t="s">
        <v>28429</v>
      </c>
      <c r="AE17" s="81" t="s">
        <v>28429</v>
      </c>
      <c r="AF17" s="81" t="s">
        <v>28429</v>
      </c>
      <c r="AG17" s="81" t="s">
        <v>28429</v>
      </c>
      <c r="AH17" s="81" t="s">
        <v>28429</v>
      </c>
    </row>
    <row r="18" spans="1:34" ht="15" customHeight="1" x14ac:dyDescent="0.2">
      <c r="A18" s="81" t="s">
        <v>1055</v>
      </c>
      <c r="B18" s="81" t="s">
        <v>28457</v>
      </c>
      <c r="C18" s="81" t="s">
        <v>46</v>
      </c>
      <c r="D18" s="81" t="s">
        <v>47</v>
      </c>
      <c r="E18" s="81" t="s">
        <v>10</v>
      </c>
      <c r="F18" s="81" t="s">
        <v>91</v>
      </c>
      <c r="G18" s="81" t="s">
        <v>90</v>
      </c>
      <c r="H18" s="81">
        <v>32</v>
      </c>
      <c r="I18" s="81" t="s">
        <v>28</v>
      </c>
      <c r="J18" s="84" t="s">
        <v>27406</v>
      </c>
      <c r="K18" s="81" t="s">
        <v>25687</v>
      </c>
      <c r="L18" s="81" t="s">
        <v>25607</v>
      </c>
      <c r="M18" s="81" t="s">
        <v>12</v>
      </c>
      <c r="N18" s="81">
        <v>862.40800000000002</v>
      </c>
      <c r="Q18" s="80" t="s">
        <v>28</v>
      </c>
      <c r="R18" s="103" t="str">
        <f t="shared" si="0"/>
        <v>02-214-08-</v>
      </c>
      <c r="U18" s="81">
        <v>75</v>
      </c>
      <c r="V18" s="81" t="s">
        <v>28429</v>
      </c>
      <c r="W18" s="81" t="s">
        <v>28429</v>
      </c>
      <c r="X18" s="81" t="s">
        <v>28429</v>
      </c>
      <c r="Y18" s="81" t="s">
        <v>28429</v>
      </c>
      <c r="Z18" s="81" t="s">
        <v>28429</v>
      </c>
      <c r="AA18" s="81" t="s">
        <v>28429</v>
      </c>
      <c r="AB18" s="81" t="s">
        <v>28429</v>
      </c>
      <c r="AC18" s="81" t="s">
        <v>28429</v>
      </c>
      <c r="AD18" s="81" t="s">
        <v>28429</v>
      </c>
      <c r="AE18" s="81" t="s">
        <v>28429</v>
      </c>
      <c r="AF18" s="81" t="s">
        <v>28429</v>
      </c>
      <c r="AG18" s="81" t="s">
        <v>28429</v>
      </c>
      <c r="AH18" s="81" t="s">
        <v>28429</v>
      </c>
    </row>
    <row r="19" spans="1:34" ht="15" customHeight="1" x14ac:dyDescent="0.2">
      <c r="A19" s="81" t="s">
        <v>1051</v>
      </c>
      <c r="B19" s="81" t="s">
        <v>28457</v>
      </c>
      <c r="C19" s="81" t="s">
        <v>46</v>
      </c>
      <c r="D19" s="81" t="s">
        <v>47</v>
      </c>
      <c r="E19" s="81" t="s">
        <v>10</v>
      </c>
      <c r="F19" s="81" t="s">
        <v>91</v>
      </c>
      <c r="G19" s="81" t="s">
        <v>90</v>
      </c>
      <c r="H19" s="81">
        <v>55</v>
      </c>
      <c r="I19" s="81" t="s">
        <v>58</v>
      </c>
      <c r="J19" s="84" t="s">
        <v>27406</v>
      </c>
      <c r="K19" s="81" t="s">
        <v>25687</v>
      </c>
      <c r="L19" s="81" t="s">
        <v>25607</v>
      </c>
      <c r="M19" s="81" t="s">
        <v>12</v>
      </c>
      <c r="N19" s="81">
        <v>862.40800000000002</v>
      </c>
      <c r="Q19" s="80" t="s">
        <v>58</v>
      </c>
      <c r="R19" s="103" t="str">
        <f t="shared" si="0"/>
        <v>02-214-03-</v>
      </c>
      <c r="U19" s="81">
        <v>75</v>
      </c>
      <c r="V19" s="81" t="s">
        <v>28429</v>
      </c>
      <c r="W19" s="81" t="s">
        <v>28429</v>
      </c>
      <c r="X19" s="81" t="s">
        <v>28429</v>
      </c>
      <c r="Y19" s="81" t="s">
        <v>28429</v>
      </c>
      <c r="Z19" s="81" t="s">
        <v>28429</v>
      </c>
      <c r="AA19" s="81" t="s">
        <v>28429</v>
      </c>
      <c r="AB19" s="81" t="s">
        <v>28429</v>
      </c>
      <c r="AC19" s="81" t="s">
        <v>28429</v>
      </c>
      <c r="AD19" s="81" t="s">
        <v>28429</v>
      </c>
      <c r="AE19" s="81" t="s">
        <v>28429</v>
      </c>
      <c r="AF19" s="81" t="s">
        <v>28429</v>
      </c>
      <c r="AG19" s="81" t="s">
        <v>28429</v>
      </c>
      <c r="AH19" s="81" t="s">
        <v>28429</v>
      </c>
    </row>
    <row r="20" spans="1:34" ht="15" customHeight="1" x14ac:dyDescent="0.2">
      <c r="A20" s="81" t="s">
        <v>28438</v>
      </c>
      <c r="B20" s="81" t="s">
        <v>28457</v>
      </c>
      <c r="C20" s="81" t="s">
        <v>46</v>
      </c>
      <c r="D20" s="81" t="s">
        <v>47</v>
      </c>
      <c r="E20" s="81" t="s">
        <v>10</v>
      </c>
      <c r="F20" s="81" t="s">
        <v>91</v>
      </c>
      <c r="G20" s="81" t="s">
        <v>90</v>
      </c>
      <c r="H20" s="81">
        <v>71</v>
      </c>
      <c r="I20" s="81" t="s">
        <v>28470</v>
      </c>
      <c r="J20" s="84" t="s">
        <v>27406</v>
      </c>
      <c r="K20" s="81" t="s">
        <v>25687</v>
      </c>
      <c r="L20" s="81" t="s">
        <v>25607</v>
      </c>
      <c r="M20" s="81" t="s">
        <v>12</v>
      </c>
      <c r="N20" s="81">
        <v>862.40800000000002</v>
      </c>
      <c r="Q20" s="80"/>
      <c r="R20" s="103" t="str">
        <f t="shared" si="0"/>
        <v>02-214-36-</v>
      </c>
      <c r="U20" s="81">
        <v>72</v>
      </c>
      <c r="V20" s="81" t="s">
        <v>28429</v>
      </c>
      <c r="W20" s="81" t="s">
        <v>28429</v>
      </c>
      <c r="X20" s="81" t="s">
        <v>28429</v>
      </c>
      <c r="Y20" s="81" t="s">
        <v>28429</v>
      </c>
      <c r="Z20" s="81" t="s">
        <v>28429</v>
      </c>
      <c r="AA20" s="81" t="s">
        <v>28429</v>
      </c>
      <c r="AB20" s="81" t="s">
        <v>28429</v>
      </c>
      <c r="AC20" s="81" t="s">
        <v>28429</v>
      </c>
      <c r="AD20" s="81" t="s">
        <v>28429</v>
      </c>
      <c r="AE20" s="81" t="s">
        <v>28429</v>
      </c>
      <c r="AF20" s="81" t="s">
        <v>28429</v>
      </c>
      <c r="AG20" s="81" t="s">
        <v>28429</v>
      </c>
      <c r="AH20" s="81" t="s">
        <v>28429</v>
      </c>
    </row>
    <row r="21" spans="1:34" ht="15" customHeight="1" x14ac:dyDescent="0.2">
      <c r="A21" s="81" t="s">
        <v>1061</v>
      </c>
      <c r="B21" s="81" t="s">
        <v>28457</v>
      </c>
      <c r="C21" s="81" t="s">
        <v>46</v>
      </c>
      <c r="D21" s="81" t="s">
        <v>47</v>
      </c>
      <c r="E21" s="81" t="s">
        <v>10</v>
      </c>
      <c r="F21" s="81" t="s">
        <v>91</v>
      </c>
      <c r="G21" s="81" t="s">
        <v>90</v>
      </c>
      <c r="H21" s="81">
        <v>86</v>
      </c>
      <c r="I21" s="81" t="s">
        <v>96</v>
      </c>
      <c r="J21" s="84" t="s">
        <v>27406</v>
      </c>
      <c r="K21" s="81" t="s">
        <v>25687</v>
      </c>
      <c r="L21" s="81" t="s">
        <v>25607</v>
      </c>
      <c r="M21" s="81" t="s">
        <v>12</v>
      </c>
      <c r="N21" s="81">
        <v>862.40800000000002</v>
      </c>
      <c r="Q21" s="80" t="s">
        <v>96</v>
      </c>
      <c r="R21" s="103" t="str">
        <f t="shared" si="0"/>
        <v>02-214-12-</v>
      </c>
      <c r="U21" s="81">
        <v>60</v>
      </c>
      <c r="V21" s="81" t="s">
        <v>28429</v>
      </c>
      <c r="W21" s="81" t="s">
        <v>28429</v>
      </c>
      <c r="X21" s="81" t="s">
        <v>28429</v>
      </c>
      <c r="Y21" s="81" t="s">
        <v>28429</v>
      </c>
      <c r="Z21" s="81" t="s">
        <v>28429</v>
      </c>
      <c r="AA21" s="81" t="s">
        <v>28429</v>
      </c>
      <c r="AB21" s="81" t="s">
        <v>28429</v>
      </c>
      <c r="AC21" s="81" t="s">
        <v>28429</v>
      </c>
      <c r="AD21" s="81" t="s">
        <v>28429</v>
      </c>
      <c r="AE21" s="81" t="s">
        <v>28429</v>
      </c>
      <c r="AF21" s="81" t="s">
        <v>28429</v>
      </c>
      <c r="AG21" s="81" t="s">
        <v>28429</v>
      </c>
      <c r="AH21" s="81" t="s">
        <v>28429</v>
      </c>
    </row>
    <row r="22" spans="1:34" ht="15" customHeight="1" x14ac:dyDescent="0.2">
      <c r="A22" s="81" t="s">
        <v>1425</v>
      </c>
      <c r="B22" s="81" t="s">
        <v>28458</v>
      </c>
      <c r="C22" s="81" t="s">
        <v>31</v>
      </c>
      <c r="D22" s="81" t="s">
        <v>39</v>
      </c>
      <c r="E22" s="81" t="s">
        <v>10</v>
      </c>
      <c r="F22" s="81" t="s">
        <v>91</v>
      </c>
      <c r="G22" s="81" t="s">
        <v>90</v>
      </c>
      <c r="H22" s="81">
        <v>310</v>
      </c>
      <c r="I22" s="81" t="s">
        <v>100</v>
      </c>
      <c r="J22" s="84" t="s">
        <v>28479</v>
      </c>
      <c r="K22" s="81" t="s">
        <v>25687</v>
      </c>
      <c r="L22" s="81" t="s">
        <v>25607</v>
      </c>
      <c r="M22" s="81" t="s">
        <v>60</v>
      </c>
      <c r="N22" s="81">
        <v>2365.6880000000001</v>
      </c>
      <c r="Q22" s="80" t="s">
        <v>100</v>
      </c>
      <c r="R22" s="103" t="str">
        <f t="shared" si="0"/>
        <v>02-334-36-</v>
      </c>
      <c r="U22" s="81" t="s">
        <v>28429</v>
      </c>
      <c r="V22" s="81" t="s">
        <v>28429</v>
      </c>
      <c r="W22" s="81" t="s">
        <v>28429</v>
      </c>
      <c r="X22" s="81" t="s">
        <v>28429</v>
      </c>
      <c r="Y22" s="81" t="s">
        <v>28429</v>
      </c>
      <c r="Z22" s="81">
        <v>1</v>
      </c>
      <c r="AA22" s="81" t="s">
        <v>28429</v>
      </c>
      <c r="AB22" s="81">
        <v>2</v>
      </c>
      <c r="AC22" s="81" t="s">
        <v>28429</v>
      </c>
      <c r="AD22" s="81" t="s">
        <v>28429</v>
      </c>
      <c r="AE22" s="81" t="s">
        <v>28429</v>
      </c>
      <c r="AF22" s="81">
        <v>1</v>
      </c>
      <c r="AG22" s="81" t="s">
        <v>28429</v>
      </c>
      <c r="AH22" s="81" t="s">
        <v>28429</v>
      </c>
    </row>
    <row r="23" spans="1:34" ht="15" customHeight="1" x14ac:dyDescent="0.2">
      <c r="A23" s="81" t="s">
        <v>28439</v>
      </c>
      <c r="B23" s="81" t="s">
        <v>28459</v>
      </c>
      <c r="C23" s="81" t="s">
        <v>8</v>
      </c>
      <c r="D23" s="81" t="s">
        <v>9</v>
      </c>
      <c r="E23" s="81" t="s">
        <v>10</v>
      </c>
      <c r="F23" s="81" t="s">
        <v>28467</v>
      </c>
      <c r="G23" s="81" t="s">
        <v>90</v>
      </c>
      <c r="H23" s="81">
        <v>31</v>
      </c>
      <c r="I23" s="81" t="s">
        <v>28</v>
      </c>
      <c r="J23" s="84" t="s">
        <v>28475</v>
      </c>
      <c r="K23" s="81" t="s">
        <v>25684</v>
      </c>
      <c r="L23" s="81" t="s">
        <v>25607</v>
      </c>
      <c r="M23" s="81" t="s">
        <v>20</v>
      </c>
      <c r="N23" s="81">
        <v>2365.6880000000001</v>
      </c>
      <c r="Q23" s="80"/>
      <c r="R23" s="103" t="str">
        <f t="shared" si="0"/>
        <v>02-684-08-</v>
      </c>
      <c r="U23" s="81" t="s">
        <v>28429</v>
      </c>
      <c r="V23" s="81" t="s">
        <v>28429</v>
      </c>
      <c r="W23" s="81" t="s">
        <v>28429</v>
      </c>
      <c r="X23" s="81">
        <v>1</v>
      </c>
      <c r="Y23" s="81" t="s">
        <v>28429</v>
      </c>
      <c r="Z23" s="81">
        <v>6</v>
      </c>
      <c r="AA23" s="81" t="s">
        <v>28429</v>
      </c>
      <c r="AB23" s="81">
        <v>8</v>
      </c>
      <c r="AC23" s="81" t="s">
        <v>28429</v>
      </c>
      <c r="AD23" s="81">
        <v>6</v>
      </c>
      <c r="AE23" s="81" t="s">
        <v>28429</v>
      </c>
      <c r="AF23" s="81">
        <v>3</v>
      </c>
      <c r="AG23" s="81" t="s">
        <v>28429</v>
      </c>
      <c r="AH23" s="81" t="s">
        <v>28429</v>
      </c>
    </row>
    <row r="24" spans="1:34" ht="15" customHeight="1" x14ac:dyDescent="0.2">
      <c r="A24" s="81" t="s">
        <v>28440</v>
      </c>
      <c r="B24" s="81" t="s">
        <v>28460</v>
      </c>
      <c r="C24" s="81" t="s">
        <v>31</v>
      </c>
      <c r="D24" s="81" t="s">
        <v>32</v>
      </c>
      <c r="E24" s="81" t="s">
        <v>10</v>
      </c>
      <c r="F24" s="81" t="s">
        <v>28467</v>
      </c>
      <c r="G24" s="81" t="s">
        <v>90</v>
      </c>
      <c r="H24" s="81">
        <v>268</v>
      </c>
      <c r="I24" s="81" t="s">
        <v>52</v>
      </c>
      <c r="J24" s="84" t="s">
        <v>28475</v>
      </c>
      <c r="K24" s="81" t="s">
        <v>25684</v>
      </c>
      <c r="L24" s="81" t="s">
        <v>25607</v>
      </c>
      <c r="M24" s="81" t="s">
        <v>60</v>
      </c>
      <c r="N24" s="81">
        <v>2128.328</v>
      </c>
      <c r="Q24" s="80"/>
      <c r="R24" s="103" t="str">
        <f t="shared" si="0"/>
        <v>02-688-02-</v>
      </c>
      <c r="U24" s="81" t="s">
        <v>28429</v>
      </c>
      <c r="V24" s="81" t="s">
        <v>28429</v>
      </c>
      <c r="W24" s="81" t="s">
        <v>28429</v>
      </c>
      <c r="X24" s="81">
        <v>1</v>
      </c>
      <c r="Y24" s="81" t="s">
        <v>28429</v>
      </c>
      <c r="Z24" s="81">
        <v>5</v>
      </c>
      <c r="AA24" s="81" t="s">
        <v>28429</v>
      </c>
      <c r="AB24" s="81">
        <v>8</v>
      </c>
      <c r="AC24" s="81" t="s">
        <v>28429</v>
      </c>
      <c r="AD24" s="81">
        <v>5</v>
      </c>
      <c r="AE24" s="81" t="s">
        <v>28429</v>
      </c>
      <c r="AF24" s="81">
        <v>2</v>
      </c>
      <c r="AG24" s="81" t="s">
        <v>28429</v>
      </c>
      <c r="AH24" s="81" t="s">
        <v>28429</v>
      </c>
    </row>
    <row r="25" spans="1:34" ht="15" customHeight="1" x14ac:dyDescent="0.2">
      <c r="A25" s="81" t="s">
        <v>28441</v>
      </c>
      <c r="B25" s="81" t="s">
        <v>28460</v>
      </c>
      <c r="C25" s="81" t="s">
        <v>31</v>
      </c>
      <c r="D25" s="81" t="s">
        <v>32</v>
      </c>
      <c r="E25" s="81" t="s">
        <v>10</v>
      </c>
      <c r="F25" s="81" t="s">
        <v>28467</v>
      </c>
      <c r="G25" s="81" t="s">
        <v>90</v>
      </c>
      <c r="H25" s="81">
        <v>229</v>
      </c>
      <c r="I25" s="81" t="s">
        <v>25433</v>
      </c>
      <c r="J25" s="84" t="s">
        <v>28475</v>
      </c>
      <c r="K25" s="81" t="s">
        <v>25684</v>
      </c>
      <c r="L25" s="81" t="s">
        <v>25607</v>
      </c>
      <c r="M25" s="81" t="s">
        <v>60</v>
      </c>
      <c r="N25" s="81">
        <v>2128.328</v>
      </c>
      <c r="Q25" s="80"/>
      <c r="R25" s="103" t="str">
        <f t="shared" si="0"/>
        <v>02-688-18-</v>
      </c>
      <c r="U25" s="81" t="s">
        <v>28429</v>
      </c>
      <c r="V25" s="81" t="s">
        <v>28429</v>
      </c>
      <c r="W25" s="81" t="s">
        <v>28429</v>
      </c>
      <c r="X25" s="81">
        <v>1</v>
      </c>
      <c r="Y25" s="81" t="s">
        <v>28429</v>
      </c>
      <c r="Z25" s="81">
        <v>5</v>
      </c>
      <c r="AA25" s="81" t="s">
        <v>28429</v>
      </c>
      <c r="AB25" s="81">
        <v>8</v>
      </c>
      <c r="AC25" s="81" t="s">
        <v>28429</v>
      </c>
      <c r="AD25" s="81">
        <v>5</v>
      </c>
      <c r="AE25" s="81" t="s">
        <v>28429</v>
      </c>
      <c r="AF25" s="81">
        <v>2</v>
      </c>
      <c r="AG25" s="81" t="s">
        <v>28429</v>
      </c>
      <c r="AH25" s="81" t="s">
        <v>28429</v>
      </c>
    </row>
    <row r="26" spans="1:34" ht="15" customHeight="1" x14ac:dyDescent="0.2">
      <c r="A26" s="81" t="s">
        <v>925</v>
      </c>
      <c r="B26" s="81" t="s">
        <v>28461</v>
      </c>
      <c r="C26" s="81" t="s">
        <v>8</v>
      </c>
      <c r="D26" s="81" t="s">
        <v>21</v>
      </c>
      <c r="E26" s="81" t="s">
        <v>10</v>
      </c>
      <c r="F26" s="81" t="s">
        <v>91</v>
      </c>
      <c r="G26" s="81" t="s">
        <v>90</v>
      </c>
      <c r="H26" s="81">
        <v>1</v>
      </c>
      <c r="I26" s="81" t="s">
        <v>1</v>
      </c>
      <c r="J26" s="84" t="s">
        <v>27406</v>
      </c>
      <c r="K26" s="81" t="s">
        <v>25687</v>
      </c>
      <c r="L26" s="81" t="s">
        <v>25607</v>
      </c>
      <c r="M26" s="81" t="s">
        <v>26668</v>
      </c>
      <c r="N26" s="81">
        <v>2128.328</v>
      </c>
      <c r="Q26" s="80" t="s">
        <v>1</v>
      </c>
      <c r="R26" s="103" t="str">
        <f t="shared" si="0"/>
        <v>02-182-09-</v>
      </c>
      <c r="U26" s="81" t="s">
        <v>28429</v>
      </c>
      <c r="V26" s="81" t="s">
        <v>28429</v>
      </c>
      <c r="W26" s="81" t="s">
        <v>28429</v>
      </c>
      <c r="X26" s="81" t="s">
        <v>28429</v>
      </c>
      <c r="Y26" s="81" t="s">
        <v>28429</v>
      </c>
      <c r="Z26" s="81" t="s">
        <v>28429</v>
      </c>
      <c r="AA26" s="81" t="s">
        <v>28429</v>
      </c>
      <c r="AB26" s="81">
        <v>2</v>
      </c>
      <c r="AC26" s="81" t="s">
        <v>28429</v>
      </c>
      <c r="AD26" s="81" t="s">
        <v>28429</v>
      </c>
      <c r="AE26" s="81" t="s">
        <v>28429</v>
      </c>
      <c r="AF26" s="81" t="s">
        <v>28429</v>
      </c>
      <c r="AG26" s="81" t="s">
        <v>28429</v>
      </c>
      <c r="AH26" s="81" t="s">
        <v>28429</v>
      </c>
    </row>
    <row r="27" spans="1:34" ht="15" customHeight="1" x14ac:dyDescent="0.2">
      <c r="A27" s="81" t="s">
        <v>927</v>
      </c>
      <c r="B27" s="81" t="s">
        <v>28461</v>
      </c>
      <c r="C27" s="81" t="s">
        <v>8</v>
      </c>
      <c r="D27" s="81" t="s">
        <v>21</v>
      </c>
      <c r="E27" s="81" t="s">
        <v>10</v>
      </c>
      <c r="F27" s="81" t="s">
        <v>91</v>
      </c>
      <c r="G27" s="81" t="s">
        <v>90</v>
      </c>
      <c r="H27" s="81">
        <v>76</v>
      </c>
      <c r="I27" s="81" t="s">
        <v>29</v>
      </c>
      <c r="J27" s="84" t="s">
        <v>27406</v>
      </c>
      <c r="K27" s="81" t="s">
        <v>25687</v>
      </c>
      <c r="L27" s="81" t="s">
        <v>25607</v>
      </c>
      <c r="M27" s="81" t="s">
        <v>26668</v>
      </c>
      <c r="N27" s="81">
        <v>2128.328</v>
      </c>
      <c r="Q27" s="80" t="s">
        <v>52</v>
      </c>
      <c r="R27" s="103" t="str">
        <f t="shared" si="0"/>
        <v>02-182-20-</v>
      </c>
      <c r="U27" s="81" t="s">
        <v>28429</v>
      </c>
      <c r="V27" s="81" t="s">
        <v>28429</v>
      </c>
      <c r="W27" s="81" t="s">
        <v>28429</v>
      </c>
      <c r="X27" s="81" t="s">
        <v>28429</v>
      </c>
      <c r="Y27" s="81" t="s">
        <v>28429</v>
      </c>
      <c r="Z27" s="81">
        <v>3</v>
      </c>
      <c r="AA27" s="81" t="s">
        <v>28429</v>
      </c>
      <c r="AB27" s="81">
        <v>4</v>
      </c>
      <c r="AC27" s="81" t="s">
        <v>28429</v>
      </c>
      <c r="AD27" s="81">
        <v>3</v>
      </c>
      <c r="AE27" s="81" t="s">
        <v>28429</v>
      </c>
      <c r="AF27" s="81" t="s">
        <v>28429</v>
      </c>
      <c r="AG27" s="81" t="s">
        <v>28429</v>
      </c>
      <c r="AH27" s="81" t="s">
        <v>28429</v>
      </c>
    </row>
    <row r="28" spans="1:34" ht="15" customHeight="1" x14ac:dyDescent="0.2">
      <c r="A28" s="81" t="s">
        <v>941</v>
      </c>
      <c r="B28" s="81" t="s">
        <v>28462</v>
      </c>
      <c r="C28" s="81" t="s">
        <v>198</v>
      </c>
      <c r="D28" s="81" t="s">
        <v>199</v>
      </c>
      <c r="E28" s="81" t="s">
        <v>10</v>
      </c>
      <c r="F28" s="81" t="s">
        <v>26652</v>
      </c>
      <c r="G28" s="81" t="s">
        <v>90</v>
      </c>
      <c r="H28" s="81">
        <v>76</v>
      </c>
      <c r="I28" s="81" t="s">
        <v>29</v>
      </c>
      <c r="J28" s="84" t="s">
        <v>27406</v>
      </c>
      <c r="K28" s="81" t="s">
        <v>25687</v>
      </c>
      <c r="L28" s="81" t="s">
        <v>25607</v>
      </c>
      <c r="M28" s="81" t="s">
        <v>12</v>
      </c>
      <c r="N28" s="81">
        <v>2128.328</v>
      </c>
      <c r="Q28" s="80" t="s">
        <v>52</v>
      </c>
      <c r="R28" s="103" t="str">
        <f t="shared" si="0"/>
        <v>02-186-20-</v>
      </c>
      <c r="U28" s="81" t="s">
        <v>28429</v>
      </c>
      <c r="V28" s="81" t="s">
        <v>28429</v>
      </c>
      <c r="W28" s="81" t="s">
        <v>28429</v>
      </c>
      <c r="X28" s="81" t="s">
        <v>28429</v>
      </c>
      <c r="Y28" s="81" t="s">
        <v>28429</v>
      </c>
      <c r="Z28" s="81">
        <v>6</v>
      </c>
      <c r="AA28" s="81" t="s">
        <v>28429</v>
      </c>
      <c r="AB28" s="81">
        <v>9</v>
      </c>
      <c r="AC28" s="81" t="s">
        <v>28429</v>
      </c>
      <c r="AD28" s="81">
        <v>11</v>
      </c>
      <c r="AE28" s="81" t="s">
        <v>28429</v>
      </c>
      <c r="AF28" s="81">
        <v>6</v>
      </c>
      <c r="AG28" s="81" t="s">
        <v>28429</v>
      </c>
      <c r="AH28" s="81" t="s">
        <v>28429</v>
      </c>
    </row>
    <row r="29" spans="1:34" ht="15" customHeight="1" x14ac:dyDescent="0.2">
      <c r="A29" s="81" t="s">
        <v>28442</v>
      </c>
      <c r="B29" s="81" t="s">
        <v>28463</v>
      </c>
      <c r="C29" s="81" t="s">
        <v>31</v>
      </c>
      <c r="D29" s="81" t="s">
        <v>39</v>
      </c>
      <c r="E29" s="81" t="s">
        <v>10</v>
      </c>
      <c r="F29" s="81" t="s">
        <v>28468</v>
      </c>
      <c r="G29" s="81" t="s">
        <v>90</v>
      </c>
      <c r="H29" s="81">
        <v>15</v>
      </c>
      <c r="I29" s="81" t="s">
        <v>26</v>
      </c>
      <c r="J29" s="84" t="s">
        <v>28480</v>
      </c>
      <c r="L29" s="81" t="s">
        <v>25607</v>
      </c>
      <c r="M29" s="81" t="s">
        <v>12</v>
      </c>
      <c r="N29" s="81">
        <v>2682.1680000000001</v>
      </c>
      <c r="Q29" s="80"/>
      <c r="R29" s="103" t="str">
        <f t="shared" si="0"/>
        <v>02-693-05-</v>
      </c>
      <c r="U29" s="81" t="s">
        <v>28429</v>
      </c>
      <c r="V29" s="81" t="s">
        <v>28429</v>
      </c>
      <c r="W29" s="81" t="s">
        <v>28429</v>
      </c>
      <c r="X29" s="81" t="s">
        <v>28429</v>
      </c>
      <c r="Y29" s="81" t="s">
        <v>28429</v>
      </c>
      <c r="Z29" s="81">
        <v>2</v>
      </c>
      <c r="AA29" s="81" t="s">
        <v>28429</v>
      </c>
      <c r="AB29" s="81" t="s">
        <v>28429</v>
      </c>
      <c r="AC29" s="81" t="s">
        <v>28429</v>
      </c>
      <c r="AD29" s="81" t="s">
        <v>28429</v>
      </c>
      <c r="AE29" s="81" t="s">
        <v>28429</v>
      </c>
      <c r="AF29" s="81" t="s">
        <v>28429</v>
      </c>
      <c r="AG29" s="81" t="s">
        <v>28429</v>
      </c>
      <c r="AH29" s="81" t="s">
        <v>28429</v>
      </c>
    </row>
    <row r="30" spans="1:34" ht="15" customHeight="1" x14ac:dyDescent="0.2">
      <c r="A30" s="81" t="s">
        <v>28443</v>
      </c>
      <c r="B30" s="81" t="s">
        <v>28464</v>
      </c>
      <c r="C30" s="81" t="s">
        <v>46</v>
      </c>
      <c r="D30" s="81" t="s">
        <v>92</v>
      </c>
      <c r="E30" s="81" t="s">
        <v>10</v>
      </c>
      <c r="F30" s="81" t="s">
        <v>28468</v>
      </c>
      <c r="G30" s="81" t="s">
        <v>90</v>
      </c>
      <c r="H30" s="81">
        <v>15</v>
      </c>
      <c r="I30" s="81" t="s">
        <v>26</v>
      </c>
      <c r="J30" s="84" t="s">
        <v>28481</v>
      </c>
      <c r="L30" s="81" t="s">
        <v>25607</v>
      </c>
      <c r="M30" s="81" t="s">
        <v>12</v>
      </c>
      <c r="N30" s="81">
        <v>1178.8879999999997</v>
      </c>
      <c r="Q30" s="80"/>
      <c r="R30" s="103" t="str">
        <f t="shared" si="0"/>
        <v>02-694-05-</v>
      </c>
      <c r="U30" s="81">
        <v>17</v>
      </c>
      <c r="V30" s="81" t="s">
        <v>28429</v>
      </c>
      <c r="W30" s="81" t="s">
        <v>28429</v>
      </c>
      <c r="X30" s="81" t="s">
        <v>28429</v>
      </c>
      <c r="Y30" s="81" t="s">
        <v>28429</v>
      </c>
      <c r="Z30" s="81" t="s">
        <v>28429</v>
      </c>
      <c r="AA30" s="81" t="s">
        <v>28429</v>
      </c>
      <c r="AB30" s="81" t="s">
        <v>28429</v>
      </c>
      <c r="AC30" s="81" t="s">
        <v>28429</v>
      </c>
      <c r="AD30" s="81" t="s">
        <v>28429</v>
      </c>
      <c r="AE30" s="81" t="s">
        <v>28429</v>
      </c>
      <c r="AF30" s="81" t="s">
        <v>28429</v>
      </c>
      <c r="AG30" s="81" t="s">
        <v>28429</v>
      </c>
      <c r="AH30" s="81" t="s">
        <v>28429</v>
      </c>
    </row>
    <row r="31" spans="1:34" ht="15" customHeight="1" x14ac:dyDescent="0.2">
      <c r="A31" s="81" t="s">
        <v>28444</v>
      </c>
      <c r="B31" s="81" t="s">
        <v>28465</v>
      </c>
      <c r="C31" s="81" t="s">
        <v>8</v>
      </c>
      <c r="D31" s="81" t="s">
        <v>21</v>
      </c>
      <c r="E31" s="81" t="s">
        <v>10</v>
      </c>
      <c r="F31" s="81" t="s">
        <v>28467</v>
      </c>
      <c r="G31" s="81" t="s">
        <v>90</v>
      </c>
      <c r="H31" s="81">
        <v>7</v>
      </c>
      <c r="I31" s="81" t="s">
        <v>52</v>
      </c>
      <c r="J31" s="84" t="s">
        <v>27406</v>
      </c>
      <c r="K31" s="81" t="s">
        <v>25687</v>
      </c>
      <c r="L31" s="81" t="s">
        <v>25607</v>
      </c>
      <c r="M31" s="81" t="s">
        <v>12</v>
      </c>
      <c r="N31" s="81">
        <v>2998.6479999999997</v>
      </c>
      <c r="Q31" s="80"/>
      <c r="R31" s="103" t="str">
        <f t="shared" si="0"/>
        <v>02-695-02-</v>
      </c>
      <c r="U31" s="81" t="s">
        <v>28429</v>
      </c>
      <c r="V31" s="81" t="s">
        <v>28429</v>
      </c>
      <c r="W31" s="81" t="s">
        <v>28429</v>
      </c>
      <c r="X31" s="81" t="s">
        <v>28429</v>
      </c>
      <c r="Y31" s="81" t="s">
        <v>28429</v>
      </c>
      <c r="Z31" s="81">
        <v>2</v>
      </c>
      <c r="AA31" s="81" t="s">
        <v>28429</v>
      </c>
      <c r="AB31" s="81">
        <v>4</v>
      </c>
      <c r="AC31" s="81" t="s">
        <v>28429</v>
      </c>
      <c r="AD31" s="81" t="s">
        <v>28429</v>
      </c>
      <c r="AE31" s="81" t="s">
        <v>28429</v>
      </c>
      <c r="AF31" s="81" t="s">
        <v>28429</v>
      </c>
      <c r="AG31" s="81" t="s">
        <v>28429</v>
      </c>
      <c r="AH31" s="81" t="s">
        <v>28429</v>
      </c>
    </row>
    <row r="32" spans="1:34" ht="15" customHeight="1" x14ac:dyDescent="0.2">
      <c r="A32" s="81" t="s">
        <v>921</v>
      </c>
      <c r="B32" s="81" t="s">
        <v>28466</v>
      </c>
      <c r="C32" s="81" t="s">
        <v>8</v>
      </c>
      <c r="D32" s="81" t="s">
        <v>21</v>
      </c>
      <c r="E32" s="81" t="s">
        <v>10</v>
      </c>
      <c r="F32" s="81" t="s">
        <v>91</v>
      </c>
      <c r="G32" s="81" t="s">
        <v>90</v>
      </c>
      <c r="H32" s="81">
        <v>71</v>
      </c>
      <c r="I32" s="81" t="s">
        <v>194</v>
      </c>
      <c r="J32" s="84" t="s">
        <v>27406</v>
      </c>
      <c r="K32" s="81" t="s">
        <v>25687</v>
      </c>
      <c r="L32" s="81" t="s">
        <v>25607</v>
      </c>
      <c r="M32" s="81" t="s">
        <v>26668</v>
      </c>
      <c r="N32" s="81">
        <v>1811.8479999999997</v>
      </c>
      <c r="Q32" s="80" t="s">
        <v>52</v>
      </c>
      <c r="R32" s="103" t="str">
        <f t="shared" si="0"/>
        <v>02-181-36-</v>
      </c>
      <c r="U32" s="81" t="s">
        <v>28429</v>
      </c>
      <c r="V32" s="81" t="s">
        <v>28429</v>
      </c>
      <c r="W32" s="81" t="s">
        <v>28429</v>
      </c>
      <c r="X32" s="81" t="s">
        <v>28429</v>
      </c>
      <c r="Y32" s="81" t="s">
        <v>28429</v>
      </c>
      <c r="Z32" s="81" t="s">
        <v>28429</v>
      </c>
      <c r="AA32" s="81" t="s">
        <v>28429</v>
      </c>
      <c r="AB32" s="81" t="s">
        <v>28429</v>
      </c>
      <c r="AC32" s="81" t="s">
        <v>28429</v>
      </c>
      <c r="AD32" s="81">
        <v>4</v>
      </c>
      <c r="AE32" s="81" t="s">
        <v>28429</v>
      </c>
      <c r="AF32" s="81">
        <v>4</v>
      </c>
      <c r="AG32" s="81" t="s">
        <v>28429</v>
      </c>
      <c r="AH32" s="81" t="s">
        <v>28429</v>
      </c>
    </row>
    <row r="33" spans="17:17" ht="15" customHeight="1" x14ac:dyDescent="0.2">
      <c r="Q33" s="80"/>
    </row>
    <row r="34" spans="17:17" ht="15" customHeight="1" x14ac:dyDescent="0.2">
      <c r="Q34" s="80"/>
    </row>
    <row r="35" spans="17:17" ht="15" customHeight="1" x14ac:dyDescent="0.2">
      <c r="Q35" s="80"/>
    </row>
    <row r="36" spans="17:17" ht="15" customHeight="1" x14ac:dyDescent="0.2">
      <c r="Q36" s="80"/>
    </row>
    <row r="37" spans="17:17" ht="15" customHeight="1" x14ac:dyDescent="0.2">
      <c r="Q37" s="80"/>
    </row>
    <row r="38" spans="17:17" ht="15" customHeight="1" x14ac:dyDescent="0.2">
      <c r="Q38" s="80"/>
    </row>
    <row r="39" spans="17:17" ht="15" customHeight="1" x14ac:dyDescent="0.2">
      <c r="Q39" s="80"/>
    </row>
    <row r="40" spans="17:17" ht="15" customHeight="1" x14ac:dyDescent="0.2">
      <c r="Q40" s="80"/>
    </row>
    <row r="41" spans="17:17" ht="15" customHeight="1" x14ac:dyDescent="0.2">
      <c r="Q41" s="80"/>
    </row>
    <row r="42" spans="17:17" ht="15" customHeight="1" x14ac:dyDescent="0.2">
      <c r="Q42" s="80"/>
    </row>
    <row r="43" spans="17:17" ht="15" customHeight="1" x14ac:dyDescent="0.2">
      <c r="Q43" s="80"/>
    </row>
    <row r="44" spans="17:17" ht="15" customHeight="1" x14ac:dyDescent="0.2">
      <c r="Q44" s="80"/>
    </row>
    <row r="45" spans="17:17" ht="15" customHeight="1" x14ac:dyDescent="0.2">
      <c r="Q45" s="80"/>
    </row>
    <row r="46" spans="17:17" ht="15" customHeight="1" x14ac:dyDescent="0.2">
      <c r="Q46" s="80"/>
    </row>
    <row r="47" spans="17:17" ht="15" customHeight="1" x14ac:dyDescent="0.2">
      <c r="Q47" s="80"/>
    </row>
    <row r="48" spans="17:17" ht="15" customHeight="1" x14ac:dyDescent="0.2">
      <c r="Q48" s="80"/>
    </row>
    <row r="49" spans="17:17" ht="15" customHeight="1" x14ac:dyDescent="0.2">
      <c r="Q49" s="80"/>
    </row>
    <row r="50" spans="17:17" ht="15" customHeight="1" x14ac:dyDescent="0.2">
      <c r="Q50" s="80"/>
    </row>
    <row r="51" spans="17:17" ht="15" customHeight="1" x14ac:dyDescent="0.2">
      <c r="Q51" s="80"/>
    </row>
    <row r="52" spans="17:17" ht="15" customHeight="1" x14ac:dyDescent="0.2">
      <c r="Q52" s="80"/>
    </row>
    <row r="53" spans="17:17" ht="15" customHeight="1" x14ac:dyDescent="0.2">
      <c r="Q53" s="80"/>
    </row>
    <row r="54" spans="17:17" ht="15" customHeight="1" x14ac:dyDescent="0.2">
      <c r="Q54" s="80"/>
    </row>
    <row r="55" spans="17:17" ht="15" customHeight="1" x14ac:dyDescent="0.2">
      <c r="Q55" s="80"/>
    </row>
    <row r="56" spans="17:17" ht="15" customHeight="1" x14ac:dyDescent="0.2">
      <c r="Q56" s="80"/>
    </row>
    <row r="57" spans="17:17" ht="15" customHeight="1" x14ac:dyDescent="0.2">
      <c r="Q57" s="80"/>
    </row>
    <row r="58" spans="17:17" ht="15" customHeight="1" x14ac:dyDescent="0.2">
      <c r="Q58" s="80"/>
    </row>
    <row r="59" spans="17:17" ht="15" customHeight="1" x14ac:dyDescent="0.2">
      <c r="Q59" s="80"/>
    </row>
    <row r="60" spans="17:17" ht="15" customHeight="1" x14ac:dyDescent="0.2">
      <c r="Q60" s="80"/>
    </row>
    <row r="61" spans="17:17" ht="15" customHeight="1" x14ac:dyDescent="0.2">
      <c r="Q61" s="80"/>
    </row>
    <row r="62" spans="17:17" ht="15" customHeight="1" x14ac:dyDescent="0.2">
      <c r="Q62" s="80"/>
    </row>
    <row r="63" spans="17:17" ht="15" customHeight="1" x14ac:dyDescent="0.2">
      <c r="Q63" s="80"/>
    </row>
    <row r="64" spans="17:17" ht="15" customHeight="1" x14ac:dyDescent="0.2">
      <c r="Q64" s="80"/>
    </row>
    <row r="65" spans="17:17" ht="15" customHeight="1" x14ac:dyDescent="0.2">
      <c r="Q65" s="80"/>
    </row>
    <row r="66" spans="17:17" ht="15" customHeight="1" x14ac:dyDescent="0.2">
      <c r="Q66" s="80"/>
    </row>
    <row r="67" spans="17:17" ht="15" customHeight="1" x14ac:dyDescent="0.2">
      <c r="Q67" s="80"/>
    </row>
    <row r="68" spans="17:17" ht="15" customHeight="1" x14ac:dyDescent="0.2">
      <c r="Q68" s="80"/>
    </row>
    <row r="69" spans="17:17" ht="15" customHeight="1" x14ac:dyDescent="0.2">
      <c r="Q69" s="80"/>
    </row>
    <row r="70" spans="17:17" ht="15" customHeight="1" x14ac:dyDescent="0.2">
      <c r="Q70" s="80"/>
    </row>
    <row r="71" spans="17:17" ht="15" customHeight="1" x14ac:dyDescent="0.2">
      <c r="Q71" s="80"/>
    </row>
    <row r="72" spans="17:17" ht="15" customHeight="1" x14ac:dyDescent="0.2">
      <c r="Q72" s="80"/>
    </row>
    <row r="73" spans="17:17" ht="15" customHeight="1" x14ac:dyDescent="0.2">
      <c r="Q73" s="80"/>
    </row>
    <row r="74" spans="17:17" ht="15" customHeight="1" x14ac:dyDescent="0.2">
      <c r="Q74" s="80"/>
    </row>
    <row r="75" spans="17:17" ht="15" customHeight="1" x14ac:dyDescent="0.2">
      <c r="Q75" s="80"/>
    </row>
    <row r="76" spans="17:17" ht="15" customHeight="1" x14ac:dyDescent="0.2">
      <c r="Q76" s="80"/>
    </row>
    <row r="77" spans="17:17" ht="15" customHeight="1" x14ac:dyDescent="0.2">
      <c r="Q77" s="80"/>
    </row>
    <row r="78" spans="17:17" ht="15" customHeight="1" x14ac:dyDescent="0.2">
      <c r="Q78" s="80"/>
    </row>
    <row r="79" spans="17:17" ht="15" customHeight="1" x14ac:dyDescent="0.2">
      <c r="Q79" s="80"/>
    </row>
    <row r="80" spans="17:17" ht="15" customHeight="1" x14ac:dyDescent="0.2">
      <c r="Q80" s="80"/>
    </row>
    <row r="81" spans="17:17" ht="15" customHeight="1" x14ac:dyDescent="0.2">
      <c r="Q81" s="80"/>
    </row>
    <row r="82" spans="17:17" ht="15" customHeight="1" x14ac:dyDescent="0.2">
      <c r="Q82" s="80"/>
    </row>
    <row r="83" spans="17:17" ht="15" customHeight="1" x14ac:dyDescent="0.2">
      <c r="Q83" s="80"/>
    </row>
    <row r="84" spans="17:17" ht="15" customHeight="1" x14ac:dyDescent="0.2">
      <c r="Q84" s="80"/>
    </row>
    <row r="85" spans="17:17" ht="15" customHeight="1" x14ac:dyDescent="0.2">
      <c r="Q85" s="80"/>
    </row>
    <row r="86" spans="17:17" ht="15" customHeight="1" x14ac:dyDescent="0.2">
      <c r="Q86" s="80"/>
    </row>
    <row r="87" spans="17:17" ht="15" customHeight="1" x14ac:dyDescent="0.2">
      <c r="Q87" s="80"/>
    </row>
    <row r="88" spans="17:17" ht="15" customHeight="1" x14ac:dyDescent="0.2">
      <c r="Q88" s="80"/>
    </row>
    <row r="89" spans="17:17" ht="15" customHeight="1" x14ac:dyDescent="0.2">
      <c r="Q89" s="80"/>
    </row>
    <row r="90" spans="17:17" ht="15" customHeight="1" x14ac:dyDescent="0.2">
      <c r="Q90" s="80"/>
    </row>
    <row r="91" spans="17:17" ht="15" customHeight="1" x14ac:dyDescent="0.2">
      <c r="Q91" s="80"/>
    </row>
    <row r="92" spans="17:17" ht="15" customHeight="1" x14ac:dyDescent="0.2">
      <c r="Q92" s="80"/>
    </row>
    <row r="93" spans="17:17" ht="15" customHeight="1" x14ac:dyDescent="0.2">
      <c r="Q93" s="80"/>
    </row>
    <row r="94" spans="17:17" ht="15" customHeight="1" x14ac:dyDescent="0.2">
      <c r="Q94" s="80"/>
    </row>
    <row r="95" spans="17:17" ht="15" customHeight="1" x14ac:dyDescent="0.2">
      <c r="Q95" s="80"/>
    </row>
    <row r="96" spans="17:17" ht="15" customHeight="1" x14ac:dyDescent="0.2">
      <c r="Q96" s="80"/>
    </row>
    <row r="97" spans="17:17" ht="15" customHeight="1" x14ac:dyDescent="0.2">
      <c r="Q97" s="80"/>
    </row>
    <row r="98" spans="17:17" ht="15" customHeight="1" x14ac:dyDescent="0.2">
      <c r="Q98" s="80"/>
    </row>
    <row r="99" spans="17:17" ht="15" customHeight="1" x14ac:dyDescent="0.2">
      <c r="Q99" s="80"/>
    </row>
    <row r="100" spans="17:17" ht="15" customHeight="1" x14ac:dyDescent="0.2">
      <c r="Q100" s="80"/>
    </row>
    <row r="101" spans="17:17" ht="15" customHeight="1" x14ac:dyDescent="0.2">
      <c r="Q101" s="80"/>
    </row>
    <row r="102" spans="17:17" ht="15" customHeight="1" x14ac:dyDescent="0.2">
      <c r="Q102" s="80"/>
    </row>
    <row r="103" spans="17:17" ht="15" customHeight="1" x14ac:dyDescent="0.2">
      <c r="Q103" s="80"/>
    </row>
    <row r="104" spans="17:17" ht="15" customHeight="1" x14ac:dyDescent="0.2">
      <c r="Q104" s="80"/>
    </row>
    <row r="105" spans="17:17" ht="15" customHeight="1" x14ac:dyDescent="0.2">
      <c r="Q105" s="80"/>
    </row>
    <row r="106" spans="17:17" ht="15" customHeight="1" x14ac:dyDescent="0.2">
      <c r="Q106" s="80"/>
    </row>
    <row r="107" spans="17:17" ht="15" customHeight="1" x14ac:dyDescent="0.2">
      <c r="Q107" s="80"/>
    </row>
    <row r="108" spans="17:17" ht="15" customHeight="1" x14ac:dyDescent="0.2">
      <c r="Q108" s="80"/>
    </row>
    <row r="109" spans="17:17" ht="15" customHeight="1" x14ac:dyDescent="0.2">
      <c r="Q109" s="80"/>
    </row>
    <row r="110" spans="17:17" ht="15" customHeight="1" x14ac:dyDescent="0.2">
      <c r="Q110" s="80"/>
    </row>
    <row r="111" spans="17:17" ht="15" customHeight="1" x14ac:dyDescent="0.2">
      <c r="Q111" s="80"/>
    </row>
    <row r="112" spans="17:17" ht="15" customHeight="1" x14ac:dyDescent="0.2">
      <c r="Q112" s="80"/>
    </row>
    <row r="113" spans="17:17" ht="15" customHeight="1" x14ac:dyDescent="0.2">
      <c r="Q113" s="80"/>
    </row>
    <row r="114" spans="17:17" ht="15" customHeight="1" x14ac:dyDescent="0.2">
      <c r="Q114" s="80"/>
    </row>
    <row r="115" spans="17:17" ht="15" customHeight="1" x14ac:dyDescent="0.2">
      <c r="Q115" s="80"/>
    </row>
    <row r="116" spans="17:17" ht="15" customHeight="1" x14ac:dyDescent="0.2">
      <c r="Q116" s="80"/>
    </row>
    <row r="117" spans="17:17" ht="15" customHeight="1" x14ac:dyDescent="0.2">
      <c r="Q117" s="80"/>
    </row>
    <row r="118" spans="17:17" ht="15" customHeight="1" x14ac:dyDescent="0.2">
      <c r="Q118" s="80"/>
    </row>
    <row r="119" spans="17:17" ht="15" customHeight="1" x14ac:dyDescent="0.2">
      <c r="Q119" s="80"/>
    </row>
    <row r="120" spans="17:17" ht="15" customHeight="1" x14ac:dyDescent="0.2">
      <c r="Q120" s="80"/>
    </row>
    <row r="121" spans="17:17" ht="15" customHeight="1" x14ac:dyDescent="0.2">
      <c r="Q121" s="80"/>
    </row>
    <row r="122" spans="17:17" ht="15" customHeight="1" x14ac:dyDescent="0.2">
      <c r="Q122" s="80"/>
    </row>
    <row r="123" spans="17:17" ht="15" customHeight="1" x14ac:dyDescent="0.2">
      <c r="Q123" s="80"/>
    </row>
    <row r="124" spans="17:17" ht="15" customHeight="1" x14ac:dyDescent="0.2">
      <c r="Q124" s="80"/>
    </row>
    <row r="125" spans="17:17" ht="15" customHeight="1" x14ac:dyDescent="0.2">
      <c r="Q125" s="80"/>
    </row>
    <row r="126" spans="17:17" ht="15" customHeight="1" x14ac:dyDescent="0.2">
      <c r="Q126" s="80"/>
    </row>
    <row r="127" spans="17:17" ht="15" customHeight="1" x14ac:dyDescent="0.2">
      <c r="Q127" s="80"/>
    </row>
    <row r="128" spans="17:17" ht="15" customHeight="1" x14ac:dyDescent="0.2">
      <c r="Q128" s="80"/>
    </row>
    <row r="129" spans="17:17" ht="15" customHeight="1" x14ac:dyDescent="0.2">
      <c r="Q129" s="80"/>
    </row>
    <row r="130" spans="17:17" ht="15" customHeight="1" x14ac:dyDescent="0.2">
      <c r="Q130" s="80"/>
    </row>
    <row r="131" spans="17:17" ht="15" customHeight="1" x14ac:dyDescent="0.2">
      <c r="Q131" s="80"/>
    </row>
    <row r="132" spans="17:17" ht="15" customHeight="1" x14ac:dyDescent="0.2">
      <c r="Q132" s="80"/>
    </row>
    <row r="133" spans="17:17" ht="15" customHeight="1" x14ac:dyDescent="0.2">
      <c r="Q133" s="80"/>
    </row>
    <row r="134" spans="17:17" ht="15" customHeight="1" x14ac:dyDescent="0.2">
      <c r="Q134" s="80"/>
    </row>
    <row r="135" spans="17:17" ht="15" customHeight="1" x14ac:dyDescent="0.2">
      <c r="Q135" s="80"/>
    </row>
    <row r="136" spans="17:17" ht="15" customHeight="1" x14ac:dyDescent="0.2">
      <c r="Q136" s="80"/>
    </row>
    <row r="137" spans="17:17" ht="15" customHeight="1" x14ac:dyDescent="0.2">
      <c r="Q137" s="80"/>
    </row>
    <row r="138" spans="17:17" ht="15" customHeight="1" x14ac:dyDescent="0.2">
      <c r="Q138" s="80"/>
    </row>
    <row r="139" spans="17:17" ht="15" customHeight="1" x14ac:dyDescent="0.2">
      <c r="Q139" s="80"/>
    </row>
    <row r="140" spans="17:17" ht="15" customHeight="1" x14ac:dyDescent="0.2">
      <c r="Q140" s="80"/>
    </row>
    <row r="141" spans="17:17" ht="15" customHeight="1" x14ac:dyDescent="0.2">
      <c r="Q141" s="80"/>
    </row>
    <row r="142" spans="17:17" ht="15" customHeight="1" x14ac:dyDescent="0.2">
      <c r="Q142" s="80"/>
    </row>
    <row r="143" spans="17:17" ht="15" customHeight="1" x14ac:dyDescent="0.2">
      <c r="Q143" s="80"/>
    </row>
    <row r="144" spans="17:17" ht="15" customHeight="1" x14ac:dyDescent="0.2">
      <c r="Q144" s="80"/>
    </row>
    <row r="145" spans="17:17" ht="15" customHeight="1" x14ac:dyDescent="0.2">
      <c r="Q145" s="80"/>
    </row>
    <row r="146" spans="17:17" ht="15" customHeight="1" x14ac:dyDescent="0.2">
      <c r="Q146" s="80"/>
    </row>
    <row r="147" spans="17:17" ht="15" customHeight="1" x14ac:dyDescent="0.2">
      <c r="Q147" s="80"/>
    </row>
    <row r="148" spans="17:17" ht="15" customHeight="1" x14ac:dyDescent="0.2">
      <c r="Q148" s="80"/>
    </row>
    <row r="149" spans="17:17" ht="15" customHeight="1" x14ac:dyDescent="0.2">
      <c r="Q149" s="80"/>
    </row>
    <row r="150" spans="17:17" ht="15" customHeight="1" x14ac:dyDescent="0.2">
      <c r="Q150" s="80"/>
    </row>
    <row r="151" spans="17:17" ht="15" customHeight="1" x14ac:dyDescent="0.2">
      <c r="Q151" s="80"/>
    </row>
    <row r="152" spans="17:17" ht="15" customHeight="1" x14ac:dyDescent="0.2">
      <c r="Q152" s="80"/>
    </row>
    <row r="153" spans="17:17" ht="15" customHeight="1" x14ac:dyDescent="0.2">
      <c r="Q153" s="80"/>
    </row>
    <row r="154" spans="17:17" ht="15" customHeight="1" x14ac:dyDescent="0.2">
      <c r="Q154" s="80"/>
    </row>
    <row r="155" spans="17:17" ht="15" customHeight="1" x14ac:dyDescent="0.2">
      <c r="Q155" s="80"/>
    </row>
    <row r="156" spans="17:17" ht="15" customHeight="1" x14ac:dyDescent="0.2">
      <c r="Q156" s="80"/>
    </row>
    <row r="157" spans="17:17" ht="15" customHeight="1" x14ac:dyDescent="0.2">
      <c r="Q157" s="80"/>
    </row>
    <row r="158" spans="17:17" ht="15" customHeight="1" x14ac:dyDescent="0.2">
      <c r="Q158" s="80"/>
    </row>
    <row r="159" spans="17:17" ht="15" customHeight="1" x14ac:dyDescent="0.2">
      <c r="Q159" s="80"/>
    </row>
    <row r="160" spans="17:17" ht="15" customHeight="1" x14ac:dyDescent="0.2">
      <c r="Q160" s="80"/>
    </row>
    <row r="161" spans="17:17" ht="15" customHeight="1" x14ac:dyDescent="0.2">
      <c r="Q161" s="80"/>
    </row>
    <row r="162" spans="17:17" ht="15" customHeight="1" x14ac:dyDescent="0.2">
      <c r="Q162" s="80"/>
    </row>
    <row r="163" spans="17:17" ht="15" customHeight="1" x14ac:dyDescent="0.2">
      <c r="Q163" s="80"/>
    </row>
    <row r="164" spans="17:17" ht="15" customHeight="1" x14ac:dyDescent="0.2">
      <c r="Q164" s="80"/>
    </row>
    <row r="165" spans="17:17" ht="15" customHeight="1" x14ac:dyDescent="0.2">
      <c r="Q165" s="80"/>
    </row>
    <row r="166" spans="17:17" ht="15" customHeight="1" x14ac:dyDescent="0.2">
      <c r="Q166" s="80"/>
    </row>
    <row r="167" spans="17:17" ht="15" customHeight="1" x14ac:dyDescent="0.2">
      <c r="Q167" s="80"/>
    </row>
    <row r="168" spans="17:17" ht="15" customHeight="1" x14ac:dyDescent="0.2">
      <c r="Q168" s="80"/>
    </row>
    <row r="169" spans="17:17" ht="15" customHeight="1" x14ac:dyDescent="0.2">
      <c r="Q169" s="80"/>
    </row>
    <row r="170" spans="17:17" ht="15" customHeight="1" x14ac:dyDescent="0.2">
      <c r="Q170" s="80"/>
    </row>
    <row r="171" spans="17:17" ht="15" customHeight="1" x14ac:dyDescent="0.2">
      <c r="Q171" s="80"/>
    </row>
    <row r="172" spans="17:17" ht="15" customHeight="1" x14ac:dyDescent="0.2">
      <c r="Q172" s="80"/>
    </row>
    <row r="173" spans="17:17" ht="15" customHeight="1" x14ac:dyDescent="0.2">
      <c r="Q173" s="80"/>
    </row>
    <row r="174" spans="17:17" ht="15" customHeight="1" x14ac:dyDescent="0.2">
      <c r="Q174" s="80"/>
    </row>
    <row r="175" spans="17:17" ht="15" customHeight="1" x14ac:dyDescent="0.2">
      <c r="Q175" s="80"/>
    </row>
    <row r="176" spans="17:17" ht="15" customHeight="1" x14ac:dyDescent="0.2">
      <c r="Q176" s="80"/>
    </row>
    <row r="177" spans="17:17" ht="15" customHeight="1" x14ac:dyDescent="0.2">
      <c r="Q177" s="80"/>
    </row>
    <row r="178" spans="17:17" ht="15" customHeight="1" x14ac:dyDescent="0.2">
      <c r="Q178" s="80"/>
    </row>
    <row r="179" spans="17:17" ht="15" customHeight="1" x14ac:dyDescent="0.2">
      <c r="Q179" s="80"/>
    </row>
    <row r="180" spans="17:17" ht="15" customHeight="1" x14ac:dyDescent="0.2">
      <c r="Q180" s="80"/>
    </row>
    <row r="181" spans="17:17" ht="15" customHeight="1" x14ac:dyDescent="0.2">
      <c r="Q181" s="80"/>
    </row>
    <row r="182" spans="17:17" ht="15" customHeight="1" x14ac:dyDescent="0.2">
      <c r="Q182" s="80"/>
    </row>
    <row r="183" spans="17:17" ht="15" customHeight="1" x14ac:dyDescent="0.2">
      <c r="Q183" s="80"/>
    </row>
    <row r="184" spans="17:17" ht="15" customHeight="1" x14ac:dyDescent="0.2">
      <c r="Q184" s="80"/>
    </row>
    <row r="185" spans="17:17" ht="15" customHeight="1" x14ac:dyDescent="0.2">
      <c r="Q185" s="80"/>
    </row>
    <row r="186" spans="17:17" ht="15" customHeight="1" x14ac:dyDescent="0.2">
      <c r="Q186" s="80"/>
    </row>
    <row r="187" spans="17:17" ht="15" customHeight="1" x14ac:dyDescent="0.2">
      <c r="Q187" s="80"/>
    </row>
    <row r="188" spans="17:17" ht="15" customHeight="1" x14ac:dyDescent="0.2">
      <c r="Q188" s="80"/>
    </row>
    <row r="189" spans="17:17" ht="15" customHeight="1" x14ac:dyDescent="0.2">
      <c r="Q189" s="80"/>
    </row>
    <row r="190" spans="17:17" ht="15" customHeight="1" x14ac:dyDescent="0.2">
      <c r="Q190" s="80"/>
    </row>
    <row r="191" spans="17:17" ht="15" customHeight="1" x14ac:dyDescent="0.2">
      <c r="Q191" s="80"/>
    </row>
    <row r="192" spans="17:17" ht="15" customHeight="1" x14ac:dyDescent="0.2">
      <c r="Q192" s="80"/>
    </row>
    <row r="193" spans="17:17" ht="15" customHeight="1" x14ac:dyDescent="0.2">
      <c r="Q193" s="80"/>
    </row>
    <row r="194" spans="17:17" ht="15" customHeight="1" x14ac:dyDescent="0.2">
      <c r="Q194" s="80"/>
    </row>
    <row r="195" spans="17:17" ht="15" customHeight="1" x14ac:dyDescent="0.2">
      <c r="Q195" s="80"/>
    </row>
    <row r="196" spans="17:17" ht="15" customHeight="1" x14ac:dyDescent="0.2">
      <c r="Q196" s="80"/>
    </row>
    <row r="197" spans="17:17" ht="15" customHeight="1" x14ac:dyDescent="0.2">
      <c r="Q197" s="80"/>
    </row>
    <row r="198" spans="17:17" ht="15" customHeight="1" x14ac:dyDescent="0.2">
      <c r="Q198" s="80"/>
    </row>
    <row r="199" spans="17:17" ht="15" customHeight="1" x14ac:dyDescent="0.2">
      <c r="Q199" s="80"/>
    </row>
    <row r="200" spans="17:17" ht="15" customHeight="1" x14ac:dyDescent="0.2">
      <c r="Q200" s="80"/>
    </row>
    <row r="201" spans="17:17" ht="15" customHeight="1" x14ac:dyDescent="0.2">
      <c r="Q201" s="80"/>
    </row>
    <row r="202" spans="17:17" ht="15" customHeight="1" x14ac:dyDescent="0.2">
      <c r="Q202" s="80"/>
    </row>
    <row r="203" spans="17:17" ht="15" customHeight="1" x14ac:dyDescent="0.2">
      <c r="Q203" s="80"/>
    </row>
    <row r="204" spans="17:17" ht="15" customHeight="1" x14ac:dyDescent="0.2">
      <c r="Q204" s="80"/>
    </row>
    <row r="205" spans="17:17" ht="15" customHeight="1" x14ac:dyDescent="0.2">
      <c r="Q205" s="80"/>
    </row>
    <row r="206" spans="17:17" ht="15" customHeight="1" x14ac:dyDescent="0.2">
      <c r="Q206" s="80"/>
    </row>
    <row r="207" spans="17:17" ht="15" customHeight="1" x14ac:dyDescent="0.2">
      <c r="Q207" s="80"/>
    </row>
    <row r="208" spans="17:17" ht="15" customHeight="1" x14ac:dyDescent="0.2">
      <c r="Q208" s="80"/>
    </row>
    <row r="209" spans="17:17" ht="15" customHeight="1" x14ac:dyDescent="0.2">
      <c r="Q209" s="80"/>
    </row>
    <row r="210" spans="17:17" ht="15" customHeight="1" x14ac:dyDescent="0.2">
      <c r="Q210" s="80"/>
    </row>
    <row r="211" spans="17:17" ht="15" customHeight="1" x14ac:dyDescent="0.2">
      <c r="Q211" s="80"/>
    </row>
    <row r="212" spans="17:17" ht="15" customHeight="1" x14ac:dyDescent="0.2">
      <c r="Q212" s="80"/>
    </row>
    <row r="213" spans="17:17" ht="15" customHeight="1" x14ac:dyDescent="0.2">
      <c r="Q213" s="80"/>
    </row>
    <row r="214" spans="17:17" ht="15" customHeight="1" x14ac:dyDescent="0.2">
      <c r="Q214" s="80"/>
    </row>
    <row r="215" spans="17:17" ht="15" customHeight="1" x14ac:dyDescent="0.2">
      <c r="Q215" s="80"/>
    </row>
    <row r="216" spans="17:17" ht="15" customHeight="1" x14ac:dyDescent="0.2">
      <c r="Q216" s="80"/>
    </row>
    <row r="217" spans="17:17" ht="15" customHeight="1" x14ac:dyDescent="0.2">
      <c r="Q217" s="80"/>
    </row>
    <row r="218" spans="17:17" ht="15" customHeight="1" x14ac:dyDescent="0.2">
      <c r="Q218" s="80"/>
    </row>
    <row r="219" spans="17:17" ht="15" customHeight="1" x14ac:dyDescent="0.2">
      <c r="Q219" s="80"/>
    </row>
    <row r="220" spans="17:17" ht="15" customHeight="1" x14ac:dyDescent="0.2">
      <c r="Q220" s="80"/>
    </row>
    <row r="221" spans="17:17" ht="15" customHeight="1" x14ac:dyDescent="0.2">
      <c r="Q221" s="80"/>
    </row>
    <row r="222" spans="17:17" ht="15" customHeight="1" x14ac:dyDescent="0.2">
      <c r="Q222" s="80"/>
    </row>
    <row r="223" spans="17:17" ht="15" customHeight="1" x14ac:dyDescent="0.2">
      <c r="Q223" s="80"/>
    </row>
    <row r="224" spans="17:17" ht="15" customHeight="1" x14ac:dyDescent="0.2">
      <c r="Q224" s="80"/>
    </row>
    <row r="225" spans="17:17" ht="15" customHeight="1" x14ac:dyDescent="0.2">
      <c r="Q225" s="80"/>
    </row>
    <row r="226" spans="17:17" ht="15" customHeight="1" x14ac:dyDescent="0.2">
      <c r="Q226" s="80"/>
    </row>
    <row r="227" spans="17:17" ht="15" customHeight="1" x14ac:dyDescent="0.2">
      <c r="Q227" s="80"/>
    </row>
    <row r="228" spans="17:17" ht="15" customHeight="1" x14ac:dyDescent="0.2">
      <c r="Q228" s="80"/>
    </row>
    <row r="229" spans="17:17" ht="15" customHeight="1" x14ac:dyDescent="0.2">
      <c r="Q229" s="80"/>
    </row>
    <row r="230" spans="17:17" ht="15" customHeight="1" x14ac:dyDescent="0.2">
      <c r="Q230" s="80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T73"/>
  <sheetViews>
    <sheetView workbookViewId="0">
      <pane ySplit="1" topLeftCell="A2" activePane="bottomLeft" state="frozen"/>
      <selection activeCell="C1" sqref="C1"/>
      <selection pane="bottomLeft" activeCell="B21" sqref="B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" customWidth="1"/>
    <col min="19" max="19" width="5" style="129" customWidth="1"/>
    <col min="20" max="20" width="5" style="112" customWidth="1"/>
    <col min="21" max="16384" width="10.42578125" style="102"/>
  </cols>
  <sheetData>
    <row r="1" spans="1:20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28416</v>
      </c>
      <c r="P1" t="s">
        <v>28417</v>
      </c>
      <c r="Q1" t="s">
        <v>2</v>
      </c>
      <c r="R1" t="s">
        <v>249</v>
      </c>
      <c r="S1" s="129" t="s">
        <v>3</v>
      </c>
      <c r="T1" s="112" t="s">
        <v>245</v>
      </c>
    </row>
    <row r="2" spans="1:20" x14ac:dyDescent="0.2">
      <c r="A2" s="102" t="s">
        <v>895</v>
      </c>
      <c r="B2" s="102" t="s">
        <v>28445</v>
      </c>
      <c r="C2" s="102" t="s">
        <v>8</v>
      </c>
      <c r="D2" s="102" t="s">
        <v>21</v>
      </c>
      <c r="E2" s="102" t="s">
        <v>10</v>
      </c>
      <c r="F2" s="102" t="s">
        <v>26652</v>
      </c>
      <c r="G2" s="102" t="s">
        <v>90</v>
      </c>
      <c r="H2" s="102">
        <v>7</v>
      </c>
      <c r="I2" s="102" t="s">
        <v>52</v>
      </c>
      <c r="J2" s="102" t="s">
        <v>28471</v>
      </c>
      <c r="K2" s="102" t="s">
        <v>25685</v>
      </c>
      <c r="L2" s="102" t="s">
        <v>25607</v>
      </c>
      <c r="M2" s="102" t="s">
        <v>20</v>
      </c>
      <c r="N2" s="102">
        <v>9098.7999999999993</v>
      </c>
      <c r="Q2" t="s">
        <v>52</v>
      </c>
      <c r="R2" t="str">
        <f>A2&amp;"-"&amp;S2</f>
        <v>02-170-02-59</v>
      </c>
      <c r="S2" s="129" t="s">
        <v>28351</v>
      </c>
      <c r="T2" s="112">
        <v>1</v>
      </c>
    </row>
    <row r="3" spans="1:20" x14ac:dyDescent="0.2">
      <c r="A3" s="102" t="s">
        <v>895</v>
      </c>
      <c r="B3" s="102" t="s">
        <v>28445</v>
      </c>
      <c r="C3" s="102" t="s">
        <v>8</v>
      </c>
      <c r="D3" s="102" t="s">
        <v>21</v>
      </c>
      <c r="E3" s="102" t="s">
        <v>10</v>
      </c>
      <c r="F3" s="102" t="s">
        <v>26652</v>
      </c>
      <c r="G3" s="102" t="s">
        <v>90</v>
      </c>
      <c r="H3" s="102">
        <v>7</v>
      </c>
      <c r="I3" s="102" t="s">
        <v>52</v>
      </c>
      <c r="J3" s="102" t="s">
        <v>28471</v>
      </c>
      <c r="K3" s="102" t="s">
        <v>25685</v>
      </c>
      <c r="L3" s="102" t="s">
        <v>25607</v>
      </c>
      <c r="M3" s="102" t="s">
        <v>20</v>
      </c>
      <c r="N3" s="102">
        <v>9098.7999999999993</v>
      </c>
      <c r="Q3" t="s">
        <v>52</v>
      </c>
      <c r="R3" t="str">
        <f>A3&amp;"-"&amp;S3</f>
        <v>02-170-02-61</v>
      </c>
      <c r="S3" s="129" t="s">
        <v>28356</v>
      </c>
      <c r="T3" s="112">
        <v>1</v>
      </c>
    </row>
    <row r="4" spans="1:20" x14ac:dyDescent="0.2">
      <c r="A4" s="102" t="s">
        <v>28430</v>
      </c>
      <c r="B4" s="102" t="s">
        <v>28446</v>
      </c>
      <c r="C4" s="102" t="s">
        <v>8</v>
      </c>
      <c r="D4" s="102" t="s">
        <v>21</v>
      </c>
      <c r="E4" s="102" t="s">
        <v>10</v>
      </c>
      <c r="F4" s="102" t="s">
        <v>28467</v>
      </c>
      <c r="G4" s="102" t="s">
        <v>90</v>
      </c>
      <c r="H4" s="102">
        <v>7</v>
      </c>
      <c r="I4" s="102" t="s">
        <v>52</v>
      </c>
      <c r="J4" s="102" t="s">
        <v>28472</v>
      </c>
      <c r="K4" s="102" t="s">
        <v>25685</v>
      </c>
      <c r="L4" s="102" t="s">
        <v>25607</v>
      </c>
      <c r="M4" s="102" t="s">
        <v>20</v>
      </c>
      <c r="N4" s="102">
        <v>4509.8399999999992</v>
      </c>
      <c r="R4" t="str">
        <f t="shared" ref="R4:R9" si="0">A4&amp;"-"&amp;S4</f>
        <v>02-653-02-61</v>
      </c>
      <c r="S4" s="129" t="s">
        <v>28356</v>
      </c>
      <c r="T4" s="112">
        <v>1</v>
      </c>
    </row>
    <row r="5" spans="1:20" x14ac:dyDescent="0.2">
      <c r="A5" s="102" t="s">
        <v>28430</v>
      </c>
      <c r="B5" s="102" t="s">
        <v>28446</v>
      </c>
      <c r="C5" s="102" t="s">
        <v>8</v>
      </c>
      <c r="D5" s="102" t="s">
        <v>21</v>
      </c>
      <c r="E5" s="102" t="s">
        <v>10</v>
      </c>
      <c r="F5" s="102" t="s">
        <v>28467</v>
      </c>
      <c r="G5" s="102" t="s">
        <v>90</v>
      </c>
      <c r="H5" s="102">
        <v>7</v>
      </c>
      <c r="I5" s="102" t="s">
        <v>52</v>
      </c>
      <c r="J5" s="102" t="s">
        <v>28472</v>
      </c>
      <c r="K5" s="102" t="s">
        <v>25685</v>
      </c>
      <c r="L5" s="102" t="s">
        <v>25607</v>
      </c>
      <c r="M5" s="102" t="s">
        <v>20</v>
      </c>
      <c r="N5" s="102">
        <v>4509.8399999999992</v>
      </c>
      <c r="R5" t="str">
        <f t="shared" si="0"/>
        <v>02-653-02-63</v>
      </c>
      <c r="S5" s="129" t="s">
        <v>28401</v>
      </c>
      <c r="T5" s="112">
        <v>1</v>
      </c>
    </row>
    <row r="6" spans="1:20" x14ac:dyDescent="0.2">
      <c r="A6" s="102" t="s">
        <v>337</v>
      </c>
      <c r="B6" s="102" t="s">
        <v>28447</v>
      </c>
      <c r="C6" s="102" t="s">
        <v>8</v>
      </c>
      <c r="D6" s="102" t="s">
        <v>21</v>
      </c>
      <c r="E6" s="102" t="s">
        <v>10</v>
      </c>
      <c r="F6" s="102" t="s">
        <v>26652</v>
      </c>
      <c r="G6" s="102" t="s">
        <v>90</v>
      </c>
      <c r="H6" s="102">
        <v>71</v>
      </c>
      <c r="I6" s="102" t="s">
        <v>194</v>
      </c>
      <c r="J6" s="102" t="s">
        <v>28473</v>
      </c>
      <c r="K6" s="102" t="s">
        <v>25680</v>
      </c>
      <c r="L6" s="102" t="s">
        <v>25607</v>
      </c>
      <c r="M6" s="102" t="s">
        <v>12</v>
      </c>
      <c r="N6" s="102">
        <v>2682.1680000000001</v>
      </c>
      <c r="Q6" t="s">
        <v>52</v>
      </c>
      <c r="R6" t="str">
        <f t="shared" si="0"/>
        <v>02-019-36-59</v>
      </c>
      <c r="S6" s="129" t="s">
        <v>28351</v>
      </c>
      <c r="T6" s="112">
        <v>4</v>
      </c>
    </row>
    <row r="7" spans="1:20" x14ac:dyDescent="0.2">
      <c r="A7" s="102" t="s">
        <v>1491</v>
      </c>
      <c r="B7" s="102" t="s">
        <v>28448</v>
      </c>
      <c r="C7" s="102" t="s">
        <v>8</v>
      </c>
      <c r="D7" s="102" t="s">
        <v>21</v>
      </c>
      <c r="E7" s="102" t="s">
        <v>10</v>
      </c>
      <c r="F7" s="102" t="s">
        <v>26652</v>
      </c>
      <c r="G7" s="102" t="s">
        <v>90</v>
      </c>
      <c r="H7" s="102">
        <v>7</v>
      </c>
      <c r="I7" s="102" t="s">
        <v>52</v>
      </c>
      <c r="J7" s="102" t="s">
        <v>28474</v>
      </c>
      <c r="K7" s="102" t="s">
        <v>25685</v>
      </c>
      <c r="L7" s="102" t="s">
        <v>25607</v>
      </c>
      <c r="M7" s="102" t="s">
        <v>12</v>
      </c>
      <c r="N7" s="102">
        <v>2365.6880000000001</v>
      </c>
      <c r="Q7" t="s">
        <v>52</v>
      </c>
      <c r="R7" t="str">
        <f t="shared" si="0"/>
        <v>02-359-02-57</v>
      </c>
      <c r="S7" s="129" t="s">
        <v>28355</v>
      </c>
      <c r="T7" s="112">
        <v>2</v>
      </c>
    </row>
    <row r="8" spans="1:20" x14ac:dyDescent="0.2">
      <c r="A8" s="102" t="s">
        <v>1491</v>
      </c>
      <c r="B8" s="102" t="s">
        <v>28448</v>
      </c>
      <c r="C8" s="102" t="s">
        <v>8</v>
      </c>
      <c r="D8" s="102" t="s">
        <v>21</v>
      </c>
      <c r="E8" s="102" t="s">
        <v>10</v>
      </c>
      <c r="F8" s="102" t="s">
        <v>26652</v>
      </c>
      <c r="G8" s="102" t="s">
        <v>90</v>
      </c>
      <c r="H8" s="102">
        <v>7</v>
      </c>
      <c r="I8" s="102" t="s">
        <v>52</v>
      </c>
      <c r="J8" s="102" t="s">
        <v>28474</v>
      </c>
      <c r="K8" s="102" t="s">
        <v>25685</v>
      </c>
      <c r="L8" s="102" t="s">
        <v>25607</v>
      </c>
      <c r="M8" s="102" t="s">
        <v>12</v>
      </c>
      <c r="N8" s="102">
        <v>2365.6880000000001</v>
      </c>
      <c r="Q8" t="s">
        <v>52</v>
      </c>
      <c r="R8" t="str">
        <f t="shared" si="0"/>
        <v>02-359-02-61</v>
      </c>
      <c r="S8" s="129" t="s">
        <v>28356</v>
      </c>
      <c r="T8" s="112">
        <v>2</v>
      </c>
    </row>
    <row r="9" spans="1:20" x14ac:dyDescent="0.2">
      <c r="A9" s="102" t="s">
        <v>1491</v>
      </c>
      <c r="B9" s="102" t="s">
        <v>28448</v>
      </c>
      <c r="C9" s="102" t="s">
        <v>8</v>
      </c>
      <c r="D9" s="102" t="s">
        <v>21</v>
      </c>
      <c r="E9" s="102" t="s">
        <v>10</v>
      </c>
      <c r="F9" s="102" t="s">
        <v>26652</v>
      </c>
      <c r="G9" s="102" t="s">
        <v>90</v>
      </c>
      <c r="H9" s="102">
        <v>7</v>
      </c>
      <c r="I9" s="102" t="s">
        <v>52</v>
      </c>
      <c r="J9" s="102" t="s">
        <v>28474</v>
      </c>
      <c r="K9" s="102" t="s">
        <v>25685</v>
      </c>
      <c r="L9" s="102" t="s">
        <v>25607</v>
      </c>
      <c r="M9" s="102" t="s">
        <v>12</v>
      </c>
      <c r="N9" s="102">
        <v>2365.6880000000001</v>
      </c>
      <c r="Q9" t="s">
        <v>52</v>
      </c>
      <c r="R9" t="str">
        <f t="shared" si="0"/>
        <v>02-359-02-63</v>
      </c>
      <c r="S9" s="129" t="s">
        <v>28401</v>
      </c>
      <c r="T9" s="112">
        <v>2</v>
      </c>
    </row>
    <row r="10" spans="1:20" x14ac:dyDescent="0.2">
      <c r="A10" s="102" t="s">
        <v>28431</v>
      </c>
      <c r="B10" s="102" t="s">
        <v>28449</v>
      </c>
      <c r="C10" s="102" t="s">
        <v>8</v>
      </c>
      <c r="D10" s="102" t="s">
        <v>30</v>
      </c>
      <c r="E10" s="102" t="s">
        <v>10</v>
      </c>
      <c r="F10" s="102" t="s">
        <v>28467</v>
      </c>
      <c r="G10" s="102" t="s">
        <v>90</v>
      </c>
      <c r="H10" s="102">
        <v>7</v>
      </c>
      <c r="I10" s="102" t="s">
        <v>52</v>
      </c>
      <c r="J10" s="102" t="s">
        <v>28474</v>
      </c>
      <c r="K10" s="102" t="s">
        <v>25685</v>
      </c>
      <c r="L10" s="102" t="s">
        <v>25607</v>
      </c>
      <c r="M10" s="102" t="s">
        <v>12</v>
      </c>
      <c r="N10" s="102">
        <v>2365.6880000000001</v>
      </c>
      <c r="R10" t="str">
        <f t="shared" ref="R10:R18" si="1">A10&amp;"-"&amp;S10</f>
        <v>02-659-02-55</v>
      </c>
      <c r="S10" s="129" t="s">
        <v>28278</v>
      </c>
      <c r="T10" s="112">
        <v>2</v>
      </c>
    </row>
    <row r="11" spans="1:20" x14ac:dyDescent="0.2">
      <c r="A11" s="102" t="s">
        <v>28431</v>
      </c>
      <c r="B11" s="102" t="s">
        <v>28449</v>
      </c>
      <c r="C11" s="102" t="s">
        <v>8</v>
      </c>
      <c r="D11" s="102" t="s">
        <v>30</v>
      </c>
      <c r="E11" s="102" t="s">
        <v>10</v>
      </c>
      <c r="F11" s="102" t="s">
        <v>28467</v>
      </c>
      <c r="G11" s="102" t="s">
        <v>90</v>
      </c>
      <c r="H11" s="102">
        <v>7</v>
      </c>
      <c r="I11" s="102" t="s">
        <v>52</v>
      </c>
      <c r="J11" s="102" t="s">
        <v>28474</v>
      </c>
      <c r="K11" s="102" t="s">
        <v>25685</v>
      </c>
      <c r="L11" s="102" t="s">
        <v>25607</v>
      </c>
      <c r="M11" s="102" t="s">
        <v>12</v>
      </c>
      <c r="N11" s="102">
        <v>2365.6880000000001</v>
      </c>
      <c r="R11" t="str">
        <f t="shared" si="1"/>
        <v>02-659-02-57</v>
      </c>
      <c r="S11" s="129" t="s">
        <v>28355</v>
      </c>
      <c r="T11" s="112">
        <v>6</v>
      </c>
    </row>
    <row r="12" spans="1:20" x14ac:dyDescent="0.2">
      <c r="A12" s="102" t="s">
        <v>28431</v>
      </c>
      <c r="B12" s="102" t="s">
        <v>28449</v>
      </c>
      <c r="C12" s="102" t="s">
        <v>8</v>
      </c>
      <c r="D12" s="102" t="s">
        <v>30</v>
      </c>
      <c r="E12" s="102" t="s">
        <v>10</v>
      </c>
      <c r="F12" s="102" t="s">
        <v>28467</v>
      </c>
      <c r="G12" s="102" t="s">
        <v>90</v>
      </c>
      <c r="H12" s="102">
        <v>7</v>
      </c>
      <c r="I12" s="102" t="s">
        <v>52</v>
      </c>
      <c r="J12" s="102" t="s">
        <v>28474</v>
      </c>
      <c r="K12" s="102" t="s">
        <v>25685</v>
      </c>
      <c r="L12" s="102" t="s">
        <v>25607</v>
      </c>
      <c r="M12" s="102" t="s">
        <v>12</v>
      </c>
      <c r="N12" s="102">
        <v>2365.6880000000001</v>
      </c>
      <c r="R12" t="str">
        <f t="shared" si="1"/>
        <v>02-659-02-59</v>
      </c>
      <c r="S12" s="129" t="s">
        <v>28351</v>
      </c>
      <c r="T12" s="112">
        <v>8</v>
      </c>
    </row>
    <row r="13" spans="1:20" x14ac:dyDescent="0.2">
      <c r="A13" s="102" t="s">
        <v>28431</v>
      </c>
      <c r="B13" s="102" t="s">
        <v>28449</v>
      </c>
      <c r="C13" s="102" t="s">
        <v>8</v>
      </c>
      <c r="D13" s="102" t="s">
        <v>30</v>
      </c>
      <c r="E13" s="102" t="s">
        <v>10</v>
      </c>
      <c r="F13" s="102" t="s">
        <v>28467</v>
      </c>
      <c r="G13" s="102" t="s">
        <v>90</v>
      </c>
      <c r="H13" s="102">
        <v>7</v>
      </c>
      <c r="I13" s="102" t="s">
        <v>52</v>
      </c>
      <c r="J13" s="102" t="s">
        <v>28474</v>
      </c>
      <c r="K13" s="102" t="s">
        <v>25685</v>
      </c>
      <c r="L13" s="102" t="s">
        <v>25607</v>
      </c>
      <c r="M13" s="102" t="s">
        <v>12</v>
      </c>
      <c r="N13" s="102">
        <v>2365.6880000000001</v>
      </c>
      <c r="R13" t="str">
        <f t="shared" si="1"/>
        <v>02-659-02-61</v>
      </c>
      <c r="S13" s="129" t="s">
        <v>28356</v>
      </c>
      <c r="T13" s="112">
        <v>6</v>
      </c>
    </row>
    <row r="14" spans="1:20" x14ac:dyDescent="0.2">
      <c r="A14" s="102" t="s">
        <v>28431</v>
      </c>
      <c r="B14" s="102" t="s">
        <v>28449</v>
      </c>
      <c r="C14" s="102" t="s">
        <v>8</v>
      </c>
      <c r="D14" s="102" t="s">
        <v>30</v>
      </c>
      <c r="E14" s="102" t="s">
        <v>10</v>
      </c>
      <c r="F14" s="102" t="s">
        <v>28467</v>
      </c>
      <c r="G14" s="102" t="s">
        <v>90</v>
      </c>
      <c r="H14" s="102">
        <v>7</v>
      </c>
      <c r="I14" s="102" t="s">
        <v>52</v>
      </c>
      <c r="J14" s="102" t="s">
        <v>28474</v>
      </c>
      <c r="K14" s="102" t="s">
        <v>25685</v>
      </c>
      <c r="L14" s="102" t="s">
        <v>25607</v>
      </c>
      <c r="M14" s="102" t="s">
        <v>12</v>
      </c>
      <c r="N14" s="102">
        <v>2365.6880000000001</v>
      </c>
      <c r="R14" t="str">
        <f t="shared" si="1"/>
        <v>02-659-02-63</v>
      </c>
      <c r="S14" s="129" t="s">
        <v>28401</v>
      </c>
      <c r="T14" s="112">
        <v>3</v>
      </c>
    </row>
    <row r="15" spans="1:20" x14ac:dyDescent="0.2">
      <c r="A15" s="102" t="s">
        <v>28432</v>
      </c>
      <c r="B15" s="102" t="s">
        <v>28450</v>
      </c>
      <c r="C15" s="102" t="s">
        <v>31</v>
      </c>
      <c r="D15" s="102" t="s">
        <v>32</v>
      </c>
      <c r="E15" s="102" t="s">
        <v>10</v>
      </c>
      <c r="F15" s="102" t="s">
        <v>28468</v>
      </c>
      <c r="G15" s="102" t="s">
        <v>90</v>
      </c>
      <c r="H15" s="102">
        <v>99</v>
      </c>
      <c r="I15" s="102" t="s">
        <v>147</v>
      </c>
      <c r="J15" s="102" t="s">
        <v>28475</v>
      </c>
      <c r="K15" s="102" t="s">
        <v>25684</v>
      </c>
      <c r="L15" s="102" t="s">
        <v>25607</v>
      </c>
      <c r="M15" s="102" t="s">
        <v>61</v>
      </c>
      <c r="N15" s="102">
        <v>2998.6479999999997</v>
      </c>
      <c r="R15" t="str">
        <f t="shared" si="1"/>
        <v>02-661-19-57</v>
      </c>
      <c r="S15" s="129" t="s">
        <v>28355</v>
      </c>
      <c r="T15" s="112">
        <v>2</v>
      </c>
    </row>
    <row r="16" spans="1:20" x14ac:dyDescent="0.2">
      <c r="A16" s="102" t="s">
        <v>28432</v>
      </c>
      <c r="B16" s="102" t="s">
        <v>28450</v>
      </c>
      <c r="C16" s="102" t="s">
        <v>31</v>
      </c>
      <c r="D16" s="102" t="s">
        <v>32</v>
      </c>
      <c r="E16" s="102" t="s">
        <v>10</v>
      </c>
      <c r="F16" s="102" t="s">
        <v>28468</v>
      </c>
      <c r="G16" s="102" t="s">
        <v>90</v>
      </c>
      <c r="H16" s="102">
        <v>99</v>
      </c>
      <c r="I16" s="102" t="s">
        <v>147</v>
      </c>
      <c r="J16" s="102" t="s">
        <v>28475</v>
      </c>
      <c r="K16" s="102" t="s">
        <v>25684</v>
      </c>
      <c r="L16" s="102" t="s">
        <v>25607</v>
      </c>
      <c r="M16" s="102" t="s">
        <v>61</v>
      </c>
      <c r="N16" s="102">
        <v>2998.6479999999997</v>
      </c>
      <c r="R16" t="str">
        <f t="shared" si="1"/>
        <v>02-661-19-59</v>
      </c>
      <c r="S16" s="129" t="s">
        <v>28351</v>
      </c>
      <c r="T16" s="112">
        <v>4</v>
      </c>
    </row>
    <row r="17" spans="1:20" x14ac:dyDescent="0.2">
      <c r="A17" s="102" t="s">
        <v>28433</v>
      </c>
      <c r="B17" s="102" t="s">
        <v>28451</v>
      </c>
      <c r="C17" s="102" t="s">
        <v>31</v>
      </c>
      <c r="D17" s="102" t="s">
        <v>32</v>
      </c>
      <c r="E17" s="102" t="s">
        <v>10</v>
      </c>
      <c r="F17" s="102" t="s">
        <v>28468</v>
      </c>
      <c r="G17" s="102" t="s">
        <v>90</v>
      </c>
      <c r="H17" s="102">
        <v>99</v>
      </c>
      <c r="I17" s="102" t="s">
        <v>25387</v>
      </c>
      <c r="J17" s="102" t="s">
        <v>27406</v>
      </c>
      <c r="K17" s="102" t="s">
        <v>25687</v>
      </c>
      <c r="L17" s="102" t="s">
        <v>25607</v>
      </c>
      <c r="M17" s="102" t="s">
        <v>60</v>
      </c>
      <c r="N17" s="102">
        <v>2128.328</v>
      </c>
      <c r="R17" t="str">
        <f t="shared" si="1"/>
        <v>02-663-19-57</v>
      </c>
      <c r="S17" s="129" t="s">
        <v>28355</v>
      </c>
      <c r="T17" s="112">
        <v>2</v>
      </c>
    </row>
    <row r="18" spans="1:20" x14ac:dyDescent="0.2">
      <c r="A18" s="102" t="s">
        <v>28433</v>
      </c>
      <c r="B18" s="102" t="s">
        <v>28451</v>
      </c>
      <c r="C18" s="102" t="s">
        <v>31</v>
      </c>
      <c r="D18" s="102" t="s">
        <v>32</v>
      </c>
      <c r="E18" s="102" t="s">
        <v>10</v>
      </c>
      <c r="F18" s="102" t="s">
        <v>28468</v>
      </c>
      <c r="G18" s="102" t="s">
        <v>90</v>
      </c>
      <c r="H18" s="102">
        <v>99</v>
      </c>
      <c r="I18" s="102" t="s">
        <v>25387</v>
      </c>
      <c r="J18" s="102" t="s">
        <v>27406</v>
      </c>
      <c r="K18" s="102" t="s">
        <v>25687</v>
      </c>
      <c r="L18" s="102" t="s">
        <v>25607</v>
      </c>
      <c r="M18" s="102" t="s">
        <v>60</v>
      </c>
      <c r="N18" s="102">
        <v>2128.328</v>
      </c>
      <c r="R18" t="str">
        <f t="shared" si="1"/>
        <v>02-663-19-59</v>
      </c>
      <c r="S18" s="129" t="s">
        <v>28351</v>
      </c>
      <c r="T18" s="112">
        <v>4</v>
      </c>
    </row>
    <row r="19" spans="1:20" x14ac:dyDescent="0.2">
      <c r="A19" s="102" t="s">
        <v>28434</v>
      </c>
      <c r="B19" s="102" t="s">
        <v>28452</v>
      </c>
      <c r="C19" s="102" t="s">
        <v>46</v>
      </c>
      <c r="D19" s="102" t="s">
        <v>28469</v>
      </c>
      <c r="E19" s="102" t="s">
        <v>10</v>
      </c>
      <c r="F19" s="102" t="s">
        <v>28468</v>
      </c>
      <c r="G19" s="102" t="s">
        <v>90</v>
      </c>
      <c r="H19" s="102">
        <v>1</v>
      </c>
      <c r="I19" s="102" t="s">
        <v>1</v>
      </c>
      <c r="J19" s="102" t="s">
        <v>27406</v>
      </c>
      <c r="K19" s="102" t="s">
        <v>25687</v>
      </c>
      <c r="L19" s="102" t="s">
        <v>25607</v>
      </c>
      <c r="M19" s="102" t="s">
        <v>12</v>
      </c>
      <c r="N19" s="102">
        <v>1178.8879999999997</v>
      </c>
      <c r="R19" t="str">
        <f t="shared" ref="R19:R20" si="2">A19&amp;"-"&amp;S19</f>
        <v>02-677-09-00</v>
      </c>
      <c r="S19" s="129" t="s">
        <v>25308</v>
      </c>
      <c r="T19" s="112">
        <v>6</v>
      </c>
    </row>
    <row r="20" spans="1:20" x14ac:dyDescent="0.2">
      <c r="A20" s="102" t="s">
        <v>28435</v>
      </c>
      <c r="B20" s="102" t="s">
        <v>28453</v>
      </c>
      <c r="C20" s="102" t="s">
        <v>46</v>
      </c>
      <c r="D20" s="102" t="s">
        <v>28469</v>
      </c>
      <c r="E20" s="102" t="s">
        <v>10</v>
      </c>
      <c r="F20" s="102" t="s">
        <v>28468</v>
      </c>
      <c r="G20" s="102" t="s">
        <v>90</v>
      </c>
      <c r="H20" s="102">
        <v>89</v>
      </c>
      <c r="I20" s="102" t="s">
        <v>28312</v>
      </c>
      <c r="J20" s="102" t="s">
        <v>28476</v>
      </c>
      <c r="K20" s="102" t="s">
        <v>25687</v>
      </c>
      <c r="L20" s="102" t="s">
        <v>25607</v>
      </c>
      <c r="M20" s="102" t="s">
        <v>12</v>
      </c>
      <c r="N20" s="102">
        <v>1178.8879999999997</v>
      </c>
      <c r="R20" t="str">
        <f t="shared" si="2"/>
        <v>02-678-86-00</v>
      </c>
      <c r="S20" s="129" t="s">
        <v>25308</v>
      </c>
      <c r="T20" s="112">
        <v>1</v>
      </c>
    </row>
    <row r="21" spans="1:20" x14ac:dyDescent="0.2">
      <c r="A21" s="102" t="s">
        <v>28436</v>
      </c>
      <c r="B21" s="102" t="s">
        <v>28454</v>
      </c>
      <c r="C21" s="102" t="s">
        <v>31</v>
      </c>
      <c r="D21" s="102" t="s">
        <v>25556</v>
      </c>
      <c r="E21" s="102" t="s">
        <v>10</v>
      </c>
      <c r="F21" s="102" t="s">
        <v>28468</v>
      </c>
      <c r="G21" s="102" t="s">
        <v>90</v>
      </c>
      <c r="H21" s="102">
        <v>2</v>
      </c>
      <c r="I21" s="102" t="s">
        <v>23</v>
      </c>
      <c r="J21" s="102" t="s">
        <v>28477</v>
      </c>
      <c r="K21" s="102" t="s">
        <v>25687</v>
      </c>
      <c r="L21" s="102" t="s">
        <v>25607</v>
      </c>
      <c r="M21" s="102" t="s">
        <v>60</v>
      </c>
      <c r="N21" s="102">
        <v>1811.8479999999997</v>
      </c>
      <c r="R21" t="str">
        <f t="shared" ref="R21:R32" si="3">A21&amp;"-"&amp;S21</f>
        <v>02-680-16-54</v>
      </c>
      <c r="S21" s="129" t="s">
        <v>28310</v>
      </c>
      <c r="T21" s="112">
        <v>1</v>
      </c>
    </row>
    <row r="22" spans="1:20" x14ac:dyDescent="0.2">
      <c r="A22" s="102" t="s">
        <v>28436</v>
      </c>
      <c r="B22" s="102" t="s">
        <v>28454</v>
      </c>
      <c r="C22" s="102" t="s">
        <v>31</v>
      </c>
      <c r="D22" s="102" t="s">
        <v>25556</v>
      </c>
      <c r="E22" s="102" t="s">
        <v>10</v>
      </c>
      <c r="F22" s="102" t="s">
        <v>28468</v>
      </c>
      <c r="G22" s="102" t="s">
        <v>90</v>
      </c>
      <c r="H22" s="102">
        <v>2</v>
      </c>
      <c r="I22" s="102" t="s">
        <v>23</v>
      </c>
      <c r="J22" s="102" t="s">
        <v>28477</v>
      </c>
      <c r="K22" s="102" t="s">
        <v>25687</v>
      </c>
      <c r="L22" s="102" t="s">
        <v>25607</v>
      </c>
      <c r="M22" s="102" t="s">
        <v>60</v>
      </c>
      <c r="N22" s="102">
        <v>1811.8479999999997</v>
      </c>
      <c r="R22" t="str">
        <f t="shared" si="3"/>
        <v>02-680-16-56</v>
      </c>
      <c r="S22" s="129" t="s">
        <v>28271</v>
      </c>
      <c r="T22" s="112">
        <v>4</v>
      </c>
    </row>
    <row r="23" spans="1:20" x14ac:dyDescent="0.2">
      <c r="A23" s="102" t="s">
        <v>28436</v>
      </c>
      <c r="B23" s="102" t="s">
        <v>28454</v>
      </c>
      <c r="C23" s="102" t="s">
        <v>31</v>
      </c>
      <c r="D23" s="102" t="s">
        <v>25556</v>
      </c>
      <c r="E23" s="102" t="s">
        <v>10</v>
      </c>
      <c r="F23" s="102" t="s">
        <v>28468</v>
      </c>
      <c r="G23" s="102" t="s">
        <v>90</v>
      </c>
      <c r="H23" s="102">
        <v>2</v>
      </c>
      <c r="I23" s="102" t="s">
        <v>23</v>
      </c>
      <c r="J23" s="102" t="s">
        <v>28477</v>
      </c>
      <c r="K23" s="102" t="s">
        <v>25687</v>
      </c>
      <c r="L23" s="102" t="s">
        <v>25607</v>
      </c>
      <c r="M23" s="102" t="s">
        <v>60</v>
      </c>
      <c r="N23" s="102">
        <v>1811.8479999999997</v>
      </c>
      <c r="R23" t="str">
        <f t="shared" si="3"/>
        <v>02-680-16-58</v>
      </c>
      <c r="S23" s="129" t="s">
        <v>28397</v>
      </c>
      <c r="T23" s="112">
        <v>6</v>
      </c>
    </row>
    <row r="24" spans="1:20" x14ac:dyDescent="0.2">
      <c r="A24" s="102" t="s">
        <v>28436</v>
      </c>
      <c r="B24" s="102" t="s">
        <v>28454</v>
      </c>
      <c r="C24" s="102" t="s">
        <v>31</v>
      </c>
      <c r="D24" s="102" t="s">
        <v>25556</v>
      </c>
      <c r="E24" s="102" t="s">
        <v>10</v>
      </c>
      <c r="F24" s="102" t="s">
        <v>28468</v>
      </c>
      <c r="G24" s="102" t="s">
        <v>90</v>
      </c>
      <c r="H24" s="102">
        <v>2</v>
      </c>
      <c r="I24" s="102" t="s">
        <v>23</v>
      </c>
      <c r="J24" s="102" t="s">
        <v>28477</v>
      </c>
      <c r="K24" s="102" t="s">
        <v>25687</v>
      </c>
      <c r="L24" s="102" t="s">
        <v>25607</v>
      </c>
      <c r="M24" s="102" t="s">
        <v>60</v>
      </c>
      <c r="N24" s="102">
        <v>1811.8479999999997</v>
      </c>
      <c r="R24" t="str">
        <f t="shared" si="3"/>
        <v>02-680-16-60</v>
      </c>
      <c r="S24" s="129" t="s">
        <v>28274</v>
      </c>
      <c r="T24" s="112">
        <v>4</v>
      </c>
    </row>
    <row r="25" spans="1:20" x14ac:dyDescent="0.2">
      <c r="A25" s="102" t="s">
        <v>28436</v>
      </c>
      <c r="B25" s="102" t="s">
        <v>28454</v>
      </c>
      <c r="C25" s="102" t="s">
        <v>31</v>
      </c>
      <c r="D25" s="102" t="s">
        <v>25556</v>
      </c>
      <c r="E25" s="102" t="s">
        <v>10</v>
      </c>
      <c r="F25" s="102" t="s">
        <v>28468</v>
      </c>
      <c r="G25" s="102" t="s">
        <v>90</v>
      </c>
      <c r="H25" s="102">
        <v>2</v>
      </c>
      <c r="I25" s="102" t="s">
        <v>23</v>
      </c>
      <c r="J25" s="102" t="s">
        <v>28477</v>
      </c>
      <c r="K25" s="102" t="s">
        <v>25687</v>
      </c>
      <c r="L25" s="102" t="s">
        <v>25607</v>
      </c>
      <c r="M25" s="102" t="s">
        <v>60</v>
      </c>
      <c r="N25" s="102">
        <v>1811.8479999999997</v>
      </c>
      <c r="R25" t="str">
        <f t="shared" si="3"/>
        <v>02-680-16-62</v>
      </c>
      <c r="S25" s="129" t="s">
        <v>28238</v>
      </c>
      <c r="T25" s="112">
        <v>2</v>
      </c>
    </row>
    <row r="26" spans="1:20" x14ac:dyDescent="0.2">
      <c r="A26" s="102" t="s">
        <v>28437</v>
      </c>
      <c r="B26" s="102" t="s">
        <v>28455</v>
      </c>
      <c r="C26" s="102" t="s">
        <v>31</v>
      </c>
      <c r="D26" s="102" t="s">
        <v>39</v>
      </c>
      <c r="E26" s="102" t="s">
        <v>10</v>
      </c>
      <c r="F26" s="102" t="s">
        <v>28467</v>
      </c>
      <c r="G26" s="102" t="s">
        <v>90</v>
      </c>
      <c r="H26" s="102">
        <v>28</v>
      </c>
      <c r="I26" s="102" t="s">
        <v>25424</v>
      </c>
      <c r="J26" s="102" t="s">
        <v>28478</v>
      </c>
      <c r="K26" s="102" t="s">
        <v>25684</v>
      </c>
      <c r="L26" s="102" t="s">
        <v>25607</v>
      </c>
      <c r="M26" s="102" t="s">
        <v>60</v>
      </c>
      <c r="N26" s="102">
        <v>2365.6880000000001</v>
      </c>
      <c r="R26" t="str">
        <f t="shared" si="3"/>
        <v>02-682-14-55</v>
      </c>
      <c r="S26" s="129" t="s">
        <v>28278</v>
      </c>
      <c r="T26" s="112">
        <v>3</v>
      </c>
    </row>
    <row r="27" spans="1:20" x14ac:dyDescent="0.2">
      <c r="A27" s="102" t="s">
        <v>28437</v>
      </c>
      <c r="B27" s="102" t="s">
        <v>28455</v>
      </c>
      <c r="C27" s="102" t="s">
        <v>31</v>
      </c>
      <c r="D27" s="102" t="s">
        <v>39</v>
      </c>
      <c r="E27" s="102" t="s">
        <v>10</v>
      </c>
      <c r="F27" s="102" t="s">
        <v>28467</v>
      </c>
      <c r="G27" s="102" t="s">
        <v>90</v>
      </c>
      <c r="H27" s="102">
        <v>28</v>
      </c>
      <c r="I27" s="102" t="s">
        <v>25424</v>
      </c>
      <c r="J27" s="102" t="s">
        <v>28478</v>
      </c>
      <c r="K27" s="102" t="s">
        <v>25684</v>
      </c>
      <c r="L27" s="102" t="s">
        <v>25607</v>
      </c>
      <c r="M27" s="102" t="s">
        <v>60</v>
      </c>
      <c r="N27" s="102">
        <v>2365.6880000000001</v>
      </c>
      <c r="R27" t="str">
        <f t="shared" si="3"/>
        <v>02-682-14-57</v>
      </c>
      <c r="S27" s="129" t="s">
        <v>28355</v>
      </c>
      <c r="T27" s="112">
        <v>7</v>
      </c>
    </row>
    <row r="28" spans="1:20" x14ac:dyDescent="0.2">
      <c r="A28" s="102" t="s">
        <v>28437</v>
      </c>
      <c r="B28" s="102" t="s">
        <v>28455</v>
      </c>
      <c r="C28" s="102" t="s">
        <v>31</v>
      </c>
      <c r="D28" s="102" t="s">
        <v>39</v>
      </c>
      <c r="E28" s="102" t="s">
        <v>10</v>
      </c>
      <c r="F28" s="102" t="s">
        <v>28467</v>
      </c>
      <c r="G28" s="102" t="s">
        <v>90</v>
      </c>
      <c r="H28" s="102">
        <v>28</v>
      </c>
      <c r="I28" s="102" t="s">
        <v>25424</v>
      </c>
      <c r="J28" s="102" t="s">
        <v>28478</v>
      </c>
      <c r="K28" s="102" t="s">
        <v>25684</v>
      </c>
      <c r="L28" s="102" t="s">
        <v>25607</v>
      </c>
      <c r="M28" s="102" t="s">
        <v>60</v>
      </c>
      <c r="N28" s="102">
        <v>2365.6880000000001</v>
      </c>
      <c r="R28" t="str">
        <f t="shared" si="3"/>
        <v>02-682-14-59</v>
      </c>
      <c r="S28" s="129" t="s">
        <v>28351</v>
      </c>
      <c r="T28" s="112">
        <v>9</v>
      </c>
    </row>
    <row r="29" spans="1:20" x14ac:dyDescent="0.2">
      <c r="A29" s="102" t="s">
        <v>28437</v>
      </c>
      <c r="B29" s="102" t="s">
        <v>28455</v>
      </c>
      <c r="C29" s="102" t="s">
        <v>31</v>
      </c>
      <c r="D29" s="102" t="s">
        <v>39</v>
      </c>
      <c r="E29" s="102" t="s">
        <v>10</v>
      </c>
      <c r="F29" s="102" t="s">
        <v>28467</v>
      </c>
      <c r="G29" s="102" t="s">
        <v>90</v>
      </c>
      <c r="H29" s="102">
        <v>28</v>
      </c>
      <c r="I29" s="102" t="s">
        <v>25424</v>
      </c>
      <c r="J29" s="102" t="s">
        <v>28478</v>
      </c>
      <c r="K29" s="102" t="s">
        <v>25684</v>
      </c>
      <c r="L29" s="102" t="s">
        <v>25607</v>
      </c>
      <c r="M29" s="102" t="s">
        <v>60</v>
      </c>
      <c r="N29" s="102">
        <v>2365.6880000000001</v>
      </c>
      <c r="R29" t="str">
        <f t="shared" si="3"/>
        <v>02-682-14-61</v>
      </c>
      <c r="S29" s="129" t="s">
        <v>28356</v>
      </c>
      <c r="T29" s="112">
        <v>7</v>
      </c>
    </row>
    <row r="30" spans="1:20" x14ac:dyDescent="0.2">
      <c r="A30" s="102" t="s">
        <v>28437</v>
      </c>
      <c r="B30" s="102" t="s">
        <v>28455</v>
      </c>
      <c r="C30" s="102" t="s">
        <v>31</v>
      </c>
      <c r="D30" s="102" t="s">
        <v>39</v>
      </c>
      <c r="E30" s="102" t="s">
        <v>10</v>
      </c>
      <c r="F30" s="102" t="s">
        <v>28467</v>
      </c>
      <c r="G30" s="102" t="s">
        <v>90</v>
      </c>
      <c r="H30" s="102">
        <v>28</v>
      </c>
      <c r="I30" s="102" t="s">
        <v>25424</v>
      </c>
      <c r="J30" s="102" t="s">
        <v>28478</v>
      </c>
      <c r="K30" s="102" t="s">
        <v>25684</v>
      </c>
      <c r="L30" s="102" t="s">
        <v>25607</v>
      </c>
      <c r="M30" s="102" t="s">
        <v>60</v>
      </c>
      <c r="N30" s="102">
        <v>2365.6880000000001</v>
      </c>
      <c r="R30" t="str">
        <f t="shared" si="3"/>
        <v>02-682-14-63</v>
      </c>
      <c r="S30" s="129" t="s">
        <v>28401</v>
      </c>
      <c r="T30" s="112">
        <v>3</v>
      </c>
    </row>
    <row r="31" spans="1:20" x14ac:dyDescent="0.2">
      <c r="A31" s="102" t="s">
        <v>1003</v>
      </c>
      <c r="B31" s="102" t="s">
        <v>28456</v>
      </c>
      <c r="C31" s="102" t="s">
        <v>31</v>
      </c>
      <c r="D31" s="102" t="s">
        <v>32</v>
      </c>
      <c r="E31" s="102" t="s">
        <v>10</v>
      </c>
      <c r="F31" s="102" t="s">
        <v>91</v>
      </c>
      <c r="G31" s="102" t="s">
        <v>90</v>
      </c>
      <c r="H31" s="102">
        <v>1</v>
      </c>
      <c r="I31" s="102" t="s">
        <v>1</v>
      </c>
      <c r="J31" s="102" t="s">
        <v>27406</v>
      </c>
      <c r="K31" s="102" t="s">
        <v>25687</v>
      </c>
      <c r="L31" s="102" t="s">
        <v>25607</v>
      </c>
      <c r="M31" s="102" t="s">
        <v>12</v>
      </c>
      <c r="N31" s="102">
        <v>1020.6479999999999</v>
      </c>
      <c r="Q31" t="s">
        <v>1</v>
      </c>
      <c r="R31" t="str">
        <f t="shared" si="3"/>
        <v>02-201-09-57</v>
      </c>
      <c r="S31" s="129" t="s">
        <v>28355</v>
      </c>
      <c r="T31" s="112">
        <v>3</v>
      </c>
    </row>
    <row r="32" spans="1:20" x14ac:dyDescent="0.2">
      <c r="A32" s="102" t="s">
        <v>1003</v>
      </c>
      <c r="B32" s="102" t="s">
        <v>28456</v>
      </c>
      <c r="C32" s="102" t="s">
        <v>31</v>
      </c>
      <c r="D32" s="102" t="s">
        <v>32</v>
      </c>
      <c r="E32" s="102" t="s">
        <v>10</v>
      </c>
      <c r="F32" s="102" t="s">
        <v>91</v>
      </c>
      <c r="G32" s="102" t="s">
        <v>90</v>
      </c>
      <c r="H32" s="102">
        <v>1</v>
      </c>
      <c r="I32" s="102" t="s">
        <v>1</v>
      </c>
      <c r="J32" s="102" t="s">
        <v>27406</v>
      </c>
      <c r="K32" s="102" t="s">
        <v>25687</v>
      </c>
      <c r="L32" s="102" t="s">
        <v>25607</v>
      </c>
      <c r="M32" s="102" t="s">
        <v>12</v>
      </c>
      <c r="N32" s="102">
        <v>1020.6479999999999</v>
      </c>
      <c r="Q32" t="s">
        <v>1</v>
      </c>
      <c r="R32" t="str">
        <f t="shared" si="3"/>
        <v>02-201-09-59</v>
      </c>
      <c r="S32" s="129" t="s">
        <v>28351</v>
      </c>
      <c r="T32" s="112">
        <v>3</v>
      </c>
    </row>
    <row r="33" spans="1:20" x14ac:dyDescent="0.2">
      <c r="A33" s="102" t="s">
        <v>999</v>
      </c>
      <c r="B33" s="102" t="s">
        <v>28456</v>
      </c>
      <c r="C33" s="102" t="s">
        <v>31</v>
      </c>
      <c r="D33" s="102" t="s">
        <v>32</v>
      </c>
      <c r="E33" s="102" t="s">
        <v>10</v>
      </c>
      <c r="F33" s="102" t="s">
        <v>26652</v>
      </c>
      <c r="G33" s="102" t="s">
        <v>90</v>
      </c>
      <c r="H33" s="102">
        <v>23</v>
      </c>
      <c r="I33" s="102" t="s">
        <v>27</v>
      </c>
      <c r="J33" s="102" t="s">
        <v>27406</v>
      </c>
      <c r="K33" s="102" t="s">
        <v>25687</v>
      </c>
      <c r="L33" s="102" t="s">
        <v>25607</v>
      </c>
      <c r="M33" s="102" t="s">
        <v>12</v>
      </c>
      <c r="N33" s="102">
        <v>1020.6479999999999</v>
      </c>
      <c r="Q33" t="s">
        <v>27</v>
      </c>
      <c r="R33" t="str">
        <f t="shared" ref="R33:R36" si="4">A33&amp;"-"&amp;S33</f>
        <v>02-201-06-59</v>
      </c>
      <c r="S33" s="129" t="s">
        <v>28351</v>
      </c>
      <c r="T33" s="112">
        <v>4</v>
      </c>
    </row>
    <row r="34" spans="1:20" x14ac:dyDescent="0.2">
      <c r="A34" s="102" t="s">
        <v>999</v>
      </c>
      <c r="B34" s="102" t="s">
        <v>28456</v>
      </c>
      <c r="C34" s="102" t="s">
        <v>31</v>
      </c>
      <c r="D34" s="102" t="s">
        <v>32</v>
      </c>
      <c r="E34" s="102" t="s">
        <v>10</v>
      </c>
      <c r="F34" s="102" t="s">
        <v>26652</v>
      </c>
      <c r="G34" s="102" t="s">
        <v>90</v>
      </c>
      <c r="H34" s="102">
        <v>23</v>
      </c>
      <c r="I34" s="102" t="s">
        <v>27</v>
      </c>
      <c r="J34" s="102" t="s">
        <v>27406</v>
      </c>
      <c r="K34" s="102" t="s">
        <v>25687</v>
      </c>
      <c r="L34" s="102" t="s">
        <v>25607</v>
      </c>
      <c r="M34" s="102" t="s">
        <v>12</v>
      </c>
      <c r="N34" s="102">
        <v>1020.6479999999999</v>
      </c>
      <c r="Q34" t="s">
        <v>27</v>
      </c>
      <c r="R34" t="str">
        <f t="shared" si="4"/>
        <v>02-201-06-61</v>
      </c>
      <c r="S34" s="129" t="s">
        <v>28356</v>
      </c>
      <c r="T34" s="112">
        <v>2</v>
      </c>
    </row>
    <row r="35" spans="1:20" x14ac:dyDescent="0.2">
      <c r="A35" s="102" t="s">
        <v>1057</v>
      </c>
      <c r="B35" s="102" t="s">
        <v>28457</v>
      </c>
      <c r="C35" s="102" t="s">
        <v>46</v>
      </c>
      <c r="D35" s="102" t="s">
        <v>47</v>
      </c>
      <c r="E35" s="102" t="s">
        <v>10</v>
      </c>
      <c r="F35" s="102" t="s">
        <v>91</v>
      </c>
      <c r="G35" s="102" t="s">
        <v>90</v>
      </c>
      <c r="H35" s="102">
        <v>1</v>
      </c>
      <c r="I35" s="102" t="s">
        <v>1</v>
      </c>
      <c r="J35" s="102" t="s">
        <v>27406</v>
      </c>
      <c r="K35" s="102" t="s">
        <v>25687</v>
      </c>
      <c r="L35" s="102" t="s">
        <v>25607</v>
      </c>
      <c r="M35" s="102" t="s">
        <v>12</v>
      </c>
      <c r="N35" s="102">
        <v>862.40800000000002</v>
      </c>
      <c r="Q35" t="s">
        <v>1</v>
      </c>
      <c r="R35" t="str">
        <f t="shared" si="4"/>
        <v>02-214-09-00</v>
      </c>
      <c r="S35" s="129" t="s">
        <v>25308</v>
      </c>
      <c r="T35" s="112">
        <v>95</v>
      </c>
    </row>
    <row r="36" spans="1:20" x14ac:dyDescent="0.2">
      <c r="A36" s="102" t="s">
        <v>1065</v>
      </c>
      <c r="B36" s="102" t="s">
        <v>28457</v>
      </c>
      <c r="C36" s="102" t="s">
        <v>46</v>
      </c>
      <c r="D36" s="102" t="s">
        <v>47</v>
      </c>
      <c r="E36" s="102" t="s">
        <v>10</v>
      </c>
      <c r="F36" s="102" t="s">
        <v>91</v>
      </c>
      <c r="G36" s="102" t="s">
        <v>90</v>
      </c>
      <c r="H36" s="102">
        <v>2</v>
      </c>
      <c r="I36" s="102" t="s">
        <v>23</v>
      </c>
      <c r="J36" s="102" t="s">
        <v>27406</v>
      </c>
      <c r="K36" s="102" t="s">
        <v>25687</v>
      </c>
      <c r="L36" s="102" t="s">
        <v>25607</v>
      </c>
      <c r="M36" s="102" t="s">
        <v>12</v>
      </c>
      <c r="N36" s="102">
        <v>862.40800000000002</v>
      </c>
      <c r="Q36" t="s">
        <v>27</v>
      </c>
      <c r="R36" t="str">
        <f t="shared" si="4"/>
        <v>02-214-16-00</v>
      </c>
      <c r="S36" s="129" t="s">
        <v>25308</v>
      </c>
      <c r="T36" s="112">
        <v>45</v>
      </c>
    </row>
    <row r="37" spans="1:20" x14ac:dyDescent="0.2">
      <c r="A37" s="102" t="s">
        <v>28483</v>
      </c>
      <c r="B37" s="102" t="s">
        <v>28457</v>
      </c>
      <c r="C37" s="102" t="s">
        <v>46</v>
      </c>
      <c r="D37" s="102" t="s">
        <v>47</v>
      </c>
      <c r="E37" s="102" t="s">
        <v>10</v>
      </c>
      <c r="F37" s="102" t="s">
        <v>91</v>
      </c>
      <c r="G37" s="102" t="s">
        <v>90</v>
      </c>
      <c r="H37" s="102">
        <v>20</v>
      </c>
      <c r="I37" s="102" t="s">
        <v>28482</v>
      </c>
      <c r="J37" s="102" t="s">
        <v>27406</v>
      </c>
      <c r="K37" s="102" t="s">
        <v>25687</v>
      </c>
      <c r="L37" s="102" t="s">
        <v>25607</v>
      </c>
      <c r="M37" s="102" t="s">
        <v>12</v>
      </c>
      <c r="N37" s="102">
        <v>862.40800000000002</v>
      </c>
      <c r="R37" t="str">
        <f t="shared" ref="R37:R38" si="5">A37&amp;"-"&amp;S37</f>
        <v>02-214-00-00</v>
      </c>
      <c r="S37" s="129" t="s">
        <v>25308</v>
      </c>
      <c r="T37" s="112">
        <v>25</v>
      </c>
    </row>
    <row r="38" spans="1:20" x14ac:dyDescent="0.2">
      <c r="A38" s="102" t="s">
        <v>1055</v>
      </c>
      <c r="B38" s="102" t="s">
        <v>28457</v>
      </c>
      <c r="C38" s="102" t="s">
        <v>46</v>
      </c>
      <c r="D38" s="102" t="s">
        <v>47</v>
      </c>
      <c r="E38" s="102" t="s">
        <v>10</v>
      </c>
      <c r="F38" s="102" t="s">
        <v>91</v>
      </c>
      <c r="G38" s="102" t="s">
        <v>90</v>
      </c>
      <c r="H38" s="102">
        <v>32</v>
      </c>
      <c r="I38" s="102" t="s">
        <v>28</v>
      </c>
      <c r="J38" s="102" t="s">
        <v>27406</v>
      </c>
      <c r="K38" s="102" t="s">
        <v>25687</v>
      </c>
      <c r="L38" s="102" t="s">
        <v>25607</v>
      </c>
      <c r="M38" s="102" t="s">
        <v>12</v>
      </c>
      <c r="N38" s="102">
        <v>862.40800000000002</v>
      </c>
      <c r="Q38" t="s">
        <v>28</v>
      </c>
      <c r="R38" t="str">
        <f t="shared" si="5"/>
        <v>02-214-08-00</v>
      </c>
      <c r="S38" s="129" t="s">
        <v>25308</v>
      </c>
      <c r="T38" s="112">
        <v>75</v>
      </c>
    </row>
    <row r="39" spans="1:20" x14ac:dyDescent="0.2">
      <c r="A39" s="102" t="s">
        <v>1051</v>
      </c>
      <c r="B39" s="102" t="s">
        <v>28457</v>
      </c>
      <c r="C39" s="102" t="s">
        <v>46</v>
      </c>
      <c r="D39" s="102" t="s">
        <v>47</v>
      </c>
      <c r="E39" s="102" t="s">
        <v>10</v>
      </c>
      <c r="F39" s="102" t="s">
        <v>91</v>
      </c>
      <c r="G39" s="102" t="s">
        <v>90</v>
      </c>
      <c r="H39" s="102">
        <v>55</v>
      </c>
      <c r="I39" s="102" t="s">
        <v>58</v>
      </c>
      <c r="J39" s="102" t="s">
        <v>27406</v>
      </c>
      <c r="K39" s="102" t="s">
        <v>25687</v>
      </c>
      <c r="L39" s="102" t="s">
        <v>25607</v>
      </c>
      <c r="M39" s="102" t="s">
        <v>12</v>
      </c>
      <c r="N39" s="102">
        <v>862.40800000000002</v>
      </c>
      <c r="Q39" t="s">
        <v>58</v>
      </c>
      <c r="R39" t="str">
        <f t="shared" ref="R39:R41" si="6">A39&amp;"-"&amp;S39</f>
        <v>02-214-03-00</v>
      </c>
      <c r="S39" s="129" t="s">
        <v>25308</v>
      </c>
      <c r="T39" s="112">
        <v>75</v>
      </c>
    </row>
    <row r="40" spans="1:20" x14ac:dyDescent="0.2">
      <c r="A40" s="102" t="s">
        <v>28438</v>
      </c>
      <c r="B40" s="102" t="s">
        <v>28457</v>
      </c>
      <c r="C40" s="102" t="s">
        <v>46</v>
      </c>
      <c r="D40" s="102" t="s">
        <v>47</v>
      </c>
      <c r="E40" s="102" t="s">
        <v>10</v>
      </c>
      <c r="F40" s="102" t="s">
        <v>91</v>
      </c>
      <c r="G40" s="102" t="s">
        <v>90</v>
      </c>
      <c r="H40" s="102">
        <v>71</v>
      </c>
      <c r="I40" s="102" t="s">
        <v>28470</v>
      </c>
      <c r="J40" s="102" t="s">
        <v>27406</v>
      </c>
      <c r="K40" s="102" t="s">
        <v>25687</v>
      </c>
      <c r="L40" s="102" t="s">
        <v>25607</v>
      </c>
      <c r="M40" s="102" t="s">
        <v>12</v>
      </c>
      <c r="N40" s="102">
        <v>862.40800000000002</v>
      </c>
      <c r="R40" t="str">
        <f t="shared" si="6"/>
        <v>02-214-36-00</v>
      </c>
      <c r="S40" s="129" t="s">
        <v>25308</v>
      </c>
      <c r="T40" s="112">
        <v>72</v>
      </c>
    </row>
    <row r="41" spans="1:20" x14ac:dyDescent="0.2">
      <c r="A41" s="102" t="s">
        <v>1061</v>
      </c>
      <c r="B41" s="102" t="s">
        <v>28457</v>
      </c>
      <c r="C41" s="102" t="s">
        <v>46</v>
      </c>
      <c r="D41" s="102" t="s">
        <v>47</v>
      </c>
      <c r="E41" s="102" t="s">
        <v>10</v>
      </c>
      <c r="F41" s="102" t="s">
        <v>91</v>
      </c>
      <c r="G41" s="102" t="s">
        <v>90</v>
      </c>
      <c r="H41" s="102">
        <v>86</v>
      </c>
      <c r="I41" s="102" t="s">
        <v>96</v>
      </c>
      <c r="J41" s="102" t="s">
        <v>27406</v>
      </c>
      <c r="K41" s="102" t="s">
        <v>25687</v>
      </c>
      <c r="L41" s="102" t="s">
        <v>25607</v>
      </c>
      <c r="M41" s="102" t="s">
        <v>12</v>
      </c>
      <c r="N41" s="102">
        <v>862.40800000000002</v>
      </c>
      <c r="Q41" t="s">
        <v>96</v>
      </c>
      <c r="R41" t="str">
        <f t="shared" si="6"/>
        <v>02-214-12-00</v>
      </c>
      <c r="S41" s="129" t="s">
        <v>25308</v>
      </c>
      <c r="T41" s="112">
        <v>60</v>
      </c>
    </row>
    <row r="42" spans="1:20" x14ac:dyDescent="0.2">
      <c r="A42" s="102" t="s">
        <v>1425</v>
      </c>
      <c r="B42" s="102" t="s">
        <v>28458</v>
      </c>
      <c r="C42" s="102" t="s">
        <v>31</v>
      </c>
      <c r="D42" s="102" t="s">
        <v>39</v>
      </c>
      <c r="E42" s="102" t="s">
        <v>10</v>
      </c>
      <c r="F42" s="102" t="s">
        <v>91</v>
      </c>
      <c r="G42" s="102" t="s">
        <v>90</v>
      </c>
      <c r="H42" s="102">
        <v>310</v>
      </c>
      <c r="I42" s="102" t="s">
        <v>100</v>
      </c>
      <c r="J42" s="102" t="s">
        <v>28479</v>
      </c>
      <c r="K42" s="102" t="s">
        <v>25687</v>
      </c>
      <c r="L42" s="102" t="s">
        <v>25607</v>
      </c>
      <c r="M42" s="102" t="s">
        <v>60</v>
      </c>
      <c r="N42" s="102">
        <v>2365.6880000000001</v>
      </c>
      <c r="Q42" t="s">
        <v>100</v>
      </c>
      <c r="R42" t="str">
        <f t="shared" ref="R42:R52" si="7">A42&amp;"-"&amp;S42</f>
        <v>02-334-36-57</v>
      </c>
      <c r="S42" s="129" t="s">
        <v>28355</v>
      </c>
      <c r="T42" s="112">
        <v>1</v>
      </c>
    </row>
    <row r="43" spans="1:20" x14ac:dyDescent="0.2">
      <c r="A43" s="102" t="s">
        <v>1425</v>
      </c>
      <c r="B43" s="102" t="s">
        <v>28458</v>
      </c>
      <c r="C43" s="102" t="s">
        <v>31</v>
      </c>
      <c r="D43" s="102" t="s">
        <v>39</v>
      </c>
      <c r="E43" s="102" t="s">
        <v>10</v>
      </c>
      <c r="F43" s="102" t="s">
        <v>91</v>
      </c>
      <c r="G43" s="102" t="s">
        <v>90</v>
      </c>
      <c r="H43" s="102">
        <v>310</v>
      </c>
      <c r="I43" s="102" t="s">
        <v>100</v>
      </c>
      <c r="J43" s="102" t="s">
        <v>28479</v>
      </c>
      <c r="K43" s="102" t="s">
        <v>25687</v>
      </c>
      <c r="L43" s="102" t="s">
        <v>25607</v>
      </c>
      <c r="M43" s="102" t="s">
        <v>60</v>
      </c>
      <c r="N43" s="102">
        <v>2365.6880000000001</v>
      </c>
      <c r="Q43" t="s">
        <v>100</v>
      </c>
      <c r="R43" t="str">
        <f t="shared" si="7"/>
        <v>02-334-36-59</v>
      </c>
      <c r="S43" s="129" t="s">
        <v>28351</v>
      </c>
      <c r="T43" s="112">
        <v>2</v>
      </c>
    </row>
    <row r="44" spans="1:20" x14ac:dyDescent="0.2">
      <c r="A44" s="102" t="s">
        <v>1425</v>
      </c>
      <c r="B44" s="102" t="s">
        <v>28458</v>
      </c>
      <c r="C44" s="102" t="s">
        <v>31</v>
      </c>
      <c r="D44" s="102" t="s">
        <v>39</v>
      </c>
      <c r="E44" s="102" t="s">
        <v>10</v>
      </c>
      <c r="F44" s="102" t="s">
        <v>91</v>
      </c>
      <c r="G44" s="102" t="s">
        <v>90</v>
      </c>
      <c r="H44" s="102">
        <v>310</v>
      </c>
      <c r="I44" s="102" t="s">
        <v>100</v>
      </c>
      <c r="J44" s="102" t="s">
        <v>28479</v>
      </c>
      <c r="K44" s="102" t="s">
        <v>25687</v>
      </c>
      <c r="L44" s="102" t="s">
        <v>25607</v>
      </c>
      <c r="M44" s="102" t="s">
        <v>60</v>
      </c>
      <c r="N44" s="102">
        <v>2365.6880000000001</v>
      </c>
      <c r="Q44" t="s">
        <v>100</v>
      </c>
      <c r="R44" t="str">
        <f t="shared" si="7"/>
        <v>02-334-36-63</v>
      </c>
      <c r="S44" s="129" t="s">
        <v>28401</v>
      </c>
      <c r="T44" s="112">
        <v>1</v>
      </c>
    </row>
    <row r="45" spans="1:20" x14ac:dyDescent="0.2">
      <c r="A45" s="102" t="s">
        <v>28439</v>
      </c>
      <c r="B45" s="102" t="s">
        <v>28459</v>
      </c>
      <c r="C45" s="102" t="s">
        <v>8</v>
      </c>
      <c r="D45" s="102" t="s">
        <v>9</v>
      </c>
      <c r="E45" s="102" t="s">
        <v>10</v>
      </c>
      <c r="F45" s="102" t="s">
        <v>28467</v>
      </c>
      <c r="G45" s="102" t="s">
        <v>90</v>
      </c>
      <c r="H45" s="102">
        <v>31</v>
      </c>
      <c r="I45" s="102" t="s">
        <v>28</v>
      </c>
      <c r="J45" s="102" t="s">
        <v>28475</v>
      </c>
      <c r="K45" s="102" t="s">
        <v>25684</v>
      </c>
      <c r="L45" s="102" t="s">
        <v>25607</v>
      </c>
      <c r="M45" s="102" t="s">
        <v>20</v>
      </c>
      <c r="N45" s="102">
        <v>2365.6880000000001</v>
      </c>
      <c r="R45" t="str">
        <f t="shared" si="7"/>
        <v>02-684-08-55</v>
      </c>
      <c r="S45" s="129" t="s">
        <v>28278</v>
      </c>
      <c r="T45" s="112">
        <v>1</v>
      </c>
    </row>
    <row r="46" spans="1:20" x14ac:dyDescent="0.2">
      <c r="A46" s="102" t="s">
        <v>28439</v>
      </c>
      <c r="B46" s="102" t="s">
        <v>28459</v>
      </c>
      <c r="C46" s="102" t="s">
        <v>8</v>
      </c>
      <c r="D46" s="102" t="s">
        <v>9</v>
      </c>
      <c r="E46" s="102" t="s">
        <v>10</v>
      </c>
      <c r="F46" s="102" t="s">
        <v>28467</v>
      </c>
      <c r="G46" s="102" t="s">
        <v>90</v>
      </c>
      <c r="H46" s="102">
        <v>31</v>
      </c>
      <c r="I46" s="102" t="s">
        <v>28</v>
      </c>
      <c r="J46" s="102" t="s">
        <v>28475</v>
      </c>
      <c r="K46" s="102" t="s">
        <v>25684</v>
      </c>
      <c r="L46" s="102" t="s">
        <v>25607</v>
      </c>
      <c r="M46" s="102" t="s">
        <v>20</v>
      </c>
      <c r="N46" s="102">
        <v>2365.6880000000001</v>
      </c>
      <c r="R46" t="str">
        <f t="shared" si="7"/>
        <v>02-684-08-57</v>
      </c>
      <c r="S46" s="129" t="s">
        <v>28355</v>
      </c>
      <c r="T46" s="112">
        <v>6</v>
      </c>
    </row>
    <row r="47" spans="1:20" x14ac:dyDescent="0.2">
      <c r="A47" s="102" t="s">
        <v>28439</v>
      </c>
      <c r="B47" s="102" t="s">
        <v>28459</v>
      </c>
      <c r="C47" s="102" t="s">
        <v>8</v>
      </c>
      <c r="D47" s="102" t="s">
        <v>9</v>
      </c>
      <c r="E47" s="102" t="s">
        <v>10</v>
      </c>
      <c r="F47" s="102" t="s">
        <v>28467</v>
      </c>
      <c r="G47" s="102" t="s">
        <v>90</v>
      </c>
      <c r="H47" s="102">
        <v>31</v>
      </c>
      <c r="I47" s="102" t="s">
        <v>28</v>
      </c>
      <c r="J47" s="102" t="s">
        <v>28475</v>
      </c>
      <c r="K47" s="102" t="s">
        <v>25684</v>
      </c>
      <c r="L47" s="102" t="s">
        <v>25607</v>
      </c>
      <c r="M47" s="102" t="s">
        <v>20</v>
      </c>
      <c r="N47" s="102">
        <v>2365.6880000000001</v>
      </c>
      <c r="R47" t="str">
        <f t="shared" si="7"/>
        <v>02-684-08-59</v>
      </c>
      <c r="S47" s="129" t="s">
        <v>28351</v>
      </c>
      <c r="T47" s="112">
        <v>8</v>
      </c>
    </row>
    <row r="48" spans="1:20" x14ac:dyDescent="0.2">
      <c r="A48" s="102" t="s">
        <v>28439</v>
      </c>
      <c r="B48" s="102" t="s">
        <v>28459</v>
      </c>
      <c r="C48" s="102" t="s">
        <v>8</v>
      </c>
      <c r="D48" s="102" t="s">
        <v>9</v>
      </c>
      <c r="E48" s="102" t="s">
        <v>10</v>
      </c>
      <c r="F48" s="102" t="s">
        <v>28467</v>
      </c>
      <c r="G48" s="102" t="s">
        <v>90</v>
      </c>
      <c r="H48" s="102">
        <v>31</v>
      </c>
      <c r="I48" s="102" t="s">
        <v>28</v>
      </c>
      <c r="J48" s="102" t="s">
        <v>28475</v>
      </c>
      <c r="K48" s="102" t="s">
        <v>25684</v>
      </c>
      <c r="L48" s="102" t="s">
        <v>25607</v>
      </c>
      <c r="M48" s="102" t="s">
        <v>20</v>
      </c>
      <c r="N48" s="102">
        <v>2365.6880000000001</v>
      </c>
      <c r="R48" t="str">
        <f t="shared" si="7"/>
        <v>02-684-08-61</v>
      </c>
      <c r="S48" s="129" t="s">
        <v>28356</v>
      </c>
      <c r="T48" s="112">
        <v>6</v>
      </c>
    </row>
    <row r="49" spans="1:20" x14ac:dyDescent="0.2">
      <c r="A49" s="102" t="s">
        <v>28439</v>
      </c>
      <c r="B49" s="102" t="s">
        <v>28459</v>
      </c>
      <c r="C49" s="102" t="s">
        <v>8</v>
      </c>
      <c r="D49" s="102" t="s">
        <v>9</v>
      </c>
      <c r="E49" s="102" t="s">
        <v>10</v>
      </c>
      <c r="F49" s="102" t="s">
        <v>28467</v>
      </c>
      <c r="G49" s="102" t="s">
        <v>90</v>
      </c>
      <c r="H49" s="102">
        <v>31</v>
      </c>
      <c r="I49" s="102" t="s">
        <v>28</v>
      </c>
      <c r="J49" s="102" t="s">
        <v>28475</v>
      </c>
      <c r="K49" s="102" t="s">
        <v>25684</v>
      </c>
      <c r="L49" s="102" t="s">
        <v>25607</v>
      </c>
      <c r="M49" s="102" t="s">
        <v>20</v>
      </c>
      <c r="N49" s="102">
        <v>2365.6880000000001</v>
      </c>
      <c r="R49" t="str">
        <f t="shared" si="7"/>
        <v>02-684-08-63</v>
      </c>
      <c r="S49" s="129" t="s">
        <v>28401</v>
      </c>
      <c r="T49" s="112">
        <v>3</v>
      </c>
    </row>
    <row r="50" spans="1:20" x14ac:dyDescent="0.2">
      <c r="A50" s="102" t="s">
        <v>28440</v>
      </c>
      <c r="B50" s="102" t="s">
        <v>28460</v>
      </c>
      <c r="C50" s="102" t="s">
        <v>31</v>
      </c>
      <c r="D50" s="102" t="s">
        <v>32</v>
      </c>
      <c r="E50" s="102" t="s">
        <v>10</v>
      </c>
      <c r="F50" s="102" t="s">
        <v>28467</v>
      </c>
      <c r="G50" s="102" t="s">
        <v>90</v>
      </c>
      <c r="H50" s="102">
        <v>268</v>
      </c>
      <c r="I50" s="102" t="s">
        <v>52</v>
      </c>
      <c r="J50" s="102" t="s">
        <v>28475</v>
      </c>
      <c r="K50" s="102" t="s">
        <v>25684</v>
      </c>
      <c r="L50" s="102" t="s">
        <v>25607</v>
      </c>
      <c r="M50" s="102" t="s">
        <v>60</v>
      </c>
      <c r="N50" s="102">
        <v>2128.328</v>
      </c>
      <c r="R50" t="str">
        <f t="shared" si="7"/>
        <v>02-688-02-55</v>
      </c>
      <c r="S50" s="129" t="s">
        <v>28278</v>
      </c>
      <c r="T50" s="112">
        <v>1</v>
      </c>
    </row>
    <row r="51" spans="1:20" x14ac:dyDescent="0.2">
      <c r="A51" s="102" t="s">
        <v>28440</v>
      </c>
      <c r="B51" s="102" t="s">
        <v>28460</v>
      </c>
      <c r="C51" s="102" t="s">
        <v>31</v>
      </c>
      <c r="D51" s="102" t="s">
        <v>32</v>
      </c>
      <c r="E51" s="102" t="s">
        <v>10</v>
      </c>
      <c r="F51" s="102" t="s">
        <v>28467</v>
      </c>
      <c r="G51" s="102" t="s">
        <v>90</v>
      </c>
      <c r="H51" s="102">
        <v>268</v>
      </c>
      <c r="I51" s="102" t="s">
        <v>52</v>
      </c>
      <c r="J51" s="102" t="s">
        <v>28475</v>
      </c>
      <c r="K51" s="102" t="s">
        <v>25684</v>
      </c>
      <c r="L51" s="102" t="s">
        <v>25607</v>
      </c>
      <c r="M51" s="102" t="s">
        <v>60</v>
      </c>
      <c r="N51" s="102">
        <v>2128.328</v>
      </c>
      <c r="R51" t="str">
        <f t="shared" si="7"/>
        <v>02-688-02-57</v>
      </c>
      <c r="S51" s="129" t="s">
        <v>28355</v>
      </c>
      <c r="T51" s="112">
        <v>5</v>
      </c>
    </row>
    <row r="52" spans="1:20" x14ac:dyDescent="0.2">
      <c r="A52" s="102" t="s">
        <v>28440</v>
      </c>
      <c r="B52" s="102" t="s">
        <v>28460</v>
      </c>
      <c r="C52" s="102" t="s">
        <v>31</v>
      </c>
      <c r="D52" s="102" t="s">
        <v>32</v>
      </c>
      <c r="E52" s="102" t="s">
        <v>10</v>
      </c>
      <c r="F52" s="102" t="s">
        <v>28467</v>
      </c>
      <c r="G52" s="102" t="s">
        <v>90</v>
      </c>
      <c r="H52" s="102">
        <v>268</v>
      </c>
      <c r="I52" s="102" t="s">
        <v>52</v>
      </c>
      <c r="J52" s="102" t="s">
        <v>28475</v>
      </c>
      <c r="K52" s="102" t="s">
        <v>25684</v>
      </c>
      <c r="L52" s="102" t="s">
        <v>25607</v>
      </c>
      <c r="M52" s="102" t="s">
        <v>60</v>
      </c>
      <c r="N52" s="102">
        <v>2128.328</v>
      </c>
      <c r="R52" t="str">
        <f t="shared" si="7"/>
        <v>02-688-02-59</v>
      </c>
      <c r="S52" s="129" t="s">
        <v>28351</v>
      </c>
      <c r="T52" s="112">
        <v>8</v>
      </c>
    </row>
    <row r="53" spans="1:20" x14ac:dyDescent="0.2">
      <c r="A53" s="102" t="s">
        <v>28440</v>
      </c>
      <c r="B53" s="102" t="s">
        <v>28460</v>
      </c>
      <c r="C53" s="102" t="s">
        <v>31</v>
      </c>
      <c r="D53" s="102" t="s">
        <v>32</v>
      </c>
      <c r="E53" s="102" t="s">
        <v>10</v>
      </c>
      <c r="F53" s="102" t="s">
        <v>28467</v>
      </c>
      <c r="G53" s="102" t="s">
        <v>90</v>
      </c>
      <c r="H53" s="102">
        <v>268</v>
      </c>
      <c r="I53" s="102" t="s">
        <v>52</v>
      </c>
      <c r="J53" s="102" t="s">
        <v>28475</v>
      </c>
      <c r="K53" s="102" t="s">
        <v>25684</v>
      </c>
      <c r="L53" s="102" t="s">
        <v>25607</v>
      </c>
      <c r="M53" s="102" t="s">
        <v>60</v>
      </c>
      <c r="N53" s="102">
        <v>2128.328</v>
      </c>
      <c r="R53" t="str">
        <f t="shared" ref="R53:R60" si="8">A53&amp;"-"&amp;S53</f>
        <v>02-688-02-61</v>
      </c>
      <c r="S53" s="129" t="s">
        <v>28356</v>
      </c>
      <c r="T53" s="112">
        <v>5</v>
      </c>
    </row>
    <row r="54" spans="1:20" x14ac:dyDescent="0.2">
      <c r="A54" s="102" t="s">
        <v>28440</v>
      </c>
      <c r="B54" s="102" t="s">
        <v>28460</v>
      </c>
      <c r="C54" s="102" t="s">
        <v>31</v>
      </c>
      <c r="D54" s="102" t="s">
        <v>32</v>
      </c>
      <c r="E54" s="102" t="s">
        <v>10</v>
      </c>
      <c r="F54" s="102" t="s">
        <v>28467</v>
      </c>
      <c r="G54" s="102" t="s">
        <v>90</v>
      </c>
      <c r="H54" s="102">
        <v>268</v>
      </c>
      <c r="I54" s="102" t="s">
        <v>52</v>
      </c>
      <c r="J54" s="102" t="s">
        <v>28475</v>
      </c>
      <c r="K54" s="102" t="s">
        <v>25684</v>
      </c>
      <c r="L54" s="102" t="s">
        <v>25607</v>
      </c>
      <c r="M54" s="102" t="s">
        <v>60</v>
      </c>
      <c r="N54" s="102">
        <v>2128.328</v>
      </c>
      <c r="R54" t="str">
        <f t="shared" si="8"/>
        <v>02-688-02-63</v>
      </c>
      <c r="S54" s="129" t="s">
        <v>28401</v>
      </c>
      <c r="T54" s="112">
        <v>2</v>
      </c>
    </row>
    <row r="55" spans="1:20" x14ac:dyDescent="0.2">
      <c r="A55" s="102" t="s">
        <v>28441</v>
      </c>
      <c r="B55" s="102" t="s">
        <v>28460</v>
      </c>
      <c r="C55" s="102" t="s">
        <v>31</v>
      </c>
      <c r="D55" s="102" t="s">
        <v>32</v>
      </c>
      <c r="E55" s="102" t="s">
        <v>10</v>
      </c>
      <c r="F55" s="102" t="s">
        <v>28467</v>
      </c>
      <c r="G55" s="102" t="s">
        <v>90</v>
      </c>
      <c r="H55" s="102">
        <v>229</v>
      </c>
      <c r="I55" s="102" t="s">
        <v>25433</v>
      </c>
      <c r="J55" s="102" t="s">
        <v>28475</v>
      </c>
      <c r="K55" s="102" t="s">
        <v>25684</v>
      </c>
      <c r="L55" s="102" t="s">
        <v>25607</v>
      </c>
      <c r="M55" s="102" t="s">
        <v>60</v>
      </c>
      <c r="N55" s="102">
        <v>2128.328</v>
      </c>
      <c r="R55" t="str">
        <f t="shared" si="8"/>
        <v>02-688-18-55</v>
      </c>
      <c r="S55" s="129" t="s">
        <v>28278</v>
      </c>
      <c r="T55" s="112">
        <v>1</v>
      </c>
    </row>
    <row r="56" spans="1:20" x14ac:dyDescent="0.2">
      <c r="A56" s="102" t="s">
        <v>28441</v>
      </c>
      <c r="B56" s="102" t="s">
        <v>28460</v>
      </c>
      <c r="C56" s="102" t="s">
        <v>31</v>
      </c>
      <c r="D56" s="102" t="s">
        <v>32</v>
      </c>
      <c r="E56" s="102" t="s">
        <v>10</v>
      </c>
      <c r="F56" s="102" t="s">
        <v>28467</v>
      </c>
      <c r="G56" s="102" t="s">
        <v>90</v>
      </c>
      <c r="H56" s="102">
        <v>229</v>
      </c>
      <c r="I56" s="102" t="s">
        <v>25433</v>
      </c>
      <c r="J56" s="102" t="s">
        <v>28475</v>
      </c>
      <c r="K56" s="102" t="s">
        <v>25684</v>
      </c>
      <c r="L56" s="102" t="s">
        <v>25607</v>
      </c>
      <c r="M56" s="102" t="s">
        <v>60</v>
      </c>
      <c r="N56" s="102">
        <v>2128.328</v>
      </c>
      <c r="R56" t="str">
        <f t="shared" si="8"/>
        <v>02-688-18-57</v>
      </c>
      <c r="S56" s="129" t="s">
        <v>28355</v>
      </c>
      <c r="T56" s="112">
        <v>5</v>
      </c>
    </row>
    <row r="57" spans="1:20" x14ac:dyDescent="0.2">
      <c r="A57" s="102" t="s">
        <v>28441</v>
      </c>
      <c r="B57" s="102" t="s">
        <v>28460</v>
      </c>
      <c r="C57" s="102" t="s">
        <v>31</v>
      </c>
      <c r="D57" s="102" t="s">
        <v>32</v>
      </c>
      <c r="E57" s="102" t="s">
        <v>10</v>
      </c>
      <c r="F57" s="102" t="s">
        <v>28467</v>
      </c>
      <c r="G57" s="102" t="s">
        <v>90</v>
      </c>
      <c r="H57" s="102">
        <v>229</v>
      </c>
      <c r="I57" s="102" t="s">
        <v>25433</v>
      </c>
      <c r="J57" s="102" t="s">
        <v>28475</v>
      </c>
      <c r="K57" s="102" t="s">
        <v>25684</v>
      </c>
      <c r="L57" s="102" t="s">
        <v>25607</v>
      </c>
      <c r="M57" s="102" t="s">
        <v>60</v>
      </c>
      <c r="N57" s="102">
        <v>2128.328</v>
      </c>
      <c r="R57" t="str">
        <f t="shared" si="8"/>
        <v>02-688-18-59</v>
      </c>
      <c r="S57" s="129" t="s">
        <v>28351</v>
      </c>
      <c r="T57" s="112">
        <v>8</v>
      </c>
    </row>
    <row r="58" spans="1:20" x14ac:dyDescent="0.2">
      <c r="A58" s="102" t="s">
        <v>28441</v>
      </c>
      <c r="B58" s="102" t="s">
        <v>28460</v>
      </c>
      <c r="C58" s="102" t="s">
        <v>31</v>
      </c>
      <c r="D58" s="102" t="s">
        <v>32</v>
      </c>
      <c r="E58" s="102" t="s">
        <v>10</v>
      </c>
      <c r="F58" s="102" t="s">
        <v>28467</v>
      </c>
      <c r="G58" s="102" t="s">
        <v>90</v>
      </c>
      <c r="H58" s="102">
        <v>229</v>
      </c>
      <c r="I58" s="102" t="s">
        <v>25433</v>
      </c>
      <c r="J58" s="102" t="s">
        <v>28475</v>
      </c>
      <c r="K58" s="102" t="s">
        <v>25684</v>
      </c>
      <c r="L58" s="102" t="s">
        <v>25607</v>
      </c>
      <c r="M58" s="102" t="s">
        <v>60</v>
      </c>
      <c r="N58" s="102">
        <v>2128.328</v>
      </c>
      <c r="R58" t="str">
        <f t="shared" si="8"/>
        <v>02-688-18-61</v>
      </c>
      <c r="S58" s="129" t="s">
        <v>28356</v>
      </c>
      <c r="T58" s="112">
        <v>5</v>
      </c>
    </row>
    <row r="59" spans="1:20" x14ac:dyDescent="0.2">
      <c r="A59" s="102" t="s">
        <v>28441</v>
      </c>
      <c r="B59" s="102" t="s">
        <v>28460</v>
      </c>
      <c r="C59" s="102" t="s">
        <v>31</v>
      </c>
      <c r="D59" s="102" t="s">
        <v>32</v>
      </c>
      <c r="E59" s="102" t="s">
        <v>10</v>
      </c>
      <c r="F59" s="102" t="s">
        <v>28467</v>
      </c>
      <c r="G59" s="102" t="s">
        <v>90</v>
      </c>
      <c r="H59" s="102">
        <v>229</v>
      </c>
      <c r="I59" s="102" t="s">
        <v>25433</v>
      </c>
      <c r="J59" s="102" t="s">
        <v>28475</v>
      </c>
      <c r="K59" s="102" t="s">
        <v>25684</v>
      </c>
      <c r="L59" s="102" t="s">
        <v>25607</v>
      </c>
      <c r="M59" s="102" t="s">
        <v>60</v>
      </c>
      <c r="N59" s="102">
        <v>2128.328</v>
      </c>
      <c r="R59" t="str">
        <f t="shared" si="8"/>
        <v>02-688-18-63</v>
      </c>
      <c r="S59" s="129" t="s">
        <v>28401</v>
      </c>
      <c r="T59" s="112">
        <v>2</v>
      </c>
    </row>
    <row r="60" spans="1:20" x14ac:dyDescent="0.2">
      <c r="A60" s="102" t="s">
        <v>925</v>
      </c>
      <c r="B60" s="102" t="s">
        <v>28461</v>
      </c>
      <c r="C60" s="102" t="s">
        <v>8</v>
      </c>
      <c r="D60" s="102" t="s">
        <v>21</v>
      </c>
      <c r="E60" s="102" t="s">
        <v>10</v>
      </c>
      <c r="F60" s="102" t="s">
        <v>91</v>
      </c>
      <c r="G60" s="102" t="s">
        <v>90</v>
      </c>
      <c r="H60" s="102">
        <v>1</v>
      </c>
      <c r="I60" s="102" t="s">
        <v>1</v>
      </c>
      <c r="J60" s="102" t="s">
        <v>27406</v>
      </c>
      <c r="K60" s="102" t="s">
        <v>25687</v>
      </c>
      <c r="L60" s="102" t="s">
        <v>25607</v>
      </c>
      <c r="M60" s="102" t="s">
        <v>26668</v>
      </c>
      <c r="N60" s="102">
        <v>2128.328</v>
      </c>
      <c r="Q60" t="s">
        <v>1</v>
      </c>
      <c r="R60" t="str">
        <f t="shared" si="8"/>
        <v>02-182-09-59</v>
      </c>
      <c r="S60" s="129" t="s">
        <v>28351</v>
      </c>
      <c r="T60" s="112">
        <v>2</v>
      </c>
    </row>
    <row r="61" spans="1:20" x14ac:dyDescent="0.2">
      <c r="A61" s="102" t="s">
        <v>927</v>
      </c>
      <c r="B61" s="102" t="s">
        <v>28461</v>
      </c>
      <c r="C61" s="102" t="s">
        <v>8</v>
      </c>
      <c r="D61" s="102" t="s">
        <v>21</v>
      </c>
      <c r="E61" s="102" t="s">
        <v>10</v>
      </c>
      <c r="F61" s="102" t="s">
        <v>91</v>
      </c>
      <c r="G61" s="102" t="s">
        <v>90</v>
      </c>
      <c r="H61" s="102">
        <v>76</v>
      </c>
      <c r="I61" s="102" t="s">
        <v>29</v>
      </c>
      <c r="J61" s="102" t="s">
        <v>27406</v>
      </c>
      <c r="K61" s="102" t="s">
        <v>25687</v>
      </c>
      <c r="L61" s="102" t="s">
        <v>25607</v>
      </c>
      <c r="M61" s="102" t="s">
        <v>26668</v>
      </c>
      <c r="N61" s="102">
        <v>2128.328</v>
      </c>
      <c r="Q61" t="s">
        <v>52</v>
      </c>
      <c r="R61" t="str">
        <f t="shared" ref="R61:R68" si="9">A61&amp;"-"&amp;S61</f>
        <v>02-182-20-57</v>
      </c>
      <c r="S61" s="129" t="s">
        <v>28355</v>
      </c>
      <c r="T61" s="112">
        <v>3</v>
      </c>
    </row>
    <row r="62" spans="1:20" x14ac:dyDescent="0.2">
      <c r="A62" s="102" t="s">
        <v>927</v>
      </c>
      <c r="B62" s="102" t="s">
        <v>28461</v>
      </c>
      <c r="C62" s="102" t="s">
        <v>8</v>
      </c>
      <c r="D62" s="102" t="s">
        <v>21</v>
      </c>
      <c r="E62" s="102" t="s">
        <v>10</v>
      </c>
      <c r="F62" s="102" t="s">
        <v>91</v>
      </c>
      <c r="G62" s="102" t="s">
        <v>90</v>
      </c>
      <c r="H62" s="102">
        <v>76</v>
      </c>
      <c r="I62" s="102" t="s">
        <v>29</v>
      </c>
      <c r="J62" s="102" t="s">
        <v>27406</v>
      </c>
      <c r="K62" s="102" t="s">
        <v>25687</v>
      </c>
      <c r="L62" s="102" t="s">
        <v>25607</v>
      </c>
      <c r="M62" s="102" t="s">
        <v>26668</v>
      </c>
      <c r="N62" s="102">
        <v>2128.328</v>
      </c>
      <c r="Q62" t="s">
        <v>52</v>
      </c>
      <c r="R62" t="str">
        <f t="shared" si="9"/>
        <v>02-182-20-59</v>
      </c>
      <c r="S62" s="129" t="s">
        <v>28351</v>
      </c>
      <c r="T62" s="112">
        <v>4</v>
      </c>
    </row>
    <row r="63" spans="1:20" x14ac:dyDescent="0.2">
      <c r="A63" s="102" t="s">
        <v>927</v>
      </c>
      <c r="B63" s="102" t="s">
        <v>28461</v>
      </c>
      <c r="C63" s="102" t="s">
        <v>8</v>
      </c>
      <c r="D63" s="102" t="s">
        <v>21</v>
      </c>
      <c r="E63" s="102" t="s">
        <v>10</v>
      </c>
      <c r="F63" s="102" t="s">
        <v>91</v>
      </c>
      <c r="G63" s="102" t="s">
        <v>90</v>
      </c>
      <c r="H63" s="102">
        <v>76</v>
      </c>
      <c r="I63" s="102" t="s">
        <v>29</v>
      </c>
      <c r="J63" s="102" t="s">
        <v>27406</v>
      </c>
      <c r="K63" s="102" t="s">
        <v>25687</v>
      </c>
      <c r="L63" s="102" t="s">
        <v>25607</v>
      </c>
      <c r="M63" s="102" t="s">
        <v>26668</v>
      </c>
      <c r="N63" s="102">
        <v>2128.328</v>
      </c>
      <c r="Q63" t="s">
        <v>52</v>
      </c>
      <c r="R63" t="str">
        <f t="shared" si="9"/>
        <v>02-182-20-61</v>
      </c>
      <c r="S63" s="129" t="s">
        <v>28356</v>
      </c>
      <c r="T63" s="112">
        <v>3</v>
      </c>
    </row>
    <row r="64" spans="1:20" x14ac:dyDescent="0.2">
      <c r="A64" s="102" t="s">
        <v>941</v>
      </c>
      <c r="B64" s="102" t="s">
        <v>28462</v>
      </c>
      <c r="C64" s="102" t="s">
        <v>198</v>
      </c>
      <c r="D64" s="102" t="s">
        <v>199</v>
      </c>
      <c r="E64" s="102" t="s">
        <v>10</v>
      </c>
      <c r="F64" s="102" t="s">
        <v>26652</v>
      </c>
      <c r="G64" s="102" t="s">
        <v>90</v>
      </c>
      <c r="H64" s="102">
        <v>76</v>
      </c>
      <c r="I64" s="102" t="s">
        <v>29</v>
      </c>
      <c r="J64" s="102" t="s">
        <v>27406</v>
      </c>
      <c r="K64" s="102" t="s">
        <v>25687</v>
      </c>
      <c r="L64" s="102" t="s">
        <v>25607</v>
      </c>
      <c r="M64" s="102" t="s">
        <v>12</v>
      </c>
      <c r="N64" s="102">
        <v>2128.328</v>
      </c>
      <c r="Q64" t="s">
        <v>52</v>
      </c>
      <c r="R64" t="str">
        <f t="shared" si="9"/>
        <v>02-186-20-57</v>
      </c>
      <c r="S64" s="129" t="s">
        <v>28355</v>
      </c>
      <c r="T64" s="112">
        <v>6</v>
      </c>
    </row>
    <row r="65" spans="1:20" x14ac:dyDescent="0.2">
      <c r="A65" s="102" t="s">
        <v>941</v>
      </c>
      <c r="B65" s="102" t="s">
        <v>28462</v>
      </c>
      <c r="C65" s="102" t="s">
        <v>198</v>
      </c>
      <c r="D65" s="102" t="s">
        <v>199</v>
      </c>
      <c r="E65" s="102" t="s">
        <v>10</v>
      </c>
      <c r="F65" s="102" t="s">
        <v>26652</v>
      </c>
      <c r="G65" s="102" t="s">
        <v>90</v>
      </c>
      <c r="H65" s="102">
        <v>76</v>
      </c>
      <c r="I65" s="102" t="s">
        <v>29</v>
      </c>
      <c r="J65" s="102" t="s">
        <v>27406</v>
      </c>
      <c r="K65" s="102" t="s">
        <v>25687</v>
      </c>
      <c r="L65" s="102" t="s">
        <v>25607</v>
      </c>
      <c r="M65" s="102" t="s">
        <v>12</v>
      </c>
      <c r="N65" s="102">
        <v>2128.328</v>
      </c>
      <c r="Q65" t="s">
        <v>52</v>
      </c>
      <c r="R65" t="str">
        <f t="shared" si="9"/>
        <v>02-186-20-59</v>
      </c>
      <c r="S65" s="129" t="s">
        <v>28351</v>
      </c>
      <c r="T65" s="112">
        <v>9</v>
      </c>
    </row>
    <row r="66" spans="1:20" x14ac:dyDescent="0.2">
      <c r="A66" s="102" t="s">
        <v>941</v>
      </c>
      <c r="B66" s="102" t="s">
        <v>28462</v>
      </c>
      <c r="C66" s="102" t="s">
        <v>198</v>
      </c>
      <c r="D66" s="102" t="s">
        <v>199</v>
      </c>
      <c r="E66" s="102" t="s">
        <v>10</v>
      </c>
      <c r="F66" s="102" t="s">
        <v>26652</v>
      </c>
      <c r="G66" s="102" t="s">
        <v>90</v>
      </c>
      <c r="H66" s="102">
        <v>76</v>
      </c>
      <c r="I66" s="102" t="s">
        <v>29</v>
      </c>
      <c r="J66" s="102" t="s">
        <v>27406</v>
      </c>
      <c r="K66" s="102" t="s">
        <v>25687</v>
      </c>
      <c r="L66" s="102" t="s">
        <v>25607</v>
      </c>
      <c r="M66" s="102" t="s">
        <v>12</v>
      </c>
      <c r="N66" s="102">
        <v>2128.328</v>
      </c>
      <c r="Q66" t="s">
        <v>52</v>
      </c>
      <c r="R66" t="str">
        <f t="shared" si="9"/>
        <v>02-186-20-61</v>
      </c>
      <c r="S66" s="129" t="s">
        <v>28356</v>
      </c>
      <c r="T66" s="112">
        <v>11</v>
      </c>
    </row>
    <row r="67" spans="1:20" x14ac:dyDescent="0.2">
      <c r="A67" s="102" t="s">
        <v>941</v>
      </c>
      <c r="B67" s="102" t="s">
        <v>28462</v>
      </c>
      <c r="C67" s="102" t="s">
        <v>198</v>
      </c>
      <c r="D67" s="102" t="s">
        <v>199</v>
      </c>
      <c r="E67" s="102" t="s">
        <v>10</v>
      </c>
      <c r="F67" s="102" t="s">
        <v>26652</v>
      </c>
      <c r="G67" s="102" t="s">
        <v>90</v>
      </c>
      <c r="H67" s="102">
        <v>76</v>
      </c>
      <c r="I67" s="102" t="s">
        <v>29</v>
      </c>
      <c r="J67" s="102" t="s">
        <v>27406</v>
      </c>
      <c r="K67" s="102" t="s">
        <v>25687</v>
      </c>
      <c r="L67" s="102" t="s">
        <v>25607</v>
      </c>
      <c r="M67" s="102" t="s">
        <v>12</v>
      </c>
      <c r="N67" s="102">
        <v>2128.328</v>
      </c>
      <c r="Q67" t="s">
        <v>52</v>
      </c>
      <c r="R67" t="str">
        <f t="shared" si="9"/>
        <v>02-186-20-63</v>
      </c>
      <c r="S67" s="129" t="s">
        <v>28401</v>
      </c>
      <c r="T67" s="112">
        <v>6</v>
      </c>
    </row>
    <row r="68" spans="1:20" x14ac:dyDescent="0.2">
      <c r="A68" s="102" t="s">
        <v>28442</v>
      </c>
      <c r="B68" s="102" t="s">
        <v>28463</v>
      </c>
      <c r="C68" s="102" t="s">
        <v>31</v>
      </c>
      <c r="D68" s="102" t="s">
        <v>39</v>
      </c>
      <c r="E68" s="102" t="s">
        <v>10</v>
      </c>
      <c r="F68" s="102" t="s">
        <v>28468</v>
      </c>
      <c r="G68" s="102" t="s">
        <v>90</v>
      </c>
      <c r="H68" s="102">
        <v>15</v>
      </c>
      <c r="I68" s="102" t="s">
        <v>26</v>
      </c>
      <c r="J68" s="102" t="s">
        <v>28480</v>
      </c>
      <c r="L68" s="102" t="s">
        <v>25607</v>
      </c>
      <c r="M68" s="102" t="s">
        <v>12</v>
      </c>
      <c r="N68" s="102">
        <v>2682.1680000000001</v>
      </c>
      <c r="R68" t="str">
        <f t="shared" si="9"/>
        <v>02-693-05-57</v>
      </c>
      <c r="S68" s="129" t="s">
        <v>28355</v>
      </c>
      <c r="T68" s="112">
        <v>2</v>
      </c>
    </row>
    <row r="69" spans="1:20" x14ac:dyDescent="0.2">
      <c r="A69" s="102" t="s">
        <v>28443</v>
      </c>
      <c r="B69" s="102" t="s">
        <v>28464</v>
      </c>
      <c r="C69" s="102" t="s">
        <v>46</v>
      </c>
      <c r="D69" s="102" t="s">
        <v>92</v>
      </c>
      <c r="E69" s="102" t="s">
        <v>10</v>
      </c>
      <c r="F69" s="102" t="s">
        <v>28468</v>
      </c>
      <c r="G69" s="102" t="s">
        <v>90</v>
      </c>
      <c r="H69" s="102">
        <v>15</v>
      </c>
      <c r="I69" s="102" t="s">
        <v>26</v>
      </c>
      <c r="J69" s="102" t="s">
        <v>28481</v>
      </c>
      <c r="L69" s="102" t="s">
        <v>25607</v>
      </c>
      <c r="M69" s="102" t="s">
        <v>12</v>
      </c>
      <c r="N69" s="102">
        <v>1178.8879999999997</v>
      </c>
      <c r="R69" t="str">
        <f t="shared" ref="R69:R71" si="10">A69&amp;"-"&amp;S69</f>
        <v>02-694-05-00</v>
      </c>
      <c r="S69" s="129" t="s">
        <v>25308</v>
      </c>
      <c r="T69" s="112">
        <v>17</v>
      </c>
    </row>
    <row r="70" spans="1:20" x14ac:dyDescent="0.2">
      <c r="A70" s="102" t="s">
        <v>28444</v>
      </c>
      <c r="B70" s="102" t="s">
        <v>28465</v>
      </c>
      <c r="C70" s="102" t="s">
        <v>8</v>
      </c>
      <c r="D70" s="102" t="s">
        <v>21</v>
      </c>
      <c r="E70" s="102" t="s">
        <v>10</v>
      </c>
      <c r="F70" s="102" t="s">
        <v>28467</v>
      </c>
      <c r="G70" s="102" t="s">
        <v>90</v>
      </c>
      <c r="H70" s="102">
        <v>7</v>
      </c>
      <c r="I70" s="102" t="s">
        <v>52</v>
      </c>
      <c r="J70" s="102" t="s">
        <v>27406</v>
      </c>
      <c r="K70" s="102" t="s">
        <v>25687</v>
      </c>
      <c r="L70" s="102" t="s">
        <v>25607</v>
      </c>
      <c r="M70" s="102" t="s">
        <v>12</v>
      </c>
      <c r="N70" s="102">
        <v>2998.6479999999997</v>
      </c>
      <c r="R70" t="str">
        <f t="shared" si="10"/>
        <v>02-695-02-57</v>
      </c>
      <c r="S70" s="129" t="s">
        <v>28355</v>
      </c>
      <c r="T70" s="112">
        <v>2</v>
      </c>
    </row>
    <row r="71" spans="1:20" x14ac:dyDescent="0.2">
      <c r="A71" s="102" t="s">
        <v>28444</v>
      </c>
      <c r="B71" s="102" t="s">
        <v>28465</v>
      </c>
      <c r="C71" s="102" t="s">
        <v>8</v>
      </c>
      <c r="D71" s="102" t="s">
        <v>21</v>
      </c>
      <c r="E71" s="102" t="s">
        <v>10</v>
      </c>
      <c r="F71" s="102" t="s">
        <v>28467</v>
      </c>
      <c r="G71" s="102" t="s">
        <v>90</v>
      </c>
      <c r="H71" s="102">
        <v>7</v>
      </c>
      <c r="I71" s="102" t="s">
        <v>52</v>
      </c>
      <c r="J71" s="102" t="s">
        <v>27406</v>
      </c>
      <c r="K71" s="102" t="s">
        <v>25687</v>
      </c>
      <c r="L71" s="102" t="s">
        <v>25607</v>
      </c>
      <c r="M71" s="102" t="s">
        <v>12</v>
      </c>
      <c r="N71" s="102">
        <v>2998.6479999999997</v>
      </c>
      <c r="R71" t="str">
        <f t="shared" si="10"/>
        <v>02-695-02-59</v>
      </c>
      <c r="S71" s="129" t="s">
        <v>28351</v>
      </c>
      <c r="T71" s="112">
        <v>4</v>
      </c>
    </row>
    <row r="72" spans="1:20" x14ac:dyDescent="0.2">
      <c r="A72" s="102" t="s">
        <v>921</v>
      </c>
      <c r="B72" s="102" t="s">
        <v>28466</v>
      </c>
      <c r="C72" s="102" t="s">
        <v>8</v>
      </c>
      <c r="D72" s="102" t="s">
        <v>21</v>
      </c>
      <c r="E72" s="102" t="s">
        <v>10</v>
      </c>
      <c r="F72" s="102" t="s">
        <v>91</v>
      </c>
      <c r="G72" s="102" t="s">
        <v>90</v>
      </c>
      <c r="H72" s="102">
        <v>71</v>
      </c>
      <c r="I72" s="102" t="s">
        <v>194</v>
      </c>
      <c r="J72" s="102" t="s">
        <v>27406</v>
      </c>
      <c r="K72" s="102" t="s">
        <v>25687</v>
      </c>
      <c r="L72" s="102" t="s">
        <v>25607</v>
      </c>
      <c r="M72" s="102" t="s">
        <v>26668</v>
      </c>
      <c r="N72" s="102">
        <v>1811.8479999999997</v>
      </c>
      <c r="Q72" t="s">
        <v>52</v>
      </c>
      <c r="R72" t="str">
        <f t="shared" ref="R72:R73" si="11">A72&amp;"-"&amp;S72</f>
        <v>02-181-36-61</v>
      </c>
      <c r="S72" s="129" t="s">
        <v>28356</v>
      </c>
      <c r="T72" s="112">
        <v>4</v>
      </c>
    </row>
    <row r="73" spans="1:20" x14ac:dyDescent="0.2">
      <c r="A73" s="102" t="s">
        <v>921</v>
      </c>
      <c r="B73" s="102" t="s">
        <v>28466</v>
      </c>
      <c r="C73" s="102" t="s">
        <v>8</v>
      </c>
      <c r="D73" s="102" t="s">
        <v>21</v>
      </c>
      <c r="E73" s="102" t="s">
        <v>10</v>
      </c>
      <c r="F73" s="102" t="s">
        <v>91</v>
      </c>
      <c r="G73" s="102" t="s">
        <v>90</v>
      </c>
      <c r="H73" s="102">
        <v>71</v>
      </c>
      <c r="I73" s="102" t="s">
        <v>194</v>
      </c>
      <c r="J73" s="102" t="s">
        <v>27406</v>
      </c>
      <c r="K73" s="102" t="s">
        <v>25687</v>
      </c>
      <c r="L73" s="102" t="s">
        <v>25607</v>
      </c>
      <c r="M73" s="102" t="s">
        <v>26668</v>
      </c>
      <c r="N73" s="102">
        <v>1811.8479999999997</v>
      </c>
      <c r="Q73" t="s">
        <v>52</v>
      </c>
      <c r="R73" t="str">
        <f t="shared" si="11"/>
        <v>02-181-36-63</v>
      </c>
      <c r="S73" s="129" t="s">
        <v>28401</v>
      </c>
      <c r="T73" s="112">
        <v>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B25"/>
  <sheetViews>
    <sheetView showGridLines="0" workbookViewId="0">
      <selection activeCell="Q29" sqref="Q29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66" t="s">
        <v>27576</v>
      </c>
      <c r="B1" s="66" t="s">
        <v>239</v>
      </c>
    </row>
    <row r="2" spans="1:2" x14ac:dyDescent="0.2">
      <c r="A2" s="67" t="str">
        <f>Форма!G1</f>
        <v>Производитель</v>
      </c>
      <c r="B2" s="67" t="str">
        <f ca="1">Форма!$G$2</f>
        <v>STETSON</v>
      </c>
    </row>
    <row r="3" spans="1:2" x14ac:dyDescent="0.2">
      <c r="A3" s="67" t="str">
        <f>Форма!E1</f>
        <v>Коллекция</v>
      </c>
    </row>
    <row r="4" spans="1:2" x14ac:dyDescent="0.2">
      <c r="A4" s="67" t="str">
        <f>Форма!C1</f>
        <v>Группа</v>
      </c>
    </row>
    <row r="5" spans="1:2" x14ac:dyDescent="0.2">
      <c r="A5" s="67" t="str">
        <f>Форма!D1</f>
        <v>Форма</v>
      </c>
    </row>
    <row r="6" spans="1:2" x14ac:dyDescent="0.2">
      <c r="A6" s="67" t="str">
        <f>Форма!K1</f>
        <v>Материал</v>
      </c>
    </row>
    <row r="7" spans="1:2" x14ac:dyDescent="0.2">
      <c r="A7" s="67" t="str">
        <f>Форма!L1</f>
        <v>Пол</v>
      </c>
    </row>
    <row r="8" spans="1:2" x14ac:dyDescent="0.2">
      <c r="A8" s="67" t="str">
        <f>Форма!B1</f>
        <v>Модель</v>
      </c>
    </row>
    <row r="9" spans="1:2" x14ac:dyDescent="0.2">
      <c r="A9" s="67" t="str">
        <f>Форма!H1</f>
        <v>Цвет Поставщика</v>
      </c>
    </row>
    <row r="10" spans="1:2" x14ac:dyDescent="0.2">
      <c r="A10" s="67" t="str">
        <f>Форма!I1</f>
        <v>ЦветПолный</v>
      </c>
    </row>
    <row r="11" spans="1:2" x14ac:dyDescent="0.2">
      <c r="A11" s="67" t="str">
        <f>Форма!F1</f>
        <v>Сезон</v>
      </c>
    </row>
    <row r="12" spans="1:2" x14ac:dyDescent="0.2">
      <c r="A12" s="67" t="str">
        <f>Форма!J1</f>
        <v>Состав</v>
      </c>
    </row>
    <row r="13" spans="1:2" x14ac:dyDescent="0.2">
      <c r="A13" s="67" t="str">
        <f>Форма!R1</f>
        <v>Размер</v>
      </c>
    </row>
    <row r="14" spans="1:2" x14ac:dyDescent="0.2">
      <c r="A14" s="67" t="str">
        <f>Форма!M1</f>
        <v>Страна</v>
      </c>
    </row>
    <row r="15" spans="1:2" x14ac:dyDescent="0.2">
      <c r="A15" s="67" t="str">
        <f>Форма!S1</f>
        <v>КОЛ</v>
      </c>
    </row>
    <row r="16" spans="1:2" x14ac:dyDescent="0.2">
      <c r="A16" s="67" t="str">
        <f>Форма!P1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Форма!T1</f>
        <v>Маркет</v>
      </c>
    </row>
    <row r="19" spans="1:1" x14ac:dyDescent="0.2">
      <c r="A19" s="67" t="str">
        <f>Форма!Q1</f>
        <v>Фабрика</v>
      </c>
    </row>
    <row r="20" spans="1:1" x14ac:dyDescent="0.2">
      <c r="A20" s="67" t="str">
        <f>Форма!U1</f>
        <v>Наименование полное</v>
      </c>
    </row>
    <row r="21" spans="1:1" x14ac:dyDescent="0.2">
      <c r="A21" s="67" t="str">
        <f>Форма!V1</f>
        <v>Наименование</v>
      </c>
    </row>
    <row r="22" spans="1:1" x14ac:dyDescent="0.2">
      <c r="A22" s="67" t="str">
        <f>Форма!Y1</f>
        <v>Цвет</v>
      </c>
    </row>
    <row r="23" spans="1:1" x14ac:dyDescent="0.2">
      <c r="A23" s="67" t="s">
        <v>28416</v>
      </c>
    </row>
    <row r="24" spans="1:1" x14ac:dyDescent="0.2">
      <c r="A24" s="67" t="s">
        <v>28418</v>
      </c>
    </row>
    <row r="25" spans="1:1" x14ac:dyDescent="0.2">
      <c r="A25" s="67" t="str">
        <f ca="1"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3</vt:i4>
      </vt:variant>
    </vt:vector>
  </HeadingPairs>
  <TitlesOfParts>
    <vt:vector size="22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2022-03-04T11:18:08Z</dcterms:modified>
</cp:coreProperties>
</file>