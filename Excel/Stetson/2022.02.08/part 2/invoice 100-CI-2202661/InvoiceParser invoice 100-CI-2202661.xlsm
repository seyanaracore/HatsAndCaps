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part 2\invoice 100-CI-2202661\"/>
    </mc:Choice>
  </mc:AlternateContent>
  <xr:revisionPtr revIDLastSave="0" documentId="13_ncr:1_{6F5A890E-851B-460C-973C-9EB5FD59EF15}" xr6:coauthVersionLast="47" xr6:coauthVersionMax="47" xr10:uidLastSave="{00000000-0000-0000-0000-000000000000}"/>
  <bookViews>
    <workbookView xWindow="-120" yWindow="-120" windowWidth="29040" windowHeight="15840" activeTab="2" xr2:uid="{9B3ED43A-5DDB-4EB2-BE7C-BB65CE766084}"/>
  </bookViews>
  <sheets>
    <sheet name="Calculation" sheetId="1" r:id="rId1"/>
    <sheet name="Лист2" sheetId="4" r:id="rId2"/>
    <sheet name="Итог" sheetId="2" r:id="rId3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49" i="1" l="1"/>
  <c r="I448" i="1"/>
  <c r="H448" i="1"/>
  <c r="I447" i="1"/>
  <c r="I445" i="1" s="1"/>
  <c r="H447" i="1"/>
  <c r="H445" i="1" s="1"/>
  <c r="G447" i="1"/>
  <c r="I446" i="1"/>
  <c r="H446" i="1"/>
  <c r="G446" i="1"/>
  <c r="F446" i="1"/>
  <c r="F445" i="1" s="1"/>
  <c r="C446" i="1"/>
  <c r="C447" i="1" s="1"/>
  <c r="C448" i="1" s="1"/>
  <c r="C449" i="1" s="1"/>
  <c r="J445" i="1"/>
  <c r="G445" i="1"/>
  <c r="E445" i="1"/>
  <c r="D445" i="1"/>
  <c r="C445" i="1"/>
  <c r="I442" i="1"/>
  <c r="I441" i="1"/>
  <c r="H441" i="1"/>
  <c r="I440" i="1"/>
  <c r="H440" i="1"/>
  <c r="G440" i="1"/>
  <c r="G438" i="1" s="1"/>
  <c r="I439" i="1"/>
  <c r="I438" i="1" s="1"/>
  <c r="H439" i="1"/>
  <c r="G439" i="1"/>
  <c r="F439" i="1"/>
  <c r="F438" i="1" s="1"/>
  <c r="J438" i="1"/>
  <c r="H438" i="1"/>
  <c r="E438" i="1"/>
  <c r="D438" i="1"/>
  <c r="C438" i="1"/>
  <c r="C439" i="1" s="1"/>
  <c r="C440" i="1" s="1"/>
  <c r="C441" i="1" s="1"/>
  <c r="C442" i="1" s="1"/>
  <c r="I433" i="1"/>
  <c r="I432" i="1"/>
  <c r="H432" i="1"/>
  <c r="I431" i="1"/>
  <c r="H431" i="1"/>
  <c r="G431" i="1"/>
  <c r="I430" i="1"/>
  <c r="I429" i="1" s="1"/>
  <c r="H430" i="1"/>
  <c r="G430" i="1"/>
  <c r="G429" i="1" s="1"/>
  <c r="F430" i="1"/>
  <c r="F429" i="1" s="1"/>
  <c r="J429" i="1"/>
  <c r="H429" i="1"/>
  <c r="E429" i="1"/>
  <c r="D429" i="1"/>
  <c r="C429" i="1"/>
  <c r="C430" i="1" s="1"/>
  <c r="C431" i="1" s="1"/>
  <c r="C432" i="1" s="1"/>
  <c r="C433" i="1" s="1"/>
  <c r="I424" i="1"/>
  <c r="I423" i="1"/>
  <c r="H423" i="1"/>
  <c r="I422" i="1"/>
  <c r="H422" i="1"/>
  <c r="G422" i="1"/>
  <c r="I421" i="1"/>
  <c r="I420" i="1" s="1"/>
  <c r="H421" i="1"/>
  <c r="H420" i="1" s="1"/>
  <c r="G421" i="1"/>
  <c r="F421" i="1"/>
  <c r="F420" i="1" s="1"/>
  <c r="J420" i="1"/>
  <c r="G420" i="1"/>
  <c r="E420" i="1"/>
  <c r="D420" i="1"/>
  <c r="C420" i="1"/>
  <c r="C421" i="1" s="1"/>
  <c r="C422" i="1" s="1"/>
  <c r="C423" i="1" s="1"/>
  <c r="C424" i="1" s="1"/>
  <c r="I384" i="1"/>
  <c r="I383" i="1"/>
  <c r="H383" i="1"/>
  <c r="I382" i="1"/>
  <c r="H382" i="1"/>
  <c r="G382" i="1"/>
  <c r="C382" i="1"/>
  <c r="C383" i="1" s="1"/>
  <c r="C384" i="1" s="1"/>
  <c r="I381" i="1"/>
  <c r="I380" i="1" s="1"/>
  <c r="H381" i="1"/>
  <c r="G381" i="1"/>
  <c r="F381" i="1"/>
  <c r="F380" i="1" s="1"/>
  <c r="C381" i="1"/>
  <c r="J380" i="1"/>
  <c r="H380" i="1"/>
  <c r="G380" i="1"/>
  <c r="E380" i="1"/>
  <c r="D380" i="1"/>
  <c r="C380" i="1"/>
  <c r="I373" i="1"/>
  <c r="I372" i="1"/>
  <c r="H372" i="1"/>
  <c r="I371" i="1"/>
  <c r="H371" i="1"/>
  <c r="H369" i="1" s="1"/>
  <c r="G371" i="1"/>
  <c r="I370" i="1"/>
  <c r="I369" i="1" s="1"/>
  <c r="H370" i="1"/>
  <c r="G370" i="1"/>
  <c r="G369" i="1" s="1"/>
  <c r="F370" i="1"/>
  <c r="F369" i="1" s="1"/>
  <c r="C370" i="1"/>
  <c r="C371" i="1" s="1"/>
  <c r="C372" i="1" s="1"/>
  <c r="C373" i="1" s="1"/>
  <c r="J369" i="1"/>
  <c r="E369" i="1"/>
  <c r="D369" i="1"/>
  <c r="C369" i="1"/>
  <c r="I366" i="1"/>
  <c r="I365" i="1"/>
  <c r="H365" i="1"/>
  <c r="I364" i="1"/>
  <c r="H364" i="1"/>
  <c r="G364" i="1"/>
  <c r="I363" i="1"/>
  <c r="I362" i="1" s="1"/>
  <c r="H363" i="1"/>
  <c r="H362" i="1" s="1"/>
  <c r="G363" i="1"/>
  <c r="F363" i="1"/>
  <c r="F362" i="1" s="1"/>
  <c r="C363" i="1"/>
  <c r="C364" i="1" s="1"/>
  <c r="C365" i="1" s="1"/>
  <c r="C366" i="1" s="1"/>
  <c r="J362" i="1"/>
  <c r="G362" i="1"/>
  <c r="E362" i="1"/>
  <c r="D362" i="1"/>
  <c r="C362" i="1"/>
  <c r="I357" i="1"/>
  <c r="I356" i="1"/>
  <c r="H356" i="1"/>
  <c r="I355" i="1"/>
  <c r="H355" i="1"/>
  <c r="G355" i="1"/>
  <c r="G353" i="1" s="1"/>
  <c r="I354" i="1"/>
  <c r="I353" i="1" s="1"/>
  <c r="H354" i="1"/>
  <c r="H353" i="1" s="1"/>
  <c r="G354" i="1"/>
  <c r="F354" i="1"/>
  <c r="F353" i="1" s="1"/>
  <c r="J353" i="1"/>
  <c r="E353" i="1"/>
  <c r="D353" i="1"/>
  <c r="C353" i="1"/>
  <c r="C354" i="1" s="1"/>
  <c r="C355" i="1" s="1"/>
  <c r="C356" i="1" s="1"/>
  <c r="C357" i="1" s="1"/>
  <c r="I350" i="1"/>
  <c r="I349" i="1"/>
  <c r="H349" i="1"/>
  <c r="I348" i="1"/>
  <c r="H348" i="1"/>
  <c r="G348" i="1"/>
  <c r="I347" i="1"/>
  <c r="I346" i="1" s="1"/>
  <c r="H347" i="1"/>
  <c r="G347" i="1"/>
  <c r="F347" i="1"/>
  <c r="F346" i="1" s="1"/>
  <c r="J346" i="1"/>
  <c r="H346" i="1"/>
  <c r="G346" i="1"/>
  <c r="E346" i="1"/>
  <c r="D346" i="1"/>
  <c r="C346" i="1"/>
  <c r="C347" i="1" s="1"/>
  <c r="C348" i="1" s="1"/>
  <c r="C349" i="1" s="1"/>
  <c r="C350" i="1" s="1"/>
  <c r="I341" i="1"/>
  <c r="I340" i="1"/>
  <c r="H340" i="1"/>
  <c r="I339" i="1"/>
  <c r="H339" i="1"/>
  <c r="G339" i="1"/>
  <c r="I338" i="1"/>
  <c r="I337" i="1" s="1"/>
  <c r="H338" i="1"/>
  <c r="G338" i="1"/>
  <c r="F338" i="1"/>
  <c r="F337" i="1" s="1"/>
  <c r="J337" i="1"/>
  <c r="H337" i="1"/>
  <c r="G337" i="1"/>
  <c r="E337" i="1"/>
  <c r="D337" i="1"/>
  <c r="C337" i="1"/>
  <c r="C338" i="1" s="1"/>
  <c r="C339" i="1" s="1"/>
  <c r="C340" i="1" s="1"/>
  <c r="C341" i="1" s="1"/>
  <c r="I309" i="1"/>
  <c r="I308" i="1"/>
  <c r="H308" i="1"/>
  <c r="I307" i="1"/>
  <c r="H307" i="1"/>
  <c r="G307" i="1"/>
  <c r="I306" i="1"/>
  <c r="I305" i="1" s="1"/>
  <c r="H306" i="1"/>
  <c r="G306" i="1"/>
  <c r="F306" i="1"/>
  <c r="F305" i="1" s="1"/>
  <c r="C306" i="1"/>
  <c r="C307" i="1" s="1"/>
  <c r="C308" i="1" s="1"/>
  <c r="C309" i="1" s="1"/>
  <c r="J305" i="1"/>
  <c r="H305" i="1"/>
  <c r="G305" i="1"/>
  <c r="E305" i="1"/>
  <c r="D305" i="1"/>
  <c r="C305" i="1"/>
  <c r="I302" i="1"/>
  <c r="I301" i="1"/>
  <c r="H301" i="1"/>
  <c r="I300" i="1"/>
  <c r="H300" i="1"/>
  <c r="G300" i="1"/>
  <c r="I299" i="1"/>
  <c r="I298" i="1" s="1"/>
  <c r="H299" i="1"/>
  <c r="H298" i="1" s="1"/>
  <c r="G299" i="1"/>
  <c r="F299" i="1"/>
  <c r="F298" i="1" s="1"/>
  <c r="J298" i="1"/>
  <c r="G298" i="1"/>
  <c r="E298" i="1"/>
  <c r="D298" i="1"/>
  <c r="C298" i="1"/>
  <c r="C299" i="1" s="1"/>
  <c r="C300" i="1" s="1"/>
  <c r="C301" i="1" s="1"/>
  <c r="C302" i="1" s="1"/>
  <c r="I293" i="1"/>
  <c r="I292" i="1"/>
  <c r="H292" i="1"/>
  <c r="I291" i="1"/>
  <c r="H291" i="1"/>
  <c r="G291" i="1"/>
  <c r="I290" i="1"/>
  <c r="I289" i="1" s="1"/>
  <c r="H290" i="1"/>
  <c r="H289" i="1" s="1"/>
  <c r="G290" i="1"/>
  <c r="F290" i="1"/>
  <c r="F289" i="1" s="1"/>
  <c r="J289" i="1"/>
  <c r="G289" i="1"/>
  <c r="E289" i="1"/>
  <c r="D289" i="1"/>
  <c r="C289" i="1"/>
  <c r="C290" i="1" s="1"/>
  <c r="C291" i="1" s="1"/>
  <c r="C292" i="1" s="1"/>
  <c r="C293" i="1" s="1"/>
  <c r="I280" i="1"/>
  <c r="I279" i="1"/>
  <c r="H279" i="1"/>
  <c r="I278" i="1"/>
  <c r="H278" i="1"/>
  <c r="G278" i="1"/>
  <c r="I277" i="1"/>
  <c r="I276" i="1" s="1"/>
  <c r="H277" i="1"/>
  <c r="H276" i="1" s="1"/>
  <c r="G277" i="1"/>
  <c r="F277" i="1"/>
  <c r="F276" i="1" s="1"/>
  <c r="J276" i="1"/>
  <c r="G276" i="1"/>
  <c r="E276" i="1"/>
  <c r="D276" i="1"/>
  <c r="C276" i="1"/>
  <c r="C277" i="1" s="1"/>
  <c r="C278" i="1" s="1"/>
  <c r="C279" i="1" s="1"/>
  <c r="C280" i="1" s="1"/>
  <c r="I269" i="1"/>
  <c r="I268" i="1"/>
  <c r="H268" i="1"/>
  <c r="I267" i="1"/>
  <c r="H267" i="1"/>
  <c r="H265" i="1" s="1"/>
  <c r="G267" i="1"/>
  <c r="I266" i="1"/>
  <c r="I265" i="1" s="1"/>
  <c r="H266" i="1"/>
  <c r="G266" i="1"/>
  <c r="F266" i="1"/>
  <c r="F265" i="1" s="1"/>
  <c r="C266" i="1"/>
  <c r="C267" i="1" s="1"/>
  <c r="C268" i="1" s="1"/>
  <c r="C269" i="1" s="1"/>
  <c r="J265" i="1"/>
  <c r="G265" i="1"/>
  <c r="E265" i="1"/>
  <c r="D265" i="1"/>
  <c r="C265" i="1"/>
  <c r="I262" i="1"/>
  <c r="I261" i="1"/>
  <c r="H261" i="1"/>
  <c r="I260" i="1"/>
  <c r="H260" i="1"/>
  <c r="G260" i="1"/>
  <c r="I259" i="1"/>
  <c r="I258" i="1" s="1"/>
  <c r="H259" i="1"/>
  <c r="G259" i="1"/>
  <c r="F259" i="1"/>
  <c r="F258" i="1" s="1"/>
  <c r="J258" i="1"/>
  <c r="H258" i="1"/>
  <c r="G258" i="1"/>
  <c r="E258" i="1"/>
  <c r="D258" i="1"/>
  <c r="C258" i="1"/>
  <c r="C259" i="1" s="1"/>
  <c r="C260" i="1" s="1"/>
  <c r="C261" i="1" s="1"/>
  <c r="C262" i="1" s="1"/>
  <c r="I222" i="1"/>
  <c r="I221" i="1"/>
  <c r="H221" i="1"/>
  <c r="I220" i="1"/>
  <c r="H220" i="1"/>
  <c r="G220" i="1"/>
  <c r="G218" i="1" s="1"/>
  <c r="I219" i="1"/>
  <c r="I218" i="1" s="1"/>
  <c r="H219" i="1"/>
  <c r="H218" i="1" s="1"/>
  <c r="G219" i="1"/>
  <c r="F219" i="1"/>
  <c r="F218" i="1" s="1"/>
  <c r="J218" i="1"/>
  <c r="E218" i="1"/>
  <c r="D218" i="1"/>
  <c r="C218" i="1"/>
  <c r="C219" i="1" s="1"/>
  <c r="C220" i="1" s="1"/>
  <c r="C221" i="1" s="1"/>
  <c r="C222" i="1" s="1"/>
  <c r="I207" i="1"/>
  <c r="I206" i="1"/>
  <c r="H206" i="1"/>
  <c r="I205" i="1"/>
  <c r="H205" i="1"/>
  <c r="G205" i="1"/>
  <c r="I204" i="1"/>
  <c r="I203" i="1" s="1"/>
  <c r="H204" i="1"/>
  <c r="H203" i="1" s="1"/>
  <c r="G204" i="1"/>
  <c r="F204" i="1"/>
  <c r="F203" i="1" s="1"/>
  <c r="C204" i="1"/>
  <c r="C205" i="1" s="1"/>
  <c r="C206" i="1" s="1"/>
  <c r="C207" i="1" s="1"/>
  <c r="J203" i="1"/>
  <c r="G203" i="1"/>
  <c r="E203" i="1"/>
  <c r="D203" i="1"/>
  <c r="C203" i="1"/>
  <c r="I192" i="1"/>
  <c r="I188" i="1" s="1"/>
  <c r="I191" i="1"/>
  <c r="H191" i="1"/>
  <c r="I190" i="1"/>
  <c r="H190" i="1"/>
  <c r="G190" i="1"/>
  <c r="I189" i="1"/>
  <c r="H189" i="1"/>
  <c r="H188" i="1" s="1"/>
  <c r="G189" i="1"/>
  <c r="F189" i="1"/>
  <c r="F188" i="1" s="1"/>
  <c r="C189" i="1"/>
  <c r="C190" i="1" s="1"/>
  <c r="C191" i="1" s="1"/>
  <c r="C192" i="1" s="1"/>
  <c r="J188" i="1"/>
  <c r="G188" i="1"/>
  <c r="E188" i="1"/>
  <c r="D188" i="1"/>
  <c r="C188" i="1"/>
  <c r="I183" i="1"/>
  <c r="I182" i="1"/>
  <c r="H182" i="1"/>
  <c r="I181" i="1"/>
  <c r="H181" i="1"/>
  <c r="G181" i="1"/>
  <c r="G179" i="1" s="1"/>
  <c r="I180" i="1"/>
  <c r="I179" i="1" s="1"/>
  <c r="H180" i="1"/>
  <c r="H179" i="1" s="1"/>
  <c r="G180" i="1"/>
  <c r="F180" i="1"/>
  <c r="F179" i="1" s="1"/>
  <c r="J179" i="1"/>
  <c r="E179" i="1"/>
  <c r="D179" i="1"/>
  <c r="C179" i="1"/>
  <c r="C180" i="1" s="1"/>
  <c r="C181" i="1" s="1"/>
  <c r="C182" i="1" s="1"/>
  <c r="C183" i="1" s="1"/>
  <c r="I172" i="1"/>
  <c r="I171" i="1"/>
  <c r="H171" i="1"/>
  <c r="I170" i="1"/>
  <c r="H170" i="1"/>
  <c r="G170" i="1"/>
  <c r="I169" i="1"/>
  <c r="I168" i="1" s="1"/>
  <c r="H169" i="1"/>
  <c r="G169" i="1"/>
  <c r="G168" i="1" s="1"/>
  <c r="F169" i="1"/>
  <c r="F168" i="1" s="1"/>
  <c r="J168" i="1"/>
  <c r="H168" i="1"/>
  <c r="E168" i="1"/>
  <c r="D168" i="1"/>
  <c r="C168" i="1"/>
  <c r="C169" i="1" s="1"/>
  <c r="C170" i="1" s="1"/>
  <c r="C171" i="1" s="1"/>
  <c r="C172" i="1" s="1"/>
  <c r="I165" i="1"/>
  <c r="I164" i="1"/>
  <c r="H164" i="1"/>
  <c r="I163" i="1"/>
  <c r="H163" i="1"/>
  <c r="G163" i="1"/>
  <c r="I162" i="1"/>
  <c r="I161" i="1" s="1"/>
  <c r="H162" i="1"/>
  <c r="H161" i="1" s="1"/>
  <c r="G162" i="1"/>
  <c r="F162" i="1"/>
  <c r="F161" i="1" s="1"/>
  <c r="J161" i="1"/>
  <c r="G161" i="1"/>
  <c r="E161" i="1"/>
  <c r="D161" i="1"/>
  <c r="C161" i="1"/>
  <c r="C162" i="1" s="1"/>
  <c r="C163" i="1" s="1"/>
  <c r="C164" i="1" s="1"/>
  <c r="C165" i="1" s="1"/>
  <c r="I133" i="1"/>
  <c r="I132" i="1"/>
  <c r="I129" i="1" s="1"/>
  <c r="H132" i="1"/>
  <c r="I131" i="1"/>
  <c r="H131" i="1"/>
  <c r="G131" i="1"/>
  <c r="I130" i="1"/>
  <c r="H130" i="1"/>
  <c r="H129" i="1" s="1"/>
  <c r="G130" i="1"/>
  <c r="F130" i="1"/>
  <c r="F129" i="1" s="1"/>
  <c r="C130" i="1"/>
  <c r="C131" i="1" s="1"/>
  <c r="C132" i="1" s="1"/>
  <c r="C133" i="1" s="1"/>
  <c r="J129" i="1"/>
  <c r="G129" i="1"/>
  <c r="E129" i="1"/>
  <c r="D129" i="1"/>
  <c r="C129" i="1"/>
  <c r="I126" i="1"/>
  <c r="I122" i="1" s="1"/>
  <c r="I125" i="1"/>
  <c r="H125" i="1"/>
  <c r="I124" i="1"/>
  <c r="H124" i="1"/>
  <c r="G124" i="1"/>
  <c r="G122" i="1" s="1"/>
  <c r="I123" i="1"/>
  <c r="H123" i="1"/>
  <c r="H122" i="1" s="1"/>
  <c r="G123" i="1"/>
  <c r="F123" i="1"/>
  <c r="F122" i="1" s="1"/>
  <c r="J122" i="1"/>
  <c r="E122" i="1"/>
  <c r="D122" i="1"/>
  <c r="C122" i="1"/>
  <c r="C123" i="1" s="1"/>
  <c r="C124" i="1" s="1"/>
  <c r="C125" i="1" s="1"/>
  <c r="C126" i="1" s="1"/>
  <c r="I119" i="1"/>
  <c r="I118" i="1"/>
  <c r="H118" i="1"/>
  <c r="I117" i="1"/>
  <c r="H117" i="1"/>
  <c r="G117" i="1"/>
  <c r="I116" i="1"/>
  <c r="I115" i="1" s="1"/>
  <c r="H116" i="1"/>
  <c r="G116" i="1"/>
  <c r="F116" i="1"/>
  <c r="F115" i="1" s="1"/>
  <c r="J115" i="1"/>
  <c r="H115" i="1"/>
  <c r="G115" i="1"/>
  <c r="E115" i="1"/>
  <c r="D115" i="1"/>
  <c r="C115" i="1"/>
  <c r="C116" i="1" s="1"/>
  <c r="C117" i="1" s="1"/>
  <c r="C118" i="1" s="1"/>
  <c r="C119" i="1" s="1"/>
  <c r="I112" i="1"/>
  <c r="I111" i="1"/>
  <c r="H111" i="1"/>
  <c r="I110" i="1"/>
  <c r="H110" i="1"/>
  <c r="G110" i="1"/>
  <c r="G108" i="1" s="1"/>
  <c r="I109" i="1"/>
  <c r="I108" i="1" s="1"/>
  <c r="H109" i="1"/>
  <c r="H108" i="1" s="1"/>
  <c r="G109" i="1"/>
  <c r="F109" i="1"/>
  <c r="F108" i="1" s="1"/>
  <c r="J108" i="1"/>
  <c r="E108" i="1"/>
  <c r="D108" i="1"/>
  <c r="C108" i="1"/>
  <c r="C109" i="1" s="1"/>
  <c r="C110" i="1" s="1"/>
  <c r="C111" i="1" s="1"/>
  <c r="C112" i="1" s="1"/>
  <c r="I105" i="1"/>
  <c r="I104" i="1"/>
  <c r="H104" i="1"/>
  <c r="I103" i="1"/>
  <c r="H103" i="1"/>
  <c r="G103" i="1"/>
  <c r="G101" i="1" s="1"/>
  <c r="I102" i="1"/>
  <c r="I101" i="1" s="1"/>
  <c r="H102" i="1"/>
  <c r="H101" i="1" s="1"/>
  <c r="G102" i="1"/>
  <c r="F102" i="1"/>
  <c r="F101" i="1" s="1"/>
  <c r="J101" i="1"/>
  <c r="E101" i="1"/>
  <c r="D101" i="1"/>
  <c r="C101" i="1"/>
  <c r="C102" i="1" s="1"/>
  <c r="C103" i="1" s="1"/>
  <c r="C104" i="1" s="1"/>
  <c r="C105" i="1" s="1"/>
  <c r="I98" i="1"/>
  <c r="I97" i="1"/>
  <c r="H97" i="1"/>
  <c r="I96" i="1"/>
  <c r="H96" i="1"/>
  <c r="G96" i="1"/>
  <c r="I95" i="1"/>
  <c r="I94" i="1" s="1"/>
  <c r="H95" i="1"/>
  <c r="H94" i="1" s="1"/>
  <c r="G95" i="1"/>
  <c r="F95" i="1"/>
  <c r="F94" i="1" s="1"/>
  <c r="J94" i="1"/>
  <c r="G94" i="1"/>
  <c r="E94" i="1"/>
  <c r="D94" i="1"/>
  <c r="C94" i="1"/>
  <c r="C95" i="1" s="1"/>
  <c r="C96" i="1" s="1"/>
  <c r="C97" i="1" s="1"/>
  <c r="C98" i="1" s="1"/>
  <c r="I64" i="1"/>
  <c r="I63" i="1"/>
  <c r="H63" i="1"/>
  <c r="I62" i="1"/>
  <c r="H62" i="1"/>
  <c r="G62" i="1"/>
  <c r="I61" i="1"/>
  <c r="I60" i="1" s="1"/>
  <c r="H61" i="1"/>
  <c r="G61" i="1"/>
  <c r="G60" i="1" s="1"/>
  <c r="F61" i="1"/>
  <c r="F60" i="1" s="1"/>
  <c r="J60" i="1"/>
  <c r="H60" i="1"/>
  <c r="E60" i="1"/>
  <c r="D60" i="1"/>
  <c r="C60" i="1"/>
  <c r="C61" i="1" s="1"/>
  <c r="C62" i="1" s="1"/>
  <c r="C63" i="1" s="1"/>
  <c r="C64" i="1" s="1"/>
  <c r="I49" i="1"/>
  <c r="I48" i="1"/>
  <c r="H48" i="1"/>
  <c r="I47" i="1"/>
  <c r="H47" i="1"/>
  <c r="G47" i="1"/>
  <c r="G45" i="1" s="1"/>
  <c r="I46" i="1"/>
  <c r="I45" i="1" s="1"/>
  <c r="H46" i="1"/>
  <c r="H45" i="1" s="1"/>
  <c r="G46" i="1"/>
  <c r="F46" i="1"/>
  <c r="F45" i="1" s="1"/>
  <c r="J45" i="1"/>
  <c r="E45" i="1"/>
  <c r="D45" i="1"/>
  <c r="C45" i="1"/>
  <c r="C46" i="1" s="1"/>
  <c r="C47" i="1" s="1"/>
  <c r="C48" i="1" s="1"/>
  <c r="C49" i="1" s="1"/>
  <c r="I40" i="1"/>
  <c r="I39" i="1"/>
  <c r="H39" i="1"/>
  <c r="I38" i="1"/>
  <c r="H38" i="1"/>
  <c r="G38" i="1"/>
  <c r="I37" i="1"/>
  <c r="H37" i="1"/>
  <c r="H36" i="1" s="1"/>
  <c r="G37" i="1"/>
  <c r="F37" i="1"/>
  <c r="F36" i="1" s="1"/>
  <c r="J36" i="1"/>
  <c r="E36" i="1"/>
  <c r="D36" i="1"/>
  <c r="C36" i="1"/>
  <c r="C37" i="1" s="1"/>
  <c r="C38" i="1" s="1"/>
  <c r="C39" i="1" s="1"/>
  <c r="C40" i="1" s="1"/>
  <c r="B445" i="1" a="1"/>
  <c r="B438" i="1" a="1"/>
  <c r="B429" i="1" a="1"/>
  <c r="B420" i="1" a="1"/>
  <c r="B380" i="1" a="1"/>
  <c r="B369" i="1" a="1"/>
  <c r="B362" i="1" a="1"/>
  <c r="B353" i="1" a="1"/>
  <c r="B346" i="1" a="1"/>
  <c r="B337" i="1" a="1"/>
  <c r="B305" i="1" a="1"/>
  <c r="B298" i="1" a="1"/>
  <c r="B289" i="1" a="1"/>
  <c r="B276" i="1" a="1"/>
  <c r="B265" i="1" a="1"/>
  <c r="B258" i="1" a="1"/>
  <c r="B218" i="1" a="1"/>
  <c r="B203" i="1" a="1"/>
  <c r="B188" i="1" a="1"/>
  <c r="B179" i="1" a="1"/>
  <c r="B168" i="1" a="1"/>
  <c r="B161" i="1" a="1"/>
  <c r="B129" i="1" a="1"/>
  <c r="B122" i="1" a="1"/>
  <c r="B115" i="1" a="1"/>
  <c r="B108" i="1" a="1"/>
  <c r="B101" i="1" a="1"/>
  <c r="B94" i="1" a="1"/>
  <c r="B60" i="1" a="1"/>
  <c r="B45" i="1" a="1"/>
  <c r="B36" i="1" a="1"/>
  <c r="B445" i="1" l="1"/>
  <c r="B446" i="1" s="1"/>
  <c r="B447" i="1" s="1"/>
  <c r="B448" i="1" s="1"/>
  <c r="B449" i="1" s="1"/>
  <c r="B438" i="1"/>
  <c r="B439" i="1" s="1"/>
  <c r="B440" i="1" s="1"/>
  <c r="B441" i="1" s="1"/>
  <c r="B442" i="1" s="1"/>
  <c r="B429" i="1"/>
  <c r="B430" i="1" s="1"/>
  <c r="B431" i="1" s="1"/>
  <c r="B432" i="1" s="1"/>
  <c r="B433" i="1" s="1"/>
  <c r="B420" i="1"/>
  <c r="B421" i="1" s="1"/>
  <c r="B422" i="1" s="1"/>
  <c r="B423" i="1" s="1"/>
  <c r="B424" i="1" s="1"/>
  <c r="B380" i="1"/>
  <c r="B381" i="1" s="1"/>
  <c r="B382" i="1" s="1"/>
  <c r="B383" i="1" s="1"/>
  <c r="B384" i="1" s="1"/>
  <c r="B369" i="1"/>
  <c r="B370" i="1" s="1"/>
  <c r="B371" i="1" s="1"/>
  <c r="B372" i="1" s="1"/>
  <c r="B373" i="1" s="1"/>
  <c r="B362" i="1"/>
  <c r="B363" i="1" s="1"/>
  <c r="B364" i="1" s="1"/>
  <c r="B365" i="1" s="1"/>
  <c r="B366" i="1" s="1"/>
  <c r="B353" i="1"/>
  <c r="B354" i="1" s="1"/>
  <c r="B355" i="1" s="1"/>
  <c r="B356" i="1" s="1"/>
  <c r="B357" i="1" s="1"/>
  <c r="B346" i="1"/>
  <c r="B347" i="1" s="1"/>
  <c r="B348" i="1" s="1"/>
  <c r="B349" i="1" s="1"/>
  <c r="B350" i="1" s="1"/>
  <c r="B337" i="1"/>
  <c r="B338" i="1" s="1"/>
  <c r="B339" i="1" s="1"/>
  <c r="B340" i="1" s="1"/>
  <c r="B341" i="1" s="1"/>
  <c r="B305" i="1"/>
  <c r="B306" i="1" s="1"/>
  <c r="B307" i="1" s="1"/>
  <c r="B308" i="1" s="1"/>
  <c r="B309" i="1" s="1"/>
  <c r="B298" i="1"/>
  <c r="B299" i="1" s="1"/>
  <c r="B300" i="1" s="1"/>
  <c r="B301" i="1" s="1"/>
  <c r="B302" i="1" s="1"/>
  <c r="B289" i="1"/>
  <c r="B290" i="1" s="1"/>
  <c r="B291" i="1" s="1"/>
  <c r="B292" i="1" s="1"/>
  <c r="B293" i="1" s="1"/>
  <c r="B276" i="1"/>
  <c r="B277" i="1" s="1"/>
  <c r="B278" i="1" s="1"/>
  <c r="B279" i="1" s="1"/>
  <c r="B280" i="1" s="1"/>
  <c r="B265" i="1"/>
  <c r="B266" i="1" s="1"/>
  <c r="B267" i="1" s="1"/>
  <c r="B268" i="1" s="1"/>
  <c r="B269" i="1" s="1"/>
  <c r="B258" i="1"/>
  <c r="B259" i="1" s="1"/>
  <c r="B260" i="1" s="1"/>
  <c r="B261" i="1" s="1"/>
  <c r="B262" i="1" s="1"/>
  <c r="B218" i="1"/>
  <c r="B219" i="1" s="1"/>
  <c r="B220" i="1" s="1"/>
  <c r="B221" i="1" s="1"/>
  <c r="B222" i="1" s="1"/>
  <c r="B203" i="1"/>
  <c r="B204" i="1" s="1"/>
  <c r="B205" i="1" s="1"/>
  <c r="B206" i="1" s="1"/>
  <c r="B207" i="1" s="1"/>
  <c r="B188" i="1"/>
  <c r="B189" i="1" s="1"/>
  <c r="B190" i="1" s="1"/>
  <c r="B191" i="1" s="1"/>
  <c r="B192" i="1" s="1"/>
  <c r="B179" i="1"/>
  <c r="B180" i="1" s="1"/>
  <c r="B181" i="1" s="1"/>
  <c r="B182" i="1" s="1"/>
  <c r="B183" i="1" s="1"/>
  <c r="B168" i="1"/>
  <c r="B169" i="1" s="1"/>
  <c r="B170" i="1" s="1"/>
  <c r="B171" i="1" s="1"/>
  <c r="B172" i="1" s="1"/>
  <c r="B161" i="1"/>
  <c r="B162" i="1" s="1"/>
  <c r="B163" i="1" s="1"/>
  <c r="B164" i="1" s="1"/>
  <c r="B165" i="1" s="1"/>
  <c r="B129" i="1"/>
  <c r="B130" i="1" s="1"/>
  <c r="B131" i="1" s="1"/>
  <c r="B132" i="1" s="1"/>
  <c r="B133" i="1" s="1"/>
  <c r="B122" i="1"/>
  <c r="B123" i="1" s="1"/>
  <c r="B124" i="1" s="1"/>
  <c r="B125" i="1" s="1"/>
  <c r="B126" i="1" s="1"/>
  <c r="B115" i="1"/>
  <c r="B116" i="1" s="1"/>
  <c r="B117" i="1" s="1"/>
  <c r="B118" i="1" s="1"/>
  <c r="B119" i="1" s="1"/>
  <c r="B108" i="1"/>
  <c r="B109" i="1" s="1"/>
  <c r="B110" i="1" s="1"/>
  <c r="B111" i="1" s="1"/>
  <c r="B112" i="1" s="1"/>
  <c r="B101" i="1"/>
  <c r="B102" i="1" s="1"/>
  <c r="B103" i="1" s="1"/>
  <c r="B104" i="1" s="1"/>
  <c r="B105" i="1" s="1"/>
  <c r="B94" i="1"/>
  <c r="B95" i="1" s="1"/>
  <c r="B96" i="1" s="1"/>
  <c r="B97" i="1" s="1"/>
  <c r="B98" i="1" s="1"/>
  <c r="B60" i="1"/>
  <c r="B61" i="1" s="1"/>
  <c r="B62" i="1" s="1"/>
  <c r="B63" i="1" s="1"/>
  <c r="B64" i="1" s="1"/>
  <c r="B45" i="1"/>
  <c r="B46" i="1" s="1"/>
  <c r="B47" i="1" s="1"/>
  <c r="B48" i="1" s="1"/>
  <c r="B49" i="1" s="1"/>
  <c r="G36" i="1"/>
  <c r="I36" i="1"/>
  <c r="B36" i="1"/>
  <c r="B37" i="1" s="1"/>
  <c r="B38" i="1" s="1"/>
  <c r="B39" i="1" s="1"/>
  <c r="B40" i="1" s="1"/>
  <c r="A1" i="2" a="1"/>
  <c r="C4" i="2" l="1"/>
  <c r="C12" i="2"/>
  <c r="C20" i="2"/>
  <c r="C28" i="2"/>
  <c r="B6" i="2"/>
  <c r="B14" i="2"/>
  <c r="B22" i="2"/>
  <c r="B30" i="2"/>
  <c r="B11" i="2"/>
  <c r="B27" i="2"/>
  <c r="C26" i="2"/>
  <c r="C11" i="2"/>
  <c r="C5" i="2"/>
  <c r="C13" i="2"/>
  <c r="C21" i="2"/>
  <c r="C29" i="2"/>
  <c r="B7" i="2"/>
  <c r="B15" i="2"/>
  <c r="B23" i="2"/>
  <c r="B31" i="2"/>
  <c r="C25" i="2"/>
  <c r="C10" i="2"/>
  <c r="C27" i="2"/>
  <c r="B29" i="2"/>
  <c r="C6" i="2"/>
  <c r="C14" i="2"/>
  <c r="C22" i="2"/>
  <c r="C30" i="2"/>
  <c r="B8" i="2"/>
  <c r="B16" i="2"/>
  <c r="B24" i="2"/>
  <c r="B32" i="2"/>
  <c r="C3" i="2"/>
  <c r="B12" i="2"/>
  <c r="B13" i="2"/>
  <c r="C7" i="2"/>
  <c r="C15" i="2"/>
  <c r="C23" i="2"/>
  <c r="C31" i="2"/>
  <c r="B9" i="2"/>
  <c r="B17" i="2"/>
  <c r="B25" i="2"/>
  <c r="B3" i="2"/>
  <c r="C9" i="2"/>
  <c r="C18" i="2"/>
  <c r="B20" i="2"/>
  <c r="B5" i="2"/>
  <c r="B21" i="2"/>
  <c r="C8" i="2"/>
  <c r="C16" i="2"/>
  <c r="C24" i="2"/>
  <c r="C32" i="2"/>
  <c r="B10" i="2"/>
  <c r="B18" i="2"/>
  <c r="B26" i="2"/>
  <c r="C17" i="2"/>
  <c r="B19" i="2"/>
  <c r="B4" i="2"/>
  <c r="B28" i="2"/>
  <c r="C19" i="2"/>
  <c r="D11" i="2"/>
  <c r="D19" i="2"/>
  <c r="D27" i="2"/>
  <c r="D4" i="2"/>
  <c r="D12" i="2"/>
  <c r="D20" i="2"/>
  <c r="D28" i="2"/>
  <c r="D5" i="2"/>
  <c r="D13" i="2"/>
  <c r="D21" i="2"/>
  <c r="D29" i="2"/>
  <c r="D16" i="2"/>
  <c r="D6" i="2"/>
  <c r="D14" i="2"/>
  <c r="D22" i="2"/>
  <c r="D30" i="2"/>
  <c r="D32" i="2"/>
  <c r="D7" i="2"/>
  <c r="D15" i="2"/>
  <c r="D23" i="2"/>
  <c r="D31" i="2"/>
  <c r="D3" i="2"/>
  <c r="D8" i="2"/>
  <c r="D24" i="2"/>
  <c r="D2" i="2"/>
  <c r="D9" i="2"/>
  <c r="D17" i="2"/>
  <c r="D25" i="2"/>
  <c r="D10" i="2"/>
  <c r="D18" i="2"/>
  <c r="D26" i="2"/>
  <c r="E31" i="2"/>
  <c r="E32" i="2"/>
  <c r="F31" i="2"/>
  <c r="F32" i="2"/>
  <c r="G31" i="2"/>
  <c r="G32" i="2"/>
  <c r="H31" i="2"/>
  <c r="H32" i="2"/>
  <c r="I31" i="2"/>
  <c r="I32" i="2"/>
  <c r="J31" i="2"/>
  <c r="J32" i="2"/>
  <c r="K31" i="2"/>
  <c r="K32" i="2"/>
  <c r="A1" i="2"/>
  <c r="K9" i="2"/>
  <c r="F26" i="2"/>
  <c r="I7" i="2"/>
  <c r="K15" i="2"/>
  <c r="F25" i="2"/>
  <c r="I6" i="2"/>
  <c r="K14" i="2"/>
  <c r="I29" i="2"/>
  <c r="E4" i="2"/>
  <c r="I12" i="2"/>
  <c r="K20" i="2"/>
  <c r="F30" i="2"/>
  <c r="H3" i="2"/>
  <c r="I11" i="2"/>
  <c r="K19" i="2"/>
  <c r="H17" i="2"/>
  <c r="K13" i="2"/>
  <c r="F21" i="2"/>
  <c r="H30" i="2"/>
  <c r="K10" i="2"/>
  <c r="F12" i="2"/>
  <c r="H21" i="2"/>
  <c r="J29" i="2"/>
  <c r="G2" i="2"/>
  <c r="F11" i="2"/>
  <c r="H20" i="2"/>
  <c r="J28" i="2"/>
  <c r="F2" i="2"/>
  <c r="F18" i="2"/>
  <c r="H27" i="2"/>
  <c r="K7" i="2"/>
  <c r="F17" i="2"/>
  <c r="H26" i="2"/>
  <c r="K6" i="2"/>
  <c r="F23" i="2"/>
  <c r="I4" i="2"/>
  <c r="K12" i="2"/>
  <c r="I13" i="2"/>
  <c r="F22" i="2"/>
  <c r="J3" i="2"/>
  <c r="K11" i="2"/>
  <c r="H9" i="2"/>
  <c r="K5" i="2"/>
  <c r="F13" i="2"/>
  <c r="H22" i="2"/>
  <c r="J30" i="2"/>
  <c r="F4" i="2"/>
  <c r="H13" i="2"/>
  <c r="J21" i="2"/>
  <c r="F3" i="2"/>
  <c r="H12" i="2"/>
  <c r="J20" i="2"/>
  <c r="J12" i="2"/>
  <c r="E3" i="2"/>
  <c r="J19" i="2"/>
  <c r="J18" i="2"/>
  <c r="H16" i="2"/>
  <c r="G20" i="2"/>
  <c r="H15" i="2"/>
  <c r="G12" i="2"/>
  <c r="J14" i="2"/>
  <c r="E25" i="2"/>
  <c r="J5" i="2"/>
  <c r="E24" i="2"/>
  <c r="J4" i="2"/>
  <c r="G4" i="2"/>
  <c r="J25" i="2"/>
  <c r="K18" i="2"/>
  <c r="F10" i="2"/>
  <c r="H19" i="2"/>
  <c r="J27" i="2"/>
  <c r="F9" i="2"/>
  <c r="H18" i="2"/>
  <c r="J26" i="2"/>
  <c r="K29" i="2"/>
  <c r="F15" i="2"/>
  <c r="H24" i="2"/>
  <c r="K4" i="2"/>
  <c r="J9" i="2"/>
  <c r="F14" i="2"/>
  <c r="H23" i="2"/>
  <c r="I21" i="2"/>
  <c r="F5" i="2"/>
  <c r="H14" i="2"/>
  <c r="J22" i="2"/>
  <c r="G24" i="2"/>
  <c r="H5" i="2"/>
  <c r="J13" i="2"/>
  <c r="G23" i="2"/>
  <c r="H4" i="2"/>
  <c r="G30" i="2"/>
  <c r="H11" i="2"/>
  <c r="G29" i="2"/>
  <c r="H10" i="2"/>
  <c r="G28" i="2"/>
  <c r="F7" i="2"/>
  <c r="J24" i="2"/>
  <c r="F6" i="2"/>
  <c r="J23" i="2"/>
  <c r="I5" i="2"/>
  <c r="H6" i="2"/>
  <c r="G16" i="2"/>
  <c r="G15" i="2"/>
  <c r="G22" i="2"/>
  <c r="J11" i="2"/>
  <c r="E30" i="2"/>
  <c r="J10" i="2"/>
  <c r="G27" i="2"/>
  <c r="H8" i="2"/>
  <c r="G26" i="2"/>
  <c r="H7" i="2"/>
  <c r="F24" i="2"/>
  <c r="G17" i="2"/>
  <c r="J6" i="2"/>
  <c r="E17" i="2"/>
  <c r="G7" i="2"/>
  <c r="I24" i="2"/>
  <c r="K28" i="2"/>
  <c r="E11" i="2"/>
  <c r="E5" i="2"/>
  <c r="I10" i="2"/>
  <c r="K8" i="2"/>
  <c r="G25" i="2"/>
  <c r="G21" i="2"/>
  <c r="J15" i="2"/>
  <c r="E26" i="2"/>
  <c r="I25" i="2"/>
  <c r="E16" i="2"/>
  <c r="I3" i="2"/>
  <c r="J16" i="2"/>
  <c r="G8" i="2"/>
  <c r="E7" i="2"/>
  <c r="K23" i="2"/>
  <c r="E6" i="2"/>
  <c r="K22" i="2"/>
  <c r="G3" i="2"/>
  <c r="I20" i="2"/>
  <c r="K27" i="2"/>
  <c r="K21" i="2"/>
  <c r="F20" i="2"/>
  <c r="F19" i="2"/>
  <c r="H28" i="2"/>
  <c r="G14" i="2"/>
  <c r="E23" i="2"/>
  <c r="K3" i="2"/>
  <c r="G13" i="2"/>
  <c r="E22" i="2"/>
  <c r="I30" i="2"/>
  <c r="F16" i="2"/>
  <c r="G19" i="2"/>
  <c r="E28" i="2"/>
  <c r="J8" i="2"/>
  <c r="F8" i="2"/>
  <c r="G18" i="2"/>
  <c r="E27" i="2"/>
  <c r="J7" i="2"/>
  <c r="J17" i="2"/>
  <c r="G9" i="2"/>
  <c r="E18" i="2"/>
  <c r="I26" i="2"/>
  <c r="E9" i="2"/>
  <c r="I17" i="2"/>
  <c r="K25" i="2"/>
  <c r="E8" i="2"/>
  <c r="I16" i="2"/>
  <c r="K24" i="2"/>
  <c r="I28" i="2"/>
  <c r="E21" i="2"/>
  <c r="K26" i="2"/>
  <c r="I9" i="2"/>
  <c r="F27" i="2"/>
  <c r="K16" i="2"/>
  <c r="H29" i="2"/>
  <c r="F29" i="2"/>
  <c r="I19" i="2"/>
  <c r="H25" i="2"/>
  <c r="E12" i="2"/>
  <c r="I14" i="2"/>
  <c r="I15" i="2"/>
  <c r="I8" i="2"/>
  <c r="K17" i="2"/>
  <c r="F28" i="2"/>
  <c r="I18" i="2"/>
  <c r="E10" i="2"/>
  <c r="I27" i="2"/>
  <c r="E19" i="2"/>
  <c r="G10" i="2"/>
  <c r="E13" i="2"/>
  <c r="E20" i="2"/>
  <c r="G11" i="2"/>
  <c r="E29" i="2"/>
  <c r="K30" i="2"/>
  <c r="I22" i="2"/>
  <c r="E14" i="2"/>
  <c r="G5" i="2"/>
  <c r="I23" i="2"/>
  <c r="E15" i="2"/>
  <c r="G6" i="2"/>
  <c r="L31" i="2" l="1"/>
  <c r="L32" i="2"/>
  <c r="L5" i="2"/>
  <c r="L4" i="2"/>
  <c r="L7" i="2"/>
  <c r="L21" i="2"/>
  <c r="L19" i="2"/>
  <c r="L30" i="2"/>
  <c r="L22" i="2"/>
  <c r="L3" i="2"/>
  <c r="L20" i="2"/>
  <c r="L10" i="2"/>
  <c r="L12" i="2"/>
  <c r="L11" i="2"/>
  <c r="L17" i="2"/>
  <c r="L23" i="2"/>
  <c r="L15" i="2"/>
  <c r="L28" i="2"/>
  <c r="L16" i="2"/>
  <c r="L24" i="2"/>
  <c r="L6" i="2"/>
  <c r="L29" i="2"/>
  <c r="L13" i="2"/>
  <c r="L25" i="2"/>
  <c r="L14" i="2"/>
  <c r="L26" i="2"/>
  <c r="L27" i="2"/>
  <c r="L8" i="2"/>
  <c r="L18" i="2"/>
  <c r="L9" i="2"/>
  <c r="H2" i="2"/>
  <c r="J2" i="2"/>
  <c r="E2" i="2"/>
  <c r="K2" i="2"/>
  <c r="I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<sst xmlns="http://schemas.openxmlformats.org/spreadsheetml/2006/main" count="927" uniqueCount="294">
  <si>
    <t>OSFA</t>
  </si>
  <si>
    <t>Article</t>
  </si>
  <si>
    <t>Price</t>
  </si>
  <si>
    <t>Friedrich W. Schneider GmbH &amp; Co. KG - Oskar-Schindler-Str. 11 - 50769 Köln</t>
  </si>
  <si>
    <t>Abemi Laoteenused OU</t>
  </si>
  <si>
    <t>Paemurru 6A</t>
  </si>
  <si>
    <t>EE - 74114 Maardu</t>
  </si>
  <si>
    <t>Invoice:</t>
  </si>
  <si>
    <t>Cust. no. invoice rec.:</t>
  </si>
  <si>
    <t>Your V.A.T.-ID:</t>
  </si>
  <si>
    <t>Our tax-no.:</t>
  </si>
  <si>
    <t>EE100931163</t>
  </si>
  <si>
    <t>Taxdate = Invoice Date</t>
  </si>
  <si>
    <t>Contact Partner: Ulrich Wagner</t>
  </si>
  <si>
    <t>E-mail: sales@fwshats.de</t>
  </si>
  <si>
    <t>Telephone: +49 (0) 221 963 558 17</t>
  </si>
  <si>
    <t>Sales rep.: Friedrich W. Schneider GmbH &amp; Co. KG</t>
  </si>
  <si>
    <t>E-mail: info@fwshats.de</t>
  </si>
  <si>
    <t>Telephone: +49 (0) 221 9635580</t>
  </si>
  <si>
    <t>Fax: +49 (0) 221 96355840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</si>
  <si>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</si>
  <si>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</si>
  <si>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</si>
  <si>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</si>
  <si>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</si>
  <si>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</si>
  <si>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</si>
  <si>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Sales order: PO-PO-2102363 from 01.09.2021 Orderer customer: 935282 Abemi Laoteenused OU</t>
  </si>
  <si>
    <t>Delivery recipient:</t>
  </si>
  <si>
    <t>59/L</t>
  </si>
  <si>
    <t>57/M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</si>
  <si>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</si>
  <si>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</si>
  <si>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</si>
  <si>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</si>
  <si>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</si>
  <si>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</si>
  <si>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</si>
  <si>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</si>
  <si>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</si>
  <si>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</si>
  <si>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</si>
  <si>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</si>
  <si>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</si>
  <si>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</si>
  <si>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Texas Cotton Per Pc(s)</t>
  </si>
  <si>
    <t>Country of manufacture: China --- Customs tariff code: 65050030 --- Net weight: 0,11 kg</t>
  </si>
  <si>
    <t>Tax free intracommunity delivery 0,00 EUR</t>
  </si>
  <si>
    <t>There is a tax free intra-Community supply acc. § 4 No. 1b in conjunction with § 6a UStG</t>
  </si>
  <si>
    <t>Payment term: 10 days 4% cash discount, 28 days net - Prepayment</t>
  </si>
  <si>
    <t>cash discounts</t>
  </si>
  <si>
    <t>Thank you for your order. We ask you to clear the invoice in advance. The goods will be send after incoming payments.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</si>
  <si>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</si>
  <si>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</si>
  <si>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</si>
  <si>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Sum</t>
  </si>
  <si>
    <t>Name</t>
  </si>
  <si>
    <t>Date: 02.03.2022</t>
  </si>
  <si>
    <t>Line value 77,40 EUR</t>
  </si>
  <si>
    <t>Recommended Retail Price = 35,00 EUR Total line value 77,40 EUR</t>
  </si>
  <si>
    <t>Valuation Date: 02.03.2022</t>
  </si>
  <si>
    <t>100-CI-2202661</t>
  </si>
  <si>
    <t>Page 1 of 7</t>
  </si>
  <si>
    <t>Shipping Order: 100-SO2205280 from 02.03.2022</t>
  </si>
  <si>
    <t>1 2458401 7 beige 2 Pc(s) 115,00 EUR</t>
  </si>
  <si>
    <t>Traveller Panama 7/8 Per Pc(s)</t>
  </si>
  <si>
    <t>61/XL</t>
  </si>
  <si>
    <t>Country of manufacture: Italy --- Customs tariff code: 65040000 --- Net weight: 0,10 kg</t>
  </si>
  <si>
    <t>Line value 230,00 EUR</t>
  </si>
  <si>
    <t>Recommended Retail Price = 299,00 EUR Total line value 230,00 EUR</t>
  </si>
  <si>
    <t>10 6843905 28 sonstige 29 Pc(s) 29,90 EUR</t>
  </si>
  <si>
    <t>Hatteras Patchwork Per Pc(s)</t>
  </si>
  <si>
    <t>55/S</t>
  </si>
  <si>
    <t>63/XXL</t>
  </si>
  <si>
    <t>Country of manufacture: Bulgaria --- Customs tariff code: 65050030 --- Net weight: 0,12 kg</t>
  </si>
  <si>
    <t>Line value 867,10 EUR</t>
  </si>
  <si>
    <t>Recommended Retail Price = 79,00 EUR Total line value 867,10 EUR</t>
  </si>
  <si>
    <t>11 6611105 23 sonstige 6 Pc(s) 12,90 EUR</t>
  </si>
  <si>
    <t>Invoice: 100-CI-2202661</t>
  </si>
  <si>
    <t>Cust. no. invoice rec.: 935224 Page 2 of 7</t>
  </si>
  <si>
    <t>12 7711101 1 black 95 Pc(s) 10,90 EUR</t>
  </si>
  <si>
    <t>Baseball Cap Cotton Per Pc(s)</t>
  </si>
  <si>
    <t>Country of manufacture: China --- Customs tariff code: 65050030 --- Net weight: 0,09 kg</t>
  </si>
  <si>
    <t>Line value 1.035,50 EUR</t>
  </si>
  <si>
    <t>Recommended Retail Price = 29,00 EUR Total line value 1.035,50 EUR</t>
  </si>
  <si>
    <t>13 7711101 2 navy / gun metal 45 Pc(s) 10,90 EUR</t>
  </si>
  <si>
    <t>Line value 490,50 EUR</t>
  </si>
  <si>
    <t>Recommended Retail Price = 29,00 EUR Total line value 490,50 EUR</t>
  </si>
  <si>
    <t>14 7711101 20 sonstige 25 Pc(s) 10,90 EUR</t>
  </si>
  <si>
    <t>Line value 272,50 EUR</t>
  </si>
  <si>
    <t>Recommended Retail Price = 29,00 EUR Total line value 272,50 EUR</t>
  </si>
  <si>
    <t>15 7711101 32 sonstige 75 Pc(s) 10,90 EUR</t>
  </si>
  <si>
    <t>Line value 817,50 EUR</t>
  </si>
  <si>
    <t>Recommended Retail Price = 29,00 EUR Total line value 817,50 EUR</t>
  </si>
  <si>
    <t>16 7711101 55 sonstige 75 Pc(s) 10,90 EUR</t>
  </si>
  <si>
    <t>17 7711101 71 sonstige 72 Pc(s) 10,90 EUR</t>
  </si>
  <si>
    <t>Line value 784,80 EUR</t>
  </si>
  <si>
    <t>Recommended Retail Price = 29,00 EUR Total line value 784,80 EUR</t>
  </si>
  <si>
    <t>Cust. no. invoice rec.: 935224 Page 3 of 7</t>
  </si>
  <si>
    <t>18 7711101 86 sonstige 60 Pc(s) 10,90 EUR</t>
  </si>
  <si>
    <t>Line value 654,00 EUR</t>
  </si>
  <si>
    <t>Recommended Retail Price = 29,00 EUR Total line value 654,00 EUR</t>
  </si>
  <si>
    <t>19 6841504 310 fischgrat 4 Pc(s) 29,90 EUR</t>
  </si>
  <si>
    <t>Hatteras Cotton/Linen Per Pc(s)</t>
  </si>
  <si>
    <t>Country of manufacture: Bulgaria --- Customs tariff code: 65050030 --- Net weight: 0,09 kg</t>
  </si>
  <si>
    <t>Line value 119,60 EUR</t>
  </si>
  <si>
    <t>Recommended Retail Price = 79,00 EUR Total line value 119,60 EUR</t>
  </si>
  <si>
    <t>2 2138504 7 beige 2 Pc(s) 57,00 EUR</t>
  </si>
  <si>
    <t>Fedora Hemp Per Pc(s)</t>
  </si>
  <si>
    <t>Country of manufacture: Italy --- Customs tariff code: 65040000 --- Net weight: 0,09 kg</t>
  </si>
  <si>
    <t>Line value 114,00 EUR</t>
  </si>
  <si>
    <t>Recommended Retail Price = 149,00 EUR Total line value 114,00 EUR</t>
  </si>
  <si>
    <t>20 1113102 31 sonstige 24 Pc(s) 29,90 EUR</t>
  </si>
  <si>
    <t>Trilby Linen Per Pc(s)</t>
  </si>
  <si>
    <t>Country of manufacture: Italy --- Customs tariff code: 65050090 --- Net weight: 0,12 kg</t>
  </si>
  <si>
    <t>Line value 717,60 EUR</t>
  </si>
  <si>
    <t>Recommended Retail Price = 79,00 EUR Total line value 717,60 EUR</t>
  </si>
  <si>
    <t>21 6613303 268 großes Karo/Glencheck 21 Pc(s) 26,90 EUR</t>
  </si>
  <si>
    <t>Texas Linen Per Pc(s)</t>
  </si>
  <si>
    <t>Country of manufacture: Bulgaria --- Customs tariff code: 65050030 --- Net weight: 0,08 kg</t>
  </si>
  <si>
    <t>Line value 564,90 EUR</t>
  </si>
  <si>
    <t>Recommended Retail Price = 69,00 EUR Total line value 564,90 EUR</t>
  </si>
  <si>
    <t>22 6613303 229 großes Karo/Glencheck 21 Pc(s) 26,90 EUR</t>
  </si>
  <si>
    <t>Cust. no. invoice rec.: 935224 Page 4 of 7</t>
  </si>
  <si>
    <t>23 2541114 1 black 2 Pc(s) 26,90 EUR</t>
  </si>
  <si>
    <t>Traveller Delave Organic Cotton Per Pc(s)</t>
  </si>
  <si>
    <t>Country of manufacture: Sri Lanka --- Customs tariff code: 65050090 --- Net weight: 0,13 kg</t>
  </si>
  <si>
    <t>Line value 53,80 EUR</t>
  </si>
  <si>
    <t>Recommended Retail Price = 69,00 EUR Total line value 53,80 EUR</t>
  </si>
  <si>
    <t>24 2541114 76 sonstige 10 Pc(s) 26,90 EUR</t>
  </si>
  <si>
    <t>Line value 269,00 EUR</t>
  </si>
  <si>
    <t>Recommended Retail Price = 69,00 EUR Total line value 269,00 EUR</t>
  </si>
  <si>
    <t>25 2811101 76 sonstige 32 Pc(s) 26,90 EUR</t>
  </si>
  <si>
    <t>Bucket Delave Organic Cotton Per Pc(s)</t>
  </si>
  <si>
    <t>Country of manufacture: China --- Customs tariff code: 65050090 --- Net weight: 0,07 kg</t>
  </si>
  <si>
    <t>Line value 860,80 EUR</t>
  </si>
  <si>
    <t>Recommended Retail Price = 69,00 EUR Total line value 860,80 EUR</t>
  </si>
  <si>
    <t>26 2541109 71 sonstige 8 Pc(s) 22,90 EUR</t>
  </si>
  <si>
    <t>Traveller Cotton Per Pc(s)</t>
  </si>
  <si>
    <t>Line value 183,20 EUR</t>
  </si>
  <si>
    <t>Recommended Retail Price = 59,00 EUR Total line value 183,20 EUR</t>
  </si>
  <si>
    <t>27 6845802 15 sonstige 2 Pc(s) 33,90 EUR</t>
  </si>
  <si>
    <t>Hatteras Outdoor WR Per Pc(s)</t>
  </si>
  <si>
    <t>Line value 67,80 EUR</t>
  </si>
  <si>
    <t>Recommended Retail Price = 89,00 EUR Total line value 67,80 EUR</t>
  </si>
  <si>
    <t>28 7785802 15 sonstige 17 Pc(s) 14,90 EUR</t>
  </si>
  <si>
    <t>Baseball Cap Outdoor Per Pc(s)</t>
  </si>
  <si>
    <t>Line value 253,30 EUR</t>
  </si>
  <si>
    <t>Recommended Retail Price = 39,00 EUR Total line value 253,30 EUR</t>
  </si>
  <si>
    <t>Cust. no. invoice rec.: 935224 Page 5 of 7</t>
  </si>
  <si>
    <t>29 2541801 7 beige 6 Pc(s) 37,90 EUR</t>
  </si>
  <si>
    <t>Country of manufacture: China --- Customs tariff code: 65050090 --- Net weight: 0,17 kg</t>
  </si>
  <si>
    <t>Line value 227,40 EUR</t>
  </si>
  <si>
    <t>Recommended Retail Price = 99,00 EUR Total line value 227,40 EUR</t>
  </si>
  <si>
    <t>3 2418502 71 sonstige 4 Pc(s) 33,90 EUR</t>
  </si>
  <si>
    <t>Traveller Toyo Per Pc(s)</t>
  </si>
  <si>
    <t>Country of manufacture: China --- Customs tariff code: 65040000 --- Net weight: 0,08 kg</t>
  </si>
  <si>
    <t>Line value 135,60 EUR</t>
  </si>
  <si>
    <t>Recommended Retail Price = 89,00 EUR Total line value 135,60 EUR</t>
  </si>
  <si>
    <t>30 2541109 71 sonstige 6 Pc(s) 22,90 EUR</t>
  </si>
  <si>
    <t>Line value 137,40 EUR</t>
  </si>
  <si>
    <t>Recommended Retail Price = 59,00 EUR Total line value 137,40 EUR</t>
  </si>
  <si>
    <t>31 7785101 89 sonstige 1 Pc(s) 14,90 EUR</t>
  </si>
  <si>
    <t>Baseball Cap Toothpick Rebel Per Pc(s)</t>
  </si>
  <si>
    <t>Country of manufacture: China --- Customs tariff code: 65050030 --- Net weight: 0,12 kg</t>
  </si>
  <si>
    <t>Line value 14,90 EUR</t>
  </si>
  <si>
    <t>Recommended Retail Price = 39,00 EUR Total line value 14,90 EUR</t>
  </si>
  <si>
    <t>4 2498502 7 beige 6 Pc(s) 29,90 EUR</t>
  </si>
  <si>
    <t>Traveller Raffia Per Pc(s)</t>
  </si>
  <si>
    <t>Country of manufacture: China --- Customs tariff code: 65040000 --- Net weight: 0,12 kg</t>
  </si>
  <si>
    <t>Line value 179,40 EUR</t>
  </si>
  <si>
    <t>Recommended Retail Price = 79,00 EUR Total line value 179,40 EUR</t>
  </si>
  <si>
    <t>5 3698521 7 beige 25 Pc(s) 29,90 EUR</t>
  </si>
  <si>
    <t>Western Raffia Per Pc(s)</t>
  </si>
  <si>
    <t>Country of manufacture: China --- Customs tariff code: 65040000 --- Net weight: 0,15 kg</t>
  </si>
  <si>
    <t>Line value 747,50 EUR</t>
  </si>
  <si>
    <t>Recommended Retail Price = 79,00 EUR Total line value 747,50 EUR</t>
  </si>
  <si>
    <t>Cust. no. invoice rec.: 935224 Page 6 of 7</t>
  </si>
  <si>
    <t>6 6213903 99 sonstige 6 Pc(s) 37,90 EUR</t>
  </si>
  <si>
    <t>Kent Linen Per Pc(s)</t>
  </si>
  <si>
    <t>Country of manufacture: Germany --- Customs tariff code: 65050030 --- Net weight: 0,07 kg</t>
  </si>
  <si>
    <t>7 6611912 99 sonstige 6 Pc(s) 26,90 EUR</t>
  </si>
  <si>
    <t>Country of manufacture: Bulgaria --- Customs tariff code: 65050030 --- Net weight: 0,11 kg</t>
  </si>
  <si>
    <t>Line value 161,40 EUR</t>
  </si>
  <si>
    <t>Recommended Retail Price = 69,00 EUR Total line value 161,40 EUR</t>
  </si>
  <si>
    <t>8 7781122 1 black 6 Pc(s) 14,90 EUR</t>
  </si>
  <si>
    <t>Baseball Cap Diamond Per Pc(s)</t>
  </si>
  <si>
    <t>Line value 89,40 EUR</t>
  </si>
  <si>
    <t>Recommended Retail Price = 39,00 EUR Total line value 89,40 EUR</t>
  </si>
  <si>
    <t>9 7491107 2 navy / gun metal 17 Pc(s) 22,90 EUR</t>
  </si>
  <si>
    <t>Army Cap Denim Per Pc(s)</t>
  </si>
  <si>
    <t>Country of manufacture: Bulgaria --- Customs tariff code: 65050030 --- Net weight: 0,10 kg</t>
  </si>
  <si>
    <t>Line value 389,30 EUR</t>
  </si>
  <si>
    <t>Recommended Retail Price = 59,00 EUR Total line value 389,30 EUR</t>
  </si>
  <si>
    <t>Total Quantity: 710 Pc(s)</t>
  </si>
  <si>
    <t>Total: 9.700,32 EUR</t>
  </si>
  <si>
    <t>Total Value: 9.700,32 EUR</t>
  </si>
  <si>
    <t>Cash discount 10 Days 4 % until 12.03.2022 = 388,01 EUR Payment amount: 9.312,31 EUR</t>
  </si>
  <si>
    <t>28 Days net without until 30.03.2022 Payment amount: 9.700,32 EUR</t>
  </si>
  <si>
    <t>Please always indicate your customer number 935224 and invoice number CI-2202661 when transferring the invoice</t>
  </si>
  <si>
    <t>Cust. no. invoice rec.: 935224 Page 7 of 7</t>
  </si>
  <si>
    <t>Style</t>
  </si>
  <si>
    <t>Color</t>
  </si>
  <si>
    <t/>
  </si>
  <si>
    <t>1</t>
  </si>
  <si>
    <t>7</t>
  </si>
  <si>
    <t>9</t>
  </si>
  <si>
    <t>3</t>
  </si>
  <si>
    <t>4</t>
  </si>
  <si>
    <t>2</t>
  </si>
  <si>
    <t>6</t>
  </si>
  <si>
    <t>8</t>
  </si>
  <si>
    <t>5</t>
  </si>
  <si>
    <t>11</t>
  </si>
  <si>
    <t>24584017</t>
  </si>
  <si>
    <t xml:space="preserve">Traveller Panama 7/8 </t>
  </si>
  <si>
    <t>684390528</t>
  </si>
  <si>
    <t xml:space="preserve">Hatteras Patchwork </t>
  </si>
  <si>
    <t>661110523</t>
  </si>
  <si>
    <t xml:space="preserve">Texas Cotton </t>
  </si>
  <si>
    <t>77111011</t>
  </si>
  <si>
    <t xml:space="preserve">Baseball Cap Cotton </t>
  </si>
  <si>
    <t>77111012</t>
  </si>
  <si>
    <t>771110120</t>
  </si>
  <si>
    <t>771110132</t>
  </si>
  <si>
    <t>771110155</t>
  </si>
  <si>
    <t>771110171</t>
  </si>
  <si>
    <t>771110186</t>
  </si>
  <si>
    <t>6841504310</t>
  </si>
  <si>
    <t xml:space="preserve">Hatteras Cotton/Linen </t>
  </si>
  <si>
    <t>21385047</t>
  </si>
  <si>
    <t xml:space="preserve">Fedora Hemp </t>
  </si>
  <si>
    <t>111310231</t>
  </si>
  <si>
    <t xml:space="preserve">Trilby Linen </t>
  </si>
  <si>
    <t>6613303268</t>
  </si>
  <si>
    <t xml:space="preserve">Texas Linen </t>
  </si>
  <si>
    <t>6613303229</t>
  </si>
  <si>
    <t>25411141</t>
  </si>
  <si>
    <t xml:space="preserve">Traveller Delave Organic Cotton </t>
  </si>
  <si>
    <t>254111476</t>
  </si>
  <si>
    <t>281110176</t>
  </si>
  <si>
    <t xml:space="preserve">Bucket Delave Organic Cotton </t>
  </si>
  <si>
    <t>254110971</t>
  </si>
  <si>
    <t xml:space="preserve">Traveller Cotton </t>
  </si>
  <si>
    <t>684580215</t>
  </si>
  <si>
    <t xml:space="preserve">Hatteras Outdoor WR </t>
  </si>
  <si>
    <t>778580215</t>
  </si>
  <si>
    <t xml:space="preserve">Baseball Cap Outdoor </t>
  </si>
  <si>
    <t>25418017</t>
  </si>
  <si>
    <t>241850271</t>
  </si>
  <si>
    <t xml:space="preserve">Traveller Toyo </t>
  </si>
  <si>
    <t>778510189</t>
  </si>
  <si>
    <t xml:space="preserve">Baseball Cap Toothpick Rebel </t>
  </si>
  <si>
    <t>24985027</t>
  </si>
  <si>
    <t xml:space="preserve">Traveller Raffia </t>
  </si>
  <si>
    <t>36985217</t>
  </si>
  <si>
    <t xml:space="preserve">Western Raffia </t>
  </si>
  <si>
    <t>621390399</t>
  </si>
  <si>
    <t xml:space="preserve">Kent Linen </t>
  </si>
  <si>
    <t>661191299</t>
  </si>
  <si>
    <t>77811221</t>
  </si>
  <si>
    <t xml:space="preserve">Baseball Cap Diamond </t>
  </si>
  <si>
    <t>74911072</t>
  </si>
  <si>
    <t xml:space="preserve">Army Cap Denim </t>
  </si>
  <si>
    <t>2458401_7</t>
  </si>
  <si>
    <t>6843905_28</t>
  </si>
  <si>
    <t>6611105_23</t>
  </si>
  <si>
    <t>7711101_1</t>
  </si>
  <si>
    <t>7711101_2</t>
  </si>
  <si>
    <t>7711101_20</t>
  </si>
  <si>
    <t>7711101_32</t>
  </si>
  <si>
    <t>7711101_55</t>
  </si>
  <si>
    <t>7711101_71</t>
  </si>
  <si>
    <t>7711101_86</t>
  </si>
  <si>
    <t>6841504_310</t>
  </si>
  <si>
    <t>2138504_7</t>
  </si>
  <si>
    <t>1113102_31</t>
  </si>
  <si>
    <t>6613303_268</t>
  </si>
  <si>
    <t>6613303_229</t>
  </si>
  <si>
    <t>2541114_1</t>
  </si>
  <si>
    <t>2541114_76</t>
  </si>
  <si>
    <t>2811101_76</t>
  </si>
  <si>
    <t>2541109_71</t>
  </si>
  <si>
    <t>6845802_15</t>
  </si>
  <si>
    <t>7785802_15</t>
  </si>
  <si>
    <t>2541801_7</t>
  </si>
  <si>
    <t>2418502_71</t>
  </si>
  <si>
    <t>7785101_89</t>
  </si>
  <si>
    <t>2498502_7</t>
  </si>
  <si>
    <t>3698521_7</t>
  </si>
  <si>
    <t>6213903_99</t>
  </si>
  <si>
    <t>6611912_99</t>
  </si>
  <si>
    <t>7781122_1</t>
  </si>
  <si>
    <t>7491107_2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</si>
</sst>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Fill="1"/>
    <xf numFmtId="164" fontId="0" fillId="0" borderId="0" xfId="0" applyNumberFormat="1" applyFill="1"/>
    <xf numFmtId="0" fontId="1" fillId="0" borderId="0" xfId="0" applyFont="1" applyFill="1"/>
    <xf numFmtId="164" fontId="1" fillId="0" borderId="0" xfId="0" applyNumberFormat="1" applyFont="1" applyFill="1"/>
    <xf numFmtId="164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164" fontId="1" fillId="3" borderId="0" xfId="0" applyNumberFormat="1" applyFont="1" applyFill="1" applyBorder="1"/>
    <xf numFmtId="0" fontId="1" fillId="3" borderId="0" xfId="0" applyFont="1" applyFill="1" applyBorder="1"/>
    <xf numFmtId="1" fontId="2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0" borderId="0" xfId="0" applyNumberFormat="1" applyFont="1" applyAlignment="1">
      <alignment horizontal="left" vertical="center"/>
    </xf>
    <xf numFmtId="1" fontId="0" fillId="0" borderId="0" xfId="0" applyNumberFormat="1" applyFont="1" applyFill="1" applyAlignment="1">
      <alignment horizontal="left" vertical="center"/>
    </xf>
    <xf numFmtId="1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/>
    <xf numFmtId="0" fontId="1" fillId="0" borderId="1" xfId="0" applyFont="1" applyBorder="1" applyAlignment="1">
      <alignment horizontal="left" vertical="center"/>
    </xf>
    <xf numFmtId="164" fontId="1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64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3" fillId="0" borderId="0" xfId="0" applyFont="1"/>
    <xf numFmtId="0" fontId="0" fillId="0" borderId="2" xfId="0" applyFill="1" applyBorder="1"/>
    <xf numFmtId="0" fontId="1" fillId="0" borderId="3" xfId="0" applyFont="1" applyBorder="1" applyAlignment="1">
      <alignment horizontal="left" vertical="center"/>
    </xf>
    <xf numFmtId="164" fontId="1" fillId="0" borderId="4" xfId="0" applyNumberFormat="1" applyFont="1" applyBorder="1" applyAlignment="1">
      <alignment horizontal="left" vertical="center"/>
    </xf>
    <xf numFmtId="0" fontId="0" fillId="0" borderId="5" xfId="0" applyFill="1" applyBorder="1"/>
    <xf numFmtId="164" fontId="0" fillId="0" borderId="6" xfId="0" applyNumberFormat="1" applyBorder="1" applyAlignment="1">
      <alignment horizontal="left" vertical="center"/>
    </xf>
    <xf numFmtId="0" fontId="0" fillId="0" borderId="7" xfId="0" applyFill="1" applyBorder="1"/>
    <xf numFmtId="0" fontId="0" fillId="0" borderId="8" xfId="0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164" fontId="0" fillId="0" borderId="9" xfId="0" applyNumberFormat="1" applyBorder="1" applyAlignment="1">
      <alignment horizontal="left" vertical="center"/>
    </xf>
  </cellXfs>
  <cellStyles count="1">
    <cellStyle name="Обычный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Q514"/>
  <sheetViews>
    <sheetView topLeftCell="A270" workbookViewId="0">
      <selection activeCell="C296" sqref="C296"/>
    </sheetView>
  </sheetViews>
  <sheetFormatPr defaultRowHeight="15" x14ac:dyDescent="0.25"/>
  <cols>
    <col min="1" max="1" width="108.42578125" bestFit="1" customWidth="1"/>
    <col min="2" max="2" width="10.85546875" bestFit="1" customWidth="1"/>
    <col min="3" max="3" width="30.140625" bestFit="1" customWidth="1"/>
    <col min="10" max="10" width="10.42578125" style="2" bestFit="1" customWidth="1"/>
  </cols>
  <sheetData>
    <row r="1" spans="1:10" x14ac:dyDescent="0.25">
      <c r="A1" t="s">
        <v>3</v>
      </c>
      <c r="B1" s="5"/>
      <c r="C1" s="5"/>
      <c r="D1" s="5"/>
      <c r="E1" s="5"/>
      <c r="F1" s="5"/>
      <c r="G1" s="5"/>
      <c r="H1" s="5"/>
      <c r="I1" s="5"/>
      <c r="J1" s="6"/>
    </row>
    <row r="2" spans="1:10" x14ac:dyDescent="0.25">
      <c r="A2" t="s">
        <v>4</v>
      </c>
      <c r="B2" s="3"/>
      <c r="C2" s="3"/>
      <c r="D2" s="3"/>
      <c r="E2" s="3"/>
      <c r="F2" s="3"/>
      <c r="G2" s="3"/>
      <c r="H2" s="3"/>
      <c r="I2" s="3"/>
      <c r="J2" s="4"/>
    </row>
    <row r="3" spans="1:10" x14ac:dyDescent="0.25">
      <c r="A3" t="s">
        <v>5</v>
      </c>
      <c r="B3" s="3"/>
      <c r="C3" s="3"/>
      <c r="D3" s="3"/>
      <c r="E3" s="3"/>
      <c r="F3" s="3"/>
      <c r="G3" s="3"/>
      <c r="H3" s="3"/>
      <c r="I3" s="3"/>
      <c r="J3" s="4"/>
    </row>
    <row r="4" spans="1:10" x14ac:dyDescent="0.25">
      <c r="A4" t="s">
        <v>6</v>
      </c>
      <c r="B4" s="3"/>
      <c r="C4" s="3"/>
      <c r="D4" s="3"/>
      <c r="E4" s="3"/>
      <c r="F4" s="3"/>
      <c r="G4" s="3"/>
      <c r="H4" s="3"/>
      <c r="I4" s="3"/>
      <c r="J4" s="4"/>
    </row>
    <row r="5" spans="1:10" x14ac:dyDescent="0.25">
      <c r="A5" t="s">
        <v>61</v>
      </c>
      <c r="B5" s="3"/>
      <c r="C5" s="3"/>
      <c r="D5" s="3"/>
      <c r="E5" s="3"/>
      <c r="F5" s="3"/>
      <c r="G5" s="3"/>
      <c r="H5" s="3"/>
      <c r="I5" s="3"/>
      <c r="J5" s="4"/>
    </row>
    <row r="6" spans="1:10" x14ac:dyDescent="0.25">
      <c r="A6" t="s">
        <v>57</v>
      </c>
      <c r="B6" s="3"/>
      <c r="C6" s="3"/>
      <c r="D6" s="3"/>
      <c r="E6" s="3"/>
      <c r="F6" s="3"/>
      <c r="G6" s="3"/>
      <c r="H6" s="3"/>
      <c r="I6" s="3"/>
      <c r="J6" s="4"/>
    </row>
    <row r="7" spans="1:10" x14ac:dyDescent="0.25">
      <c r="A7" s="3" t="s">
        <v>7</v>
      </c>
      <c r="B7" s="3"/>
      <c r="C7" s="3"/>
      <c r="D7" s="3"/>
      <c r="E7" s="3"/>
      <c r="F7" s="3"/>
      <c r="G7" s="3"/>
      <c r="H7" s="3"/>
      <c r="I7" s="3"/>
      <c r="J7" s="4"/>
    </row>
    <row r="8" spans="1:10" x14ac:dyDescent="0.25">
      <c r="A8" s="3" t="s">
        <v>8</v>
      </c>
      <c r="B8" s="3"/>
      <c r="C8" s="3"/>
      <c r="D8" s="3"/>
      <c r="E8" s="3"/>
      <c r="F8" s="3"/>
      <c r="G8" s="3"/>
      <c r="H8" s="3"/>
      <c r="I8" s="3"/>
      <c r="J8" s="4"/>
    </row>
    <row r="9" spans="1:10" x14ac:dyDescent="0.25">
      <c r="A9" s="3" t="s">
        <v>9</v>
      </c>
      <c r="B9" s="3"/>
      <c r="C9" s="3"/>
      <c r="D9" s="3"/>
      <c r="E9" s="3"/>
      <c r="F9" s="3"/>
      <c r="G9" s="3"/>
      <c r="H9" s="3"/>
      <c r="I9" s="3"/>
      <c r="J9" s="4"/>
    </row>
    <row r="10" spans="1:10" x14ac:dyDescent="0.25">
      <c r="A10" s="3" t="s">
        <v>10</v>
      </c>
      <c r="B10" s="5"/>
      <c r="C10" s="5"/>
      <c r="D10" s="5"/>
      <c r="E10" s="5"/>
      <c r="F10" s="5"/>
      <c r="G10" s="5"/>
      <c r="H10" s="5"/>
      <c r="I10" s="5"/>
      <c r="J10" s="6"/>
    </row>
    <row r="11" spans="1:10" x14ac:dyDescent="0.25">
      <c r="A11" s="3">
        <v>935224</v>
      </c>
      <c r="B11" s="3"/>
      <c r="C11" s="3"/>
      <c r="D11" s="3"/>
      <c r="E11" s="3"/>
      <c r="F11" s="3"/>
      <c r="G11" s="3"/>
      <c r="H11" s="3"/>
      <c r="I11" s="3"/>
      <c r="J11" s="4"/>
    </row>
    <row r="12" spans="1:10" x14ac:dyDescent="0.25">
      <c r="A12" s="3" t="s">
        <v>11</v>
      </c>
      <c r="B12" s="3"/>
      <c r="C12" s="3"/>
      <c r="D12" s="3"/>
      <c r="E12" s="3"/>
      <c r="F12" s="3"/>
      <c r="G12" s="3"/>
      <c r="H12" s="3"/>
      <c r="I12" s="3"/>
      <c r="J12" s="4"/>
    </row>
    <row r="13" spans="1:10" x14ac:dyDescent="0.25">
      <c r="A13" s="3">
        <v>21758281022</v>
      </c>
      <c r="B13" s="3"/>
      <c r="C13" s="3"/>
      <c r="D13" s="3"/>
      <c r="E13" s="3"/>
      <c r="F13" s="3"/>
      <c r="G13" s="3"/>
      <c r="H13" s="3"/>
      <c r="I13" s="3"/>
      <c r="J13" s="4"/>
    </row>
    <row r="14" spans="1:10" x14ac:dyDescent="0.25">
      <c r="A14" s="3" t="s">
        <v>62</v>
      </c>
      <c r="B14" s="3"/>
      <c r="C14" s="3"/>
      <c r="D14" s="3"/>
      <c r="E14" s="3"/>
      <c r="F14" s="3"/>
      <c r="G14" s="3"/>
      <c r="H14" s="3"/>
      <c r="I14" s="3"/>
      <c r="J14" s="4"/>
    </row>
    <row r="15" spans="1:10" x14ac:dyDescent="0.25">
      <c r="A15" s="3" t="s">
        <v>12</v>
      </c>
      <c r="B15" s="3"/>
      <c r="C15" s="3"/>
      <c r="D15" s="3"/>
      <c r="E15" s="3"/>
      <c r="F15" s="3"/>
      <c r="G15" s="3"/>
      <c r="H15" s="3"/>
      <c r="I15" s="3"/>
      <c r="J15" s="4"/>
    </row>
    <row r="16" spans="1:10" x14ac:dyDescent="0.25">
      <c r="A16" s="3" t="s">
        <v>13</v>
      </c>
      <c r="B16" s="3"/>
      <c r="C16" s="3"/>
      <c r="D16" s="3"/>
      <c r="E16" s="3"/>
      <c r="F16" s="3"/>
      <c r="G16" s="3"/>
      <c r="H16" s="3"/>
      <c r="I16" s="3"/>
      <c r="J16" s="4"/>
    </row>
    <row r="17" spans="1:10" x14ac:dyDescent="0.25">
      <c r="A17" s="3" t="s">
        <v>14</v>
      </c>
      <c r="B17" s="3"/>
      <c r="C17" s="3"/>
      <c r="D17" s="3"/>
      <c r="E17" s="3"/>
      <c r="F17" s="3"/>
      <c r="G17" s="3"/>
      <c r="H17" s="3"/>
      <c r="I17" s="3"/>
      <c r="J17" s="4"/>
    </row>
    <row r="18" spans="1:10" x14ac:dyDescent="0.25">
      <c r="A18" s="3" t="s">
        <v>15</v>
      </c>
      <c r="B18" s="3"/>
      <c r="C18" s="3"/>
      <c r="D18" s="3"/>
      <c r="E18" s="3"/>
      <c r="F18" s="3"/>
      <c r="G18" s="3"/>
      <c r="H18" s="3"/>
      <c r="I18" s="3"/>
      <c r="J18" s="4"/>
    </row>
    <row r="19" spans="1:10" x14ac:dyDescent="0.25">
      <c r="A19" s="3" t="s">
        <v>16</v>
      </c>
      <c r="B19" s="3"/>
      <c r="C19" s="3"/>
      <c r="D19" s="3"/>
      <c r="E19" s="3"/>
      <c r="F19" s="3"/>
      <c r="G19" s="3"/>
      <c r="H19" s="3"/>
      <c r="I19" s="3"/>
      <c r="J19" s="4"/>
    </row>
    <row r="20" spans="1:10" x14ac:dyDescent="0.25">
      <c r="A20" s="3" t="s">
        <v>17</v>
      </c>
      <c r="B20" s="3"/>
      <c r="C20" s="3"/>
      <c r="D20" s="3"/>
      <c r="E20" s="3"/>
      <c r="F20" s="3"/>
      <c r="G20" s="3"/>
      <c r="H20" s="3"/>
      <c r="I20" s="3"/>
      <c r="J20" s="4"/>
    </row>
    <row r="21" spans="1:10" x14ac:dyDescent="0.25">
      <c r="A21" s="3" t="s">
        <v>18</v>
      </c>
      <c r="B21" s="3"/>
      <c r="C21" s="3"/>
      <c r="D21" s="3"/>
      <c r="E21" s="3"/>
      <c r="F21" s="3"/>
      <c r="G21" s="3"/>
      <c r="H21" s="3"/>
      <c r="I21" s="3"/>
      <c r="J21" s="4"/>
    </row>
    <row r="22" spans="1:10" x14ac:dyDescent="0.25">
      <c r="A22" s="3" t="s">
        <v>19</v>
      </c>
      <c r="B22" s="3"/>
      <c r="C22" s="3"/>
      <c r="D22" s="3"/>
      <c r="E22" s="3"/>
      <c r="F22" s="3"/>
      <c r="G22" s="3"/>
      <c r="H22" s="3"/>
      <c r="I22" s="3"/>
      <c r="J22" s="4"/>
    </row>
    <row r="23" spans="1:10" x14ac:dyDescent="0.25">
      <c r="A23" s="3" t="s">
        <v>20</v>
      </c>
      <c r="B23" s="3"/>
      <c r="C23" s="3"/>
      <c r="D23" s="3"/>
      <c r="E23" s="3"/>
      <c r="F23" s="3"/>
      <c r="G23" s="3"/>
      <c r="H23" s="3"/>
      <c r="I23" s="3"/>
      <c r="J23" s="4"/>
    </row>
    <row r="24" spans="1:10" x14ac:dyDescent="0.25">
      <c r="A24" s="3" t="s">
        <v>21</v>
      </c>
      <c r="B24" s="3"/>
      <c r="C24" s="3"/>
      <c r="D24" s="3"/>
      <c r="E24" s="3"/>
      <c r="F24" s="3"/>
      <c r="G24" s="3"/>
      <c r="H24" s="3"/>
      <c r="I24" s="3"/>
      <c r="J24" s="4"/>
    </row>
    <row r="25" spans="1:10" x14ac:dyDescent="0.25">
      <c r="A25" s="3" t="s">
        <v>22</v>
      </c>
      <c r="B25" s="5"/>
      <c r="C25" s="5"/>
      <c r="D25" s="5"/>
      <c r="E25" s="5"/>
      <c r="F25" s="5"/>
      <c r="G25" s="5"/>
      <c r="H25" s="5"/>
      <c r="I25" s="5"/>
      <c r="J25" s="6"/>
    </row>
    <row r="26" spans="1:10" x14ac:dyDescent="0.25">
      <c r="A26" s="3" t="s">
        <v>23</v>
      </c>
      <c r="B26" s="3"/>
      <c r="C26" s="3"/>
      <c r="D26" s="3"/>
      <c r="E26" s="3"/>
      <c r="F26" s="3"/>
      <c r="G26" s="3"/>
      <c r="H26" s="3"/>
      <c r="I26" s="3"/>
      <c r="J26" s="4"/>
    </row>
    <row r="27" spans="1:10" x14ac:dyDescent="0.25">
      <c r="A27" s="3" t="s">
        <v>24</v>
      </c>
      <c r="B27" s="3"/>
      <c r="C27" s="3"/>
      <c r="D27" s="3"/>
      <c r="E27" s="3"/>
      <c r="F27" s="3"/>
      <c r="G27" s="3"/>
      <c r="H27" s="3"/>
      <c r="I27" s="3"/>
      <c r="J27" s="4"/>
    </row>
    <row r="28" spans="1:10" x14ac:dyDescent="0.25">
      <c r="A28" s="3" t="s">
        <v>25</v>
      </c>
      <c r="B28" s="3"/>
      <c r="C28" s="3"/>
      <c r="D28" s="3"/>
      <c r="E28" s="3"/>
      <c r="F28" s="3"/>
      <c r="G28" s="3"/>
      <c r="H28" s="3"/>
      <c r="I28" s="3"/>
      <c r="J28" s="4"/>
    </row>
    <row r="29" spans="1:10" x14ac:dyDescent="0.25">
      <c r="A29" s="3" t="s">
        <v>26</v>
      </c>
      <c r="B29" s="3"/>
      <c r="C29" s="3"/>
      <c r="D29" s="3"/>
      <c r="E29" s="3"/>
      <c r="F29" s="3"/>
      <c r="G29" s="3"/>
      <c r="H29" s="3"/>
      <c r="I29" s="3"/>
      <c r="J29" s="4"/>
    </row>
    <row r="30" spans="1:10" x14ac:dyDescent="0.25">
      <c r="A30" s="3" t="s">
        <v>27</v>
      </c>
      <c r="B30" s="3"/>
      <c r="C30" s="3"/>
      <c r="D30" s="3"/>
      <c r="E30" s="3"/>
      <c r="F30" s="3"/>
      <c r="G30" s="3"/>
      <c r="H30" s="3"/>
      <c r="I30" s="3"/>
      <c r="J30" s="4"/>
    </row>
    <row r="31" spans="1:10" x14ac:dyDescent="0.25">
      <c r="A31" s="3" t="s">
        <v>63</v>
      </c>
      <c r="B31" s="3"/>
      <c r="C31" s="3"/>
      <c r="D31" s="3"/>
      <c r="E31" s="3"/>
      <c r="F31" s="3"/>
      <c r="G31" s="3"/>
      <c r="H31" s="3"/>
      <c r="I31" s="3"/>
      <c r="J31" s="4"/>
    </row>
    <row r="32" spans="1:10" x14ac:dyDescent="0.25">
      <c r="A32" s="3" t="s">
        <v>28</v>
      </c>
      <c r="B32" s="3"/>
      <c r="C32" s="3"/>
      <c r="D32" s="3"/>
      <c r="E32" s="3"/>
      <c r="F32" s="3"/>
      <c r="G32" s="3"/>
      <c r="H32" s="3"/>
      <c r="I32" s="3"/>
      <c r="J32" s="4"/>
    </row>
    <row r="33" spans="1:12" x14ac:dyDescent="0.25">
      <c r="A33" s="3" t="s">
        <v>4</v>
      </c>
      <c r="B33" s="3"/>
      <c r="C33" s="3"/>
      <c r="D33" s="3"/>
      <c r="E33" s="3"/>
      <c r="F33" s="3"/>
      <c r="G33" s="3"/>
      <c r="H33" s="3"/>
      <c r="I33" s="3"/>
      <c r="J33" s="4"/>
    </row>
    <row r="34" spans="1:12" x14ac:dyDescent="0.25">
      <c r="A34" s="3" t="s">
        <v>5</v>
      </c>
      <c r="B34" s="3"/>
      <c r="C34" s="3"/>
      <c r="D34" s="3"/>
      <c r="E34" s="3"/>
      <c r="F34" s="3"/>
      <c r="G34" s="3"/>
      <c r="H34" s="3"/>
      <c r="I34" s="3"/>
      <c r="J34" s="4"/>
    </row>
    <row r="35" spans="1:12" x14ac:dyDescent="0.25">
      <c r="A35" s="3" t="s">
        <v>6</v>
      </c>
      <c r="B35" s="19" t="s">
        <v>1</v>
      </c>
      <c r="C35" s="19" t="s">
        <v>56</v>
      </c>
      <c r="D35" s="19" t="s">
        <v>0</v>
      </c>
      <c r="E35" s="19">
        <v>55</v>
      </c>
      <c r="F35" s="19">
        <v>57</v>
      </c>
      <c r="G35" s="19">
        <v>59</v>
      </c>
      <c r="H35" s="19">
        <v>61</v>
      </c>
      <c r="I35" s="19">
        <v>63</v>
      </c>
      <c r="J35" s="20" t="s">
        <v>2</v>
      </c>
    </row>
    <row r="36" spans="1:12" x14ac:dyDescent="0.25">
      <c r="A36" s="3" t="s">
        <v>64</v>
      </c>
      <c r="B36" s="21" t="str" cm="1">
        <f t="array" ref="B36">БУКВЫ(MID($A36,3,12))</f>
        <v>24584017</v>
      </c>
      <c r="C36" s="21" t="str">
        <f>MID($A37,1,FIND("Per",A37)-1)</f>
        <v xml:space="preserve">Traveller Panama 7/8 </v>
      </c>
      <c r="D36" s="21" t="str">
        <f>_xlfn.LET(_xlpm.Searching,"OSFA",_xlpm.inStr,IFERROR(FIND(_xlpm.Searching,$A38)&gt;=1,FALSE),IF(AND(_xlpm.inStr,LEN(A38)&lt;=6),A39,""))</f>
        <v/>
      </c>
      <c r="E36" s="21" t="str">
        <f>_xlfn.LET(_xlpm.Searching,"55",_xlpm.inStr,IFERROR(FIND(_xlpm.Searching,$A38)&gt;=1,FALSE),IF(AND(_xlpm.inStr,LEN(A38)&lt;=6),A39,""))</f>
        <v/>
      </c>
      <c r="F36" s="21" t="str">
        <f>_xlfn.LET(_xlpm.Searching,"57",_xlpm.inStr,IFERROR(FIND(_xlpm.Searching,$A38)&gt;=1,FALSE),IF(AND(_xlpm.inStr,LEN(A38)&lt;=6),$A39,""))&amp;F37</f>
        <v/>
      </c>
      <c r="G36" s="21" t="str">
        <f>_xlfn.LET(_xlpm.Searching,"59",_xlpm.inStr,IFERROR(FIND(_xlpm.Searching,$A38)&gt;=1,FALSE),IF(AND(_xlpm.inStr,LEN(A38)&lt;=6),$A39,""))&amp;G37&amp;G38</f>
        <v>1</v>
      </c>
      <c r="H36" s="21" t="str">
        <f>_xlfn.LET(_xlpm.Searching,"61",_xlpm.inStr,IFERROR(FIND(_xlpm.Searching,$A38)&gt;=1,FALSE),IF(AND(_xlpm.inStr,LEN(A38)&lt;=6),$A39,""))&amp;H37&amp;H38&amp;H39</f>
        <v>1</v>
      </c>
      <c r="I36" s="21" t="str">
        <f>_xlfn.LET(_xlpm.Searching,"63",_xlpm.inStr,IFERROR(FIND(_xlpm.Searching,$A38)&gt;=1,FALSE),IF(AND(_xlpm.inStr,LEN(A38)&lt;=6),$A39,""))&amp;I37&amp;I38&amp;I39&amp;I40</f>
        <v/>
      </c>
      <c r="J36" s="22">
        <f>MID(TRIM(RIGHT(A36,10)),1,LEN(TRIM(RIGHT(A36,10)))-3)*0.8</f>
        <v>92</v>
      </c>
    </row>
    <row r="37" spans="1:12" x14ac:dyDescent="0.25">
      <c r="A37" s="3" t="s">
        <v>65</v>
      </c>
      <c r="B37" s="21" t="str">
        <f>B36</f>
        <v>24584017</v>
      </c>
      <c r="C37" s="21" t="str">
        <f>C36</f>
        <v xml:space="preserve">Traveller Panama 7/8 </v>
      </c>
      <c r="D37" s="23"/>
      <c r="E37" s="23"/>
      <c r="F37" s="21" t="str">
        <f>_xlfn.LET(_xlpm.Searching,"57",_xlpm.inStr,IFERROR(FIND(_xlpm.Searching,$A40)&gt;=1,FALSE),IF(AND(_xlpm.inStr,LEN(A40)&lt;=6),$A41,""))</f>
        <v/>
      </c>
      <c r="G37" s="21" t="str">
        <f>_xlfn.LET(_xlpm.Searching,"59",_xlpm.inStr,IFERROR(FIND(_xlpm.Searching,$A40)&gt;=1,FALSE),IF(AND(_xlpm.inStr,LEN(A40)&lt;=6),$A41,""))</f>
        <v/>
      </c>
      <c r="H37" s="21">
        <f>_xlfn.LET(_xlpm.Searching,"61",_xlpm.inStr,IFERROR(FIND(_xlpm.Searching,$A40)&gt;=1,FALSE),IF(AND(_xlpm.inStr,LEN(A40)&lt;=6),$A41,""))</f>
        <v>1</v>
      </c>
      <c r="I37" s="21" t="str">
        <f>_xlfn.LET(_xlpm.Searching,"63",_xlpm.inStr,IFERROR(FIND(_xlpm.Searching,$A40)&gt;=1,FALSE),IF(AND(_xlpm.inStr,LEN(A40)&lt;=6),$A41,""))</f>
        <v/>
      </c>
      <c r="J37" s="22"/>
    </row>
    <row r="38" spans="1:12" x14ac:dyDescent="0.25">
      <c r="A38" s="3" t="s">
        <v>29</v>
      </c>
      <c r="B38" s="21" t="str">
        <f t="shared" ref="B38:B40" si="0">B37</f>
        <v>24584017</v>
      </c>
      <c r="C38" s="21" t="str">
        <f t="shared" ref="C38:C40" si="1">C37</f>
        <v xml:space="preserve">Traveller Panama 7/8 </v>
      </c>
      <c r="D38" s="23"/>
      <c r="E38" s="23"/>
      <c r="F38" s="23"/>
      <c r="G38" s="21" t="str">
        <f>_xlfn.LET(_xlpm.Searching,"59",_xlpm.inStr,IFERROR(FIND(_xlpm.Searching,$A42)&gt;=1,FALSE),IF(AND(_xlpm.inStr,LEN(A42)&lt;=6),$A43,""))</f>
        <v/>
      </c>
      <c r="H38" s="21" t="str">
        <f>_xlfn.LET(_xlpm.Searching,"61",_xlpm.inStr,IFERROR(FIND(_xlpm.Searching,$A42)&gt;=1,FALSE),IF(AND(_xlpm.inStr,LEN(A42)&lt;=6),$A43,""))</f>
        <v/>
      </c>
      <c r="I38" s="21" t="str">
        <f>_xlfn.LET(_xlpm.Searching,"63",_xlpm.inStr,IFERROR(FIND(_xlpm.Searching,$A42)&gt;=1,FALSE),IF(AND(_xlpm.inStr,LEN(A42)&lt;=6),$A43,""))</f>
        <v/>
      </c>
      <c r="J38" s="22"/>
    </row>
    <row r="39" spans="1:12" x14ac:dyDescent="0.25">
      <c r="A39" s="3">
        <v>1</v>
      </c>
      <c r="B39" s="21" t="str">
        <f t="shared" si="0"/>
        <v>24584017</v>
      </c>
      <c r="C39" s="21" t="str">
        <f t="shared" si="1"/>
        <v xml:space="preserve">Traveller Panama 7/8 </v>
      </c>
      <c r="D39" s="23"/>
      <c r="E39" s="23"/>
      <c r="F39" s="23"/>
      <c r="G39" s="23"/>
      <c r="H39" s="21" t="str">
        <f>_xlfn.LET(_xlpm.Searching,"61",_xlpm.inStr,IFERROR(FIND(_xlpm.Searching,$A44)&gt;=1,FALSE),IF(AND(_xlpm.inStr,LEN(A44)&lt;=6),$A45,""))</f>
        <v/>
      </c>
      <c r="I39" s="21" t="str">
        <f>_xlfn.LET(_xlpm.Searching,"63",_xlpm.inStr,IFERROR(FIND(_xlpm.Searching,$A44)&gt;=1,FALSE),IF(AND(_xlpm.inStr,LEN(A44)&lt;=6),$A45,""))</f>
        <v/>
      </c>
      <c r="J39" s="22"/>
    </row>
    <row r="40" spans="1:12" x14ac:dyDescent="0.25">
      <c r="A40" s="3" t="s">
        <v>66</v>
      </c>
      <c r="B40" s="21" t="str">
        <f t="shared" si="0"/>
        <v>24584017</v>
      </c>
      <c r="C40" s="21" t="str">
        <f t="shared" si="1"/>
        <v xml:space="preserve">Traveller Panama 7/8 </v>
      </c>
      <c r="D40" s="23"/>
      <c r="E40" s="23"/>
      <c r="F40" s="23"/>
      <c r="G40" s="23"/>
      <c r="H40" s="23"/>
      <c r="I40" s="21" t="str">
        <f>_xlfn.LET(_xlpm.Searching,"63",_xlpm.inStr,IFERROR(FIND(_xlpm.Searching,$A46)&gt;=1,FALSE),IF(AND(_xlpm.inStr,LEN(A46)&lt;=6),$A47,""))</f>
        <v/>
      </c>
      <c r="J40" s="22"/>
    </row>
    <row r="41" spans="1:12" x14ac:dyDescent="0.25">
      <c r="A41" s="3">
        <v>1</v>
      </c>
      <c r="B41" s="3"/>
      <c r="C41" s="3"/>
      <c r="D41" s="3"/>
      <c r="E41" s="3"/>
      <c r="F41" s="3"/>
      <c r="G41" s="3"/>
      <c r="H41" s="3"/>
      <c r="I41" s="3"/>
      <c r="J41" s="4"/>
      <c r="K41" s="3"/>
      <c r="L41" s="3"/>
    </row>
    <row r="42" spans="1:12" x14ac:dyDescent="0.25">
      <c r="A42" s="3" t="s">
        <v>67</v>
      </c>
      <c r="B42" s="3"/>
      <c r="C42" s="3"/>
      <c r="D42" s="3"/>
      <c r="E42" s="3"/>
      <c r="F42" s="3"/>
      <c r="G42" s="3"/>
      <c r="H42" s="3"/>
      <c r="I42" s="3"/>
      <c r="J42" s="4"/>
      <c r="K42" s="3"/>
      <c r="L42" s="3"/>
    </row>
    <row r="43" spans="1:12" x14ac:dyDescent="0.25">
      <c r="A43" s="3" t="s">
        <v>68</v>
      </c>
      <c r="B43" s="3"/>
      <c r="C43" s="3"/>
      <c r="D43" s="3"/>
      <c r="E43" s="3"/>
      <c r="F43" s="3"/>
      <c r="G43" s="3"/>
      <c r="H43" s="3"/>
      <c r="I43" s="3"/>
      <c r="J43" s="4"/>
      <c r="K43" s="3"/>
      <c r="L43" s="3"/>
    </row>
    <row r="44" spans="1:12" x14ac:dyDescent="0.25">
      <c r="A44" s="3" t="s">
        <v>69</v>
      </c>
      <c r="B44" s="19" t="s">
        <v>1</v>
      </c>
      <c r="C44" s="19" t="s">
        <v>56</v>
      </c>
      <c r="D44" s="19" t="s">
        <v>0</v>
      </c>
      <c r="E44" s="19">
        <v>55</v>
      </c>
      <c r="F44" s="19">
        <v>57</v>
      </c>
      <c r="G44" s="19">
        <v>59</v>
      </c>
      <c r="H44" s="19">
        <v>61</v>
      </c>
      <c r="I44" s="19">
        <v>63</v>
      </c>
      <c r="J44" s="20" t="s">
        <v>2</v>
      </c>
      <c r="K44" s="3"/>
      <c r="L44" s="3"/>
    </row>
    <row r="45" spans="1:12" x14ac:dyDescent="0.25">
      <c r="A45" s="3" t="s">
        <v>70</v>
      </c>
      <c r="B45" s="21" t="str" cm="1">
        <f t="array" ref="B45">БУКВЫ(MID($A45,3,12))</f>
        <v>684390528</v>
      </c>
      <c r="C45" s="21" t="str">
        <f>MID($A46,1,FIND("Per",A46)-1)</f>
        <v xml:space="preserve">Hatteras Patchwork </v>
      </c>
      <c r="D45" s="21" t="str">
        <f>_xlfn.LET(_xlpm.Searching,"OSFA",_xlpm.inStr,IFERROR(FIND(_xlpm.Searching,$A47)&gt;=1,FALSE),IF(AND(_xlpm.inStr,LEN(A47)&lt;=6),A48,""))</f>
        <v/>
      </c>
      <c r="E45" s="21">
        <f>_xlfn.LET(_xlpm.Searching,"55",_xlpm.inStr,IFERROR(FIND(_xlpm.Searching,$A47)&gt;=1,FALSE),IF(AND(_xlpm.inStr,LEN(A47)&lt;=6),A48,""))</f>
        <v>3</v>
      </c>
      <c r="F45" s="21" t="str">
        <f>_xlfn.LET(_xlpm.Searching,"57",_xlpm.inStr,IFERROR(FIND(_xlpm.Searching,$A47)&gt;=1,FALSE),IF(AND(_xlpm.inStr,LEN(A47)&lt;=6),$A48,""))&amp;F46</f>
        <v>7</v>
      </c>
      <c r="G45" s="21" t="str">
        <f>_xlfn.LET(_xlpm.Searching,"59",_xlpm.inStr,IFERROR(FIND(_xlpm.Searching,$A47)&gt;=1,FALSE),IF(AND(_xlpm.inStr,LEN(A47)&lt;=6),$A48,""))&amp;G46&amp;G47</f>
        <v>9</v>
      </c>
      <c r="H45" s="21" t="str">
        <f>_xlfn.LET(_xlpm.Searching,"61",_xlpm.inStr,IFERROR(FIND(_xlpm.Searching,$A47)&gt;=1,FALSE),IF(AND(_xlpm.inStr,LEN(A47)&lt;=6),$A48,""))&amp;H46&amp;H47&amp;H48</f>
        <v>7</v>
      </c>
      <c r="I45" s="21" t="str">
        <f>_xlfn.LET(_xlpm.Searching,"63",_xlpm.inStr,IFERROR(FIND(_xlpm.Searching,$A47)&gt;=1,FALSE),IF(AND(_xlpm.inStr,LEN(A47)&lt;=6),$A48,""))&amp;I46&amp;I47&amp;I48&amp;I49</f>
        <v>3</v>
      </c>
      <c r="J45" s="22">
        <f>MID(TRIM(RIGHT(A45,10)),1,LEN(TRIM(RIGHT(A45,10)))-3)*0.8</f>
        <v>23.92</v>
      </c>
      <c r="K45" s="3"/>
      <c r="L45" s="3"/>
    </row>
    <row r="46" spans="1:12" x14ac:dyDescent="0.25">
      <c r="A46" s="3" t="s">
        <v>71</v>
      </c>
      <c r="B46" s="21" t="str">
        <f>B45</f>
        <v>684390528</v>
      </c>
      <c r="C46" s="21" t="str">
        <f>C45</f>
        <v xml:space="preserve">Hatteras Patchwork </v>
      </c>
      <c r="D46" s="23"/>
      <c r="E46" s="23"/>
      <c r="F46" s="21">
        <f>_xlfn.LET(_xlpm.Searching,"57",_xlpm.inStr,IFERROR(FIND(_xlpm.Searching,$A49)&gt;=1,FALSE),IF(AND(_xlpm.inStr,LEN(A49)&lt;=6),$A50,""))</f>
        <v>7</v>
      </c>
      <c r="G46" s="21" t="str">
        <f>_xlfn.LET(_xlpm.Searching,"59",_xlpm.inStr,IFERROR(FIND(_xlpm.Searching,$A49)&gt;=1,FALSE),IF(AND(_xlpm.inStr,LEN(A49)&lt;=6),$A50,""))</f>
        <v/>
      </c>
      <c r="H46" s="21" t="str">
        <f>_xlfn.LET(_xlpm.Searching,"61",_xlpm.inStr,IFERROR(FIND(_xlpm.Searching,$A49)&gt;=1,FALSE),IF(AND(_xlpm.inStr,LEN(A49)&lt;=6),$A50,""))</f>
        <v/>
      </c>
      <c r="I46" s="21" t="str">
        <f>_xlfn.LET(_xlpm.Searching,"63",_xlpm.inStr,IFERROR(FIND(_xlpm.Searching,$A49)&gt;=1,FALSE),IF(AND(_xlpm.inStr,LEN(A49)&lt;=6),$A50,""))</f>
        <v/>
      </c>
      <c r="J46" s="22"/>
      <c r="K46" s="3"/>
      <c r="L46" s="3"/>
    </row>
    <row r="47" spans="1:12" x14ac:dyDescent="0.25">
      <c r="A47" s="3" t="s">
        <v>72</v>
      </c>
      <c r="B47" s="21" t="str">
        <f t="shared" ref="B47:C49" si="2">B46</f>
        <v>684390528</v>
      </c>
      <c r="C47" s="21" t="str">
        <f t="shared" si="2"/>
        <v xml:space="preserve">Hatteras Patchwork </v>
      </c>
      <c r="D47" s="23"/>
      <c r="E47" s="23"/>
      <c r="F47" s="23"/>
      <c r="G47" s="21">
        <f>_xlfn.LET(_xlpm.Searching,"59",_xlpm.inStr,IFERROR(FIND(_xlpm.Searching,$A51)&gt;=1,FALSE),IF(AND(_xlpm.inStr,LEN(A51)&lt;=6),$A52,""))</f>
        <v>9</v>
      </c>
      <c r="H47" s="21" t="str">
        <f>_xlfn.LET(_xlpm.Searching,"61",_xlpm.inStr,IFERROR(FIND(_xlpm.Searching,$A51)&gt;=1,FALSE),IF(AND(_xlpm.inStr,LEN(A51)&lt;=6),$A52,""))</f>
        <v/>
      </c>
      <c r="I47" s="21" t="str">
        <f>_xlfn.LET(_xlpm.Searching,"63",_xlpm.inStr,IFERROR(FIND(_xlpm.Searching,$A51)&gt;=1,FALSE),IF(AND(_xlpm.inStr,LEN(A51)&lt;=6),$A52,""))</f>
        <v/>
      </c>
      <c r="J47" s="22"/>
      <c r="K47" s="3"/>
      <c r="L47" s="3"/>
    </row>
    <row r="48" spans="1:12" x14ac:dyDescent="0.25">
      <c r="A48" s="3">
        <v>3</v>
      </c>
      <c r="B48" s="21" t="str">
        <f t="shared" si="2"/>
        <v>684390528</v>
      </c>
      <c r="C48" s="21" t="str">
        <f t="shared" si="2"/>
        <v xml:space="preserve">Hatteras Patchwork </v>
      </c>
      <c r="D48" s="23"/>
      <c r="E48" s="23"/>
      <c r="F48" s="23"/>
      <c r="G48" s="23"/>
      <c r="H48" s="21">
        <f>_xlfn.LET(_xlpm.Searching,"61",_xlpm.inStr,IFERROR(FIND(_xlpm.Searching,$A53)&gt;=1,FALSE),IF(AND(_xlpm.inStr,LEN(A53)&lt;=6),$A54,""))</f>
        <v>7</v>
      </c>
      <c r="I48" s="21" t="str">
        <f>_xlfn.LET(_xlpm.Searching,"63",_xlpm.inStr,IFERROR(FIND(_xlpm.Searching,$A53)&gt;=1,FALSE),IF(AND(_xlpm.inStr,LEN(A53)&lt;=6),$A54,""))</f>
        <v/>
      </c>
      <c r="J48" s="22"/>
      <c r="K48" s="3"/>
      <c r="L48" s="3"/>
    </row>
    <row r="49" spans="1:12" x14ac:dyDescent="0.25">
      <c r="A49" s="3" t="s">
        <v>30</v>
      </c>
      <c r="B49" s="21" t="str">
        <f t="shared" si="2"/>
        <v>684390528</v>
      </c>
      <c r="C49" s="21" t="str">
        <f t="shared" si="2"/>
        <v xml:space="preserve">Hatteras Patchwork </v>
      </c>
      <c r="D49" s="23"/>
      <c r="E49" s="23"/>
      <c r="F49" s="23"/>
      <c r="G49" s="23"/>
      <c r="H49" s="23"/>
      <c r="I49" s="21">
        <f>_xlfn.LET(_xlpm.Searching,"63",_xlpm.inStr,IFERROR(FIND(_xlpm.Searching,$A55)&gt;=1,FALSE),IF(AND(_xlpm.inStr,LEN(A55)&lt;=6),$A56,""))</f>
        <v>3</v>
      </c>
      <c r="J49" s="22"/>
      <c r="K49" s="3"/>
      <c r="L49" s="3"/>
    </row>
    <row r="50" spans="1:12" x14ac:dyDescent="0.25">
      <c r="A50" s="3">
        <v>7</v>
      </c>
      <c r="B50" s="3"/>
      <c r="C50" s="3"/>
      <c r="D50" s="3"/>
      <c r="E50" s="3"/>
      <c r="F50" s="3"/>
      <c r="G50" s="3"/>
      <c r="H50" s="3"/>
      <c r="I50" s="3"/>
      <c r="J50" s="4"/>
      <c r="K50" s="3"/>
      <c r="L50" s="3"/>
    </row>
    <row r="51" spans="1:12" x14ac:dyDescent="0.25">
      <c r="A51" s="3" t="s">
        <v>29</v>
      </c>
      <c r="B51" s="3"/>
      <c r="C51" s="3"/>
      <c r="D51" s="3"/>
      <c r="E51" s="3"/>
      <c r="F51" s="3"/>
      <c r="G51" s="3"/>
      <c r="H51" s="3"/>
      <c r="I51" s="3"/>
      <c r="J51" s="4"/>
      <c r="K51" s="3"/>
      <c r="L51" s="3"/>
    </row>
    <row r="52" spans="1:12" x14ac:dyDescent="0.25">
      <c r="A52" s="3">
        <v>9</v>
      </c>
      <c r="B52" s="3"/>
      <c r="C52" s="3"/>
      <c r="D52" s="3"/>
      <c r="E52" s="3"/>
      <c r="F52" s="3"/>
      <c r="G52" s="3"/>
      <c r="H52" s="3"/>
      <c r="I52" s="3"/>
      <c r="J52" s="4"/>
      <c r="K52" s="3"/>
      <c r="L52" s="3"/>
    </row>
    <row r="53" spans="1:12" x14ac:dyDescent="0.25">
      <c r="A53" s="3" t="s">
        <v>66</v>
      </c>
      <c r="B53" s="5"/>
      <c r="C53" s="5"/>
      <c r="D53" s="5"/>
      <c r="E53" s="5"/>
      <c r="F53" s="5"/>
      <c r="G53" s="5"/>
      <c r="H53" s="5"/>
      <c r="I53" s="5"/>
      <c r="J53" s="6"/>
      <c r="K53" s="3"/>
      <c r="L53" s="3"/>
    </row>
    <row r="54" spans="1:12" x14ac:dyDescent="0.25">
      <c r="A54" s="3">
        <v>7</v>
      </c>
      <c r="B54" s="3"/>
      <c r="C54" s="3"/>
      <c r="D54" s="3"/>
      <c r="E54" s="3"/>
      <c r="F54" s="3"/>
      <c r="G54" s="3"/>
      <c r="H54" s="3"/>
      <c r="I54" s="3"/>
      <c r="J54" s="4"/>
      <c r="K54" s="3"/>
      <c r="L54" s="3"/>
    </row>
    <row r="55" spans="1:12" x14ac:dyDescent="0.25">
      <c r="A55" s="3" t="s">
        <v>73</v>
      </c>
      <c r="B55" s="3"/>
      <c r="C55" s="3"/>
      <c r="D55" s="3"/>
      <c r="E55" s="3"/>
      <c r="F55" s="3"/>
      <c r="G55" s="3"/>
      <c r="H55" s="3"/>
      <c r="I55" s="3"/>
      <c r="J55" s="4"/>
      <c r="K55" s="3"/>
      <c r="L55" s="3"/>
    </row>
    <row r="56" spans="1:12" x14ac:dyDescent="0.25">
      <c r="A56" s="3">
        <v>3</v>
      </c>
      <c r="B56" s="3"/>
      <c r="C56" s="3"/>
      <c r="D56" s="3"/>
      <c r="E56" s="3"/>
      <c r="F56" s="3"/>
      <c r="G56" s="3"/>
      <c r="H56" s="3"/>
      <c r="I56" s="3"/>
      <c r="J56" s="4"/>
      <c r="K56" s="3"/>
      <c r="L56" s="3"/>
    </row>
    <row r="57" spans="1:12" x14ac:dyDescent="0.25">
      <c r="A57" s="3" t="s">
        <v>74</v>
      </c>
      <c r="B57" s="3"/>
      <c r="C57" s="3"/>
      <c r="D57" s="3"/>
      <c r="E57" s="3"/>
      <c r="F57" s="3"/>
      <c r="G57" s="3"/>
      <c r="H57" s="3"/>
      <c r="I57" s="3"/>
      <c r="J57" s="4"/>
      <c r="K57" s="3"/>
      <c r="L57" s="3"/>
    </row>
    <row r="58" spans="1:12" x14ac:dyDescent="0.25">
      <c r="A58" s="3" t="s">
        <v>75</v>
      </c>
      <c r="B58" s="3"/>
      <c r="C58" s="3"/>
      <c r="D58" s="3"/>
      <c r="E58" s="3"/>
      <c r="F58" s="3"/>
      <c r="G58" s="3"/>
      <c r="H58" s="3"/>
      <c r="I58" s="3"/>
      <c r="J58" s="4"/>
      <c r="K58" s="3"/>
      <c r="L58" s="3"/>
    </row>
    <row r="59" spans="1:12" x14ac:dyDescent="0.25">
      <c r="A59" s="3" t="s">
        <v>76</v>
      </c>
      <c r="B59" s="19" t="s">
        <v>1</v>
      </c>
      <c r="C59" s="19" t="s">
        <v>56</v>
      </c>
      <c r="D59" s="19" t="s">
        <v>0</v>
      </c>
      <c r="E59" s="19">
        <v>55</v>
      </c>
      <c r="F59" s="19">
        <v>57</v>
      </c>
      <c r="G59" s="19">
        <v>59</v>
      </c>
      <c r="H59" s="19">
        <v>61</v>
      </c>
      <c r="I59" s="19">
        <v>63</v>
      </c>
      <c r="J59" s="20" t="s">
        <v>2</v>
      </c>
      <c r="K59" s="3"/>
      <c r="L59" s="3"/>
    </row>
    <row r="60" spans="1:12" x14ac:dyDescent="0.25">
      <c r="A60" s="3" t="s">
        <v>77</v>
      </c>
      <c r="B60" s="21" t="str" cm="1">
        <f t="array" ref="B60">БУКВЫ(MID($A60,3,12))</f>
        <v>661110523</v>
      </c>
      <c r="C60" s="21" t="str">
        <f>MID($A61,1,FIND("Per",A61)-1)</f>
        <v xml:space="preserve">Texas Cotton </v>
      </c>
      <c r="D60" s="21" t="str">
        <f>_xlfn.LET(_xlpm.Searching,"OSFA",_xlpm.inStr,IFERROR(FIND(_xlpm.Searching,$A62)&gt;=1,FALSE),IF(AND(_xlpm.inStr,LEN(A62)&lt;=6),A63,""))</f>
        <v/>
      </c>
      <c r="E60" s="21" t="str">
        <f>_xlfn.LET(_xlpm.Searching,"55",_xlpm.inStr,IFERROR(FIND(_xlpm.Searching,$A62)&gt;=1,FALSE),IF(AND(_xlpm.inStr,LEN(A62)&lt;=6),A63,""))</f>
        <v/>
      </c>
      <c r="F60" s="21" t="str">
        <f>_xlfn.LET(_xlpm.Searching,"57",_xlpm.inStr,IFERROR(FIND(_xlpm.Searching,$A62)&gt;=1,FALSE),IF(AND(_xlpm.inStr,LEN(A62)&lt;=6),$A63,""))&amp;F61</f>
        <v/>
      </c>
      <c r="G60" s="21" t="str">
        <f>_xlfn.LET(_xlpm.Searching,"59",_xlpm.inStr,IFERROR(FIND(_xlpm.Searching,$A62)&gt;=1,FALSE),IF(AND(_xlpm.inStr,LEN(A62)&lt;=6),$A63,""))&amp;G61&amp;G62</f>
        <v>4</v>
      </c>
      <c r="H60" s="21" t="str">
        <f>_xlfn.LET(_xlpm.Searching,"61",_xlpm.inStr,IFERROR(FIND(_xlpm.Searching,$A62)&gt;=1,FALSE),IF(AND(_xlpm.inStr,LEN(A62)&lt;=6),$A63,""))&amp;H61&amp;H62&amp;H63</f>
        <v>2</v>
      </c>
      <c r="I60" s="21" t="str">
        <f>_xlfn.LET(_xlpm.Searching,"63",_xlpm.inStr,IFERROR(FIND(_xlpm.Searching,$A62)&gt;=1,FALSE),IF(AND(_xlpm.inStr,LEN(A62)&lt;=6),$A63,""))&amp;I61&amp;I62&amp;I63&amp;I64</f>
        <v/>
      </c>
      <c r="J60" s="22">
        <f>MID(TRIM(RIGHT(A60,10)),1,LEN(TRIM(RIGHT(A60,10)))-3)*0.8</f>
        <v>10.32</v>
      </c>
      <c r="K60" s="3"/>
      <c r="L60" s="3"/>
    </row>
    <row r="61" spans="1:12" x14ac:dyDescent="0.25">
      <c r="A61" s="3" t="s">
        <v>45</v>
      </c>
      <c r="B61" s="21" t="str">
        <f>B60</f>
        <v>661110523</v>
      </c>
      <c r="C61" s="21" t="str">
        <f>C60</f>
        <v xml:space="preserve">Texas Cotton </v>
      </c>
      <c r="D61" s="23"/>
      <c r="E61" s="23"/>
      <c r="F61" s="21" t="str">
        <f>_xlfn.LET(_xlpm.Searching,"57",_xlpm.inStr,IFERROR(FIND(_xlpm.Searching,$A64)&gt;=1,FALSE),IF(AND(_xlpm.inStr,LEN(A64)&lt;=6),$A65,""))</f>
        <v/>
      </c>
      <c r="G61" s="21" t="str">
        <f>_xlfn.LET(_xlpm.Searching,"59",_xlpm.inStr,IFERROR(FIND(_xlpm.Searching,$A64)&gt;=1,FALSE),IF(AND(_xlpm.inStr,LEN(A64)&lt;=6),$A65,""))</f>
        <v/>
      </c>
      <c r="H61" s="21">
        <f>_xlfn.LET(_xlpm.Searching,"61",_xlpm.inStr,IFERROR(FIND(_xlpm.Searching,$A64)&gt;=1,FALSE),IF(AND(_xlpm.inStr,LEN(A64)&lt;=6),$A65,""))</f>
        <v>2</v>
      </c>
      <c r="I61" s="21" t="str">
        <f>_xlfn.LET(_xlpm.Searching,"63",_xlpm.inStr,IFERROR(FIND(_xlpm.Searching,$A64)&gt;=1,FALSE),IF(AND(_xlpm.inStr,LEN(A64)&lt;=6),$A65,""))</f>
        <v/>
      </c>
      <c r="J61" s="22"/>
      <c r="K61" s="3"/>
      <c r="L61" s="3"/>
    </row>
    <row r="62" spans="1:12" x14ac:dyDescent="0.25">
      <c r="A62" s="3" t="s">
        <v>29</v>
      </c>
      <c r="B62" s="21" t="str">
        <f t="shared" ref="B62:C64" si="3">B61</f>
        <v>661110523</v>
      </c>
      <c r="C62" s="21" t="str">
        <f t="shared" si="3"/>
        <v xml:space="preserve">Texas Cotton </v>
      </c>
      <c r="D62" s="23"/>
      <c r="E62" s="23"/>
      <c r="F62" s="23"/>
      <c r="G62" s="21" t="str">
        <f>_xlfn.LET(_xlpm.Searching,"59",_xlpm.inStr,IFERROR(FIND(_xlpm.Searching,$A66)&gt;=1,FALSE),IF(AND(_xlpm.inStr,LEN(A66)&lt;=6),$A67,""))</f>
        <v/>
      </c>
      <c r="H62" s="21" t="str">
        <f>_xlfn.LET(_xlpm.Searching,"61",_xlpm.inStr,IFERROR(FIND(_xlpm.Searching,$A66)&gt;=1,FALSE),IF(AND(_xlpm.inStr,LEN(A66)&lt;=6),$A67,""))</f>
        <v/>
      </c>
      <c r="I62" s="21" t="str">
        <f>_xlfn.LET(_xlpm.Searching,"63",_xlpm.inStr,IFERROR(FIND(_xlpm.Searching,$A66)&gt;=1,FALSE),IF(AND(_xlpm.inStr,LEN(A66)&lt;=6),$A67,""))</f>
        <v/>
      </c>
      <c r="J62" s="22"/>
      <c r="K62" s="3"/>
      <c r="L62" s="3"/>
    </row>
    <row r="63" spans="1:12" x14ac:dyDescent="0.25">
      <c r="A63" s="3">
        <v>4</v>
      </c>
      <c r="B63" s="21" t="str">
        <f t="shared" si="3"/>
        <v>661110523</v>
      </c>
      <c r="C63" s="21" t="str">
        <f t="shared" si="3"/>
        <v xml:space="preserve">Texas Cotton </v>
      </c>
      <c r="D63" s="23"/>
      <c r="E63" s="23"/>
      <c r="F63" s="23"/>
      <c r="G63" s="23"/>
      <c r="H63" s="21" t="str">
        <f>_xlfn.LET(_xlpm.Searching,"61",_xlpm.inStr,IFERROR(FIND(_xlpm.Searching,$A68)&gt;=1,FALSE),IF(AND(_xlpm.inStr,LEN(A68)&lt;=6),$A69,""))</f>
        <v/>
      </c>
      <c r="I63" s="21" t="str">
        <f>_xlfn.LET(_xlpm.Searching,"63",_xlpm.inStr,IFERROR(FIND(_xlpm.Searching,$A68)&gt;=1,FALSE),IF(AND(_xlpm.inStr,LEN(A68)&lt;=6),$A69,""))</f>
        <v/>
      </c>
      <c r="J63" s="22"/>
      <c r="K63" s="3"/>
      <c r="L63" s="3"/>
    </row>
    <row r="64" spans="1:12" x14ac:dyDescent="0.25">
      <c r="A64" s="3" t="s">
        <v>66</v>
      </c>
      <c r="B64" s="21" t="str">
        <f t="shared" si="3"/>
        <v>661110523</v>
      </c>
      <c r="C64" s="21" t="str">
        <f t="shared" si="3"/>
        <v xml:space="preserve">Texas Cotton </v>
      </c>
      <c r="D64" s="23"/>
      <c r="E64" s="23"/>
      <c r="F64" s="23"/>
      <c r="G64" s="23"/>
      <c r="H64" s="23"/>
      <c r="I64" s="21" t="str">
        <f>_xlfn.LET(_xlpm.Searching,"63",_xlpm.inStr,IFERROR(FIND(_xlpm.Searching,$A70)&gt;=1,FALSE),IF(AND(_xlpm.inStr,LEN(A70)&lt;=6),$A71,""))</f>
        <v/>
      </c>
      <c r="J64" s="22"/>
      <c r="K64" s="3"/>
      <c r="L64" s="3"/>
    </row>
    <row r="65" spans="1:12" x14ac:dyDescent="0.25">
      <c r="A65" s="3">
        <v>2</v>
      </c>
      <c r="B65" s="3"/>
      <c r="C65" s="3"/>
      <c r="D65" s="3"/>
      <c r="E65" s="3"/>
      <c r="F65" s="3"/>
      <c r="G65" s="3"/>
      <c r="H65" s="3"/>
      <c r="I65" s="3"/>
      <c r="J65" s="4"/>
      <c r="K65" s="3"/>
      <c r="L65" s="3"/>
    </row>
    <row r="66" spans="1:12" x14ac:dyDescent="0.25">
      <c r="A66" s="3" t="s">
        <v>46</v>
      </c>
      <c r="B66" s="3"/>
      <c r="C66" s="3"/>
      <c r="D66" s="3"/>
      <c r="E66" s="3"/>
      <c r="F66" s="3"/>
      <c r="G66" s="3"/>
      <c r="H66" s="3"/>
      <c r="I66" s="3"/>
      <c r="J66" s="4"/>
      <c r="K66" s="3"/>
      <c r="L66" s="3"/>
    </row>
    <row r="67" spans="1:12" x14ac:dyDescent="0.25">
      <c r="A67" s="3" t="s">
        <v>58</v>
      </c>
      <c r="B67" s="3"/>
      <c r="C67" s="3"/>
      <c r="D67" s="3"/>
      <c r="E67" s="3"/>
      <c r="F67" s="3"/>
      <c r="G67" s="3"/>
      <c r="H67" s="3"/>
      <c r="I67" s="3"/>
      <c r="J67" s="4"/>
      <c r="K67" s="3"/>
      <c r="L67" s="3"/>
    </row>
    <row r="68" spans="1:12" x14ac:dyDescent="0.25">
      <c r="A68" s="3" t="s">
        <v>59</v>
      </c>
      <c r="B68" s="3"/>
      <c r="C68" s="3"/>
      <c r="D68" s="3"/>
      <c r="E68" s="3"/>
      <c r="F68" s="3"/>
      <c r="G68" s="3"/>
      <c r="H68" s="3"/>
      <c r="I68" s="3"/>
      <c r="J68" s="4"/>
      <c r="K68" s="3"/>
      <c r="L68" s="3"/>
    </row>
    <row r="69" spans="1:12" x14ac:dyDescent="0.25">
      <c r="A69" s="3" t="s">
        <v>17</v>
      </c>
      <c r="B69" s="3"/>
      <c r="C69" s="3"/>
      <c r="D69" s="3"/>
      <c r="E69" s="3"/>
      <c r="F69" s="3"/>
      <c r="G69" s="3"/>
      <c r="H69" s="3"/>
      <c r="I69" s="3"/>
      <c r="J69" s="4"/>
      <c r="K69" s="3"/>
      <c r="L69" s="3"/>
    </row>
    <row r="70" spans="1:12" x14ac:dyDescent="0.25">
      <c r="A70" s="3" t="s">
        <v>31</v>
      </c>
      <c r="B70" s="3"/>
      <c r="C70" s="3"/>
      <c r="D70" s="3"/>
      <c r="E70" s="3"/>
      <c r="F70" s="3"/>
      <c r="G70" s="3"/>
      <c r="H70" s="3"/>
      <c r="I70" s="3"/>
      <c r="J70" s="4"/>
      <c r="K70" s="3"/>
      <c r="L70" s="3"/>
    </row>
    <row r="71" spans="1:12" x14ac:dyDescent="0.25">
      <c r="A71" s="3" t="s">
        <v>32</v>
      </c>
      <c r="B71" s="3"/>
      <c r="C71" s="3"/>
      <c r="D71" s="3"/>
      <c r="E71" s="3"/>
      <c r="F71" s="3"/>
      <c r="G71" s="3"/>
      <c r="H71" s="3"/>
      <c r="I71" s="3"/>
      <c r="J71" s="4"/>
      <c r="K71" s="3"/>
      <c r="L71" s="3"/>
    </row>
    <row r="72" spans="1:12" x14ac:dyDescent="0.25">
      <c r="A72" s="3" t="s">
        <v>33</v>
      </c>
      <c r="B72" s="3"/>
      <c r="C72" s="3"/>
      <c r="D72" s="3"/>
      <c r="E72" s="3"/>
      <c r="F72" s="3"/>
      <c r="G72" s="3"/>
      <c r="H72" s="3"/>
      <c r="I72" s="3"/>
      <c r="J72" s="4"/>
      <c r="K72" s="3"/>
      <c r="L72" s="3"/>
    </row>
    <row r="73" spans="1:12" x14ac:dyDescent="0.25">
      <c r="A73" s="3" t="s">
        <v>34</v>
      </c>
      <c r="B73" s="3"/>
      <c r="C73" s="3"/>
      <c r="D73" s="3"/>
      <c r="E73" s="3"/>
      <c r="F73" s="3"/>
      <c r="G73" s="3"/>
      <c r="H73" s="3"/>
      <c r="I73" s="3"/>
      <c r="J73" s="4"/>
      <c r="K73" s="3"/>
      <c r="L73" s="3"/>
    </row>
    <row r="74" spans="1:12" x14ac:dyDescent="0.25">
      <c r="A74" s="3" t="s">
        <v>35</v>
      </c>
      <c r="B74" s="3"/>
      <c r="C74" s="3"/>
      <c r="D74" s="3"/>
      <c r="E74" s="3"/>
      <c r="F74" s="3"/>
      <c r="G74" s="3"/>
      <c r="H74" s="3"/>
      <c r="I74" s="3"/>
      <c r="J74" s="4"/>
      <c r="K74" s="3"/>
      <c r="L74" s="3"/>
    </row>
    <row r="75" spans="1:12" x14ac:dyDescent="0.25">
      <c r="A75" s="3" t="s">
        <v>36</v>
      </c>
      <c r="B75" s="3"/>
      <c r="C75" s="3"/>
      <c r="D75" s="3"/>
      <c r="E75" s="3"/>
      <c r="F75" s="3"/>
      <c r="G75" s="3"/>
      <c r="H75" s="3"/>
      <c r="I75" s="3"/>
      <c r="J75" s="4"/>
      <c r="K75" s="3"/>
      <c r="L75" s="3"/>
    </row>
    <row r="76" spans="1:12" x14ac:dyDescent="0.25">
      <c r="A76" s="3" t="s">
        <v>37</v>
      </c>
      <c r="B76" s="3"/>
      <c r="C76" s="3"/>
      <c r="D76" s="3"/>
      <c r="E76" s="3"/>
      <c r="F76" s="3"/>
      <c r="G76" s="3"/>
      <c r="H76" s="3"/>
      <c r="I76" s="3"/>
      <c r="J76" s="4"/>
      <c r="K76" s="3"/>
      <c r="L76" s="3"/>
    </row>
    <row r="77" spans="1:12" x14ac:dyDescent="0.25">
      <c r="A77" s="3" t="s">
        <v>38</v>
      </c>
      <c r="B77" s="3"/>
      <c r="C77" s="3"/>
      <c r="D77" s="3"/>
      <c r="E77" s="3"/>
      <c r="F77" s="3"/>
      <c r="G77" s="3"/>
      <c r="H77" s="3"/>
      <c r="I77" s="3"/>
      <c r="J77" s="4"/>
      <c r="K77" s="3"/>
      <c r="L77" s="3"/>
    </row>
    <row r="78" spans="1:12" x14ac:dyDescent="0.25">
      <c r="A78" s="3" t="s">
        <v>39</v>
      </c>
      <c r="B78" s="3"/>
      <c r="C78" s="3"/>
      <c r="D78" s="3"/>
      <c r="E78" s="3"/>
      <c r="F78" s="3"/>
      <c r="G78" s="3"/>
      <c r="H78" s="3"/>
      <c r="I78" s="3"/>
      <c r="J78" s="4"/>
      <c r="K78" s="3"/>
      <c r="L78" s="3"/>
    </row>
    <row r="79" spans="1:12" x14ac:dyDescent="0.25">
      <c r="A79" s="3" t="s">
        <v>40</v>
      </c>
      <c r="B79" s="3"/>
      <c r="C79" s="3"/>
      <c r="D79" s="3"/>
      <c r="E79" s="3"/>
      <c r="F79" s="3"/>
      <c r="G79" s="3"/>
      <c r="H79" s="3"/>
      <c r="I79" s="3"/>
      <c r="J79" s="4"/>
      <c r="K79" s="3"/>
      <c r="L79" s="3"/>
    </row>
    <row r="80" spans="1:12" x14ac:dyDescent="0.25">
      <c r="A80" s="3" t="s">
        <v>41</v>
      </c>
      <c r="B80" s="3"/>
      <c r="C80" s="3"/>
      <c r="D80" s="3"/>
      <c r="E80" s="3"/>
      <c r="F80" s="3"/>
      <c r="G80" s="3"/>
      <c r="H80" s="3"/>
      <c r="I80" s="3"/>
      <c r="J80" s="4"/>
      <c r="K80" s="3"/>
      <c r="L80" s="3"/>
    </row>
    <row r="81" spans="1:12" x14ac:dyDescent="0.25">
      <c r="A81" s="3" t="s">
        <v>42</v>
      </c>
      <c r="B81" s="3"/>
      <c r="C81" s="3"/>
      <c r="D81" s="3"/>
      <c r="E81" s="3"/>
      <c r="F81" s="3"/>
      <c r="G81" s="3"/>
      <c r="H81" s="3"/>
      <c r="I81" s="3"/>
      <c r="J81" s="4"/>
      <c r="K81" s="3"/>
      <c r="L81" s="3"/>
    </row>
    <row r="82" spans="1:12" x14ac:dyDescent="0.25">
      <c r="A82" s="3" t="s">
        <v>43</v>
      </c>
      <c r="B82" s="3"/>
      <c r="C82" s="3"/>
      <c r="D82" s="3"/>
      <c r="E82" s="3"/>
      <c r="F82" s="3"/>
      <c r="G82" s="3"/>
      <c r="H82" s="3"/>
      <c r="I82" s="3"/>
      <c r="J82" s="4"/>
      <c r="K82" s="3"/>
      <c r="L82" s="3"/>
    </row>
    <row r="83" spans="1:12" x14ac:dyDescent="0.25">
      <c r="A83" s="3" t="s">
        <v>44</v>
      </c>
      <c r="B83" s="3"/>
      <c r="C83" s="3"/>
      <c r="D83" s="3"/>
      <c r="E83" s="3"/>
      <c r="F83" s="3"/>
      <c r="G83" s="3"/>
      <c r="H83" s="3"/>
      <c r="I83" s="3"/>
      <c r="J83" s="4"/>
      <c r="K83" s="3"/>
      <c r="L83" s="3"/>
    </row>
    <row r="84" spans="1:12" x14ac:dyDescent="0.25">
      <c r="A84" s="3" t="s">
        <v>57</v>
      </c>
      <c r="B84" s="3"/>
      <c r="C84" s="3"/>
      <c r="D84" s="3"/>
      <c r="E84" s="3"/>
      <c r="F84" s="3"/>
      <c r="G84" s="3"/>
      <c r="H84" s="3"/>
      <c r="I84" s="3"/>
      <c r="J84" s="4"/>
      <c r="K84" s="3"/>
      <c r="L84" s="3"/>
    </row>
    <row r="85" spans="1:12" x14ac:dyDescent="0.25">
      <c r="A85" s="3" t="s">
        <v>78</v>
      </c>
      <c r="B85" s="5"/>
      <c r="C85" s="5"/>
      <c r="D85" s="5"/>
      <c r="E85" s="5"/>
      <c r="F85" s="5"/>
      <c r="G85" s="5"/>
      <c r="H85" s="5"/>
      <c r="I85" s="5"/>
      <c r="J85" s="6"/>
      <c r="K85" s="3"/>
      <c r="L85" s="3"/>
    </row>
    <row r="86" spans="1:12" x14ac:dyDescent="0.25">
      <c r="A86" s="3" t="s">
        <v>79</v>
      </c>
      <c r="B86" s="3"/>
      <c r="C86" s="3"/>
      <c r="D86" s="3"/>
      <c r="E86" s="3"/>
      <c r="F86" s="3"/>
      <c r="G86" s="3"/>
      <c r="H86" s="3"/>
      <c r="I86" s="3"/>
      <c r="J86" s="4"/>
      <c r="K86" s="3"/>
      <c r="L86" s="3"/>
    </row>
    <row r="87" spans="1:12" x14ac:dyDescent="0.25">
      <c r="A87" s="3" t="s">
        <v>20</v>
      </c>
      <c r="B87" s="3"/>
      <c r="C87" s="3"/>
      <c r="D87" s="3"/>
      <c r="E87" s="3"/>
      <c r="F87" s="3"/>
      <c r="G87" s="3"/>
      <c r="H87" s="3"/>
      <c r="I87" s="3"/>
      <c r="J87" s="4"/>
      <c r="K87" s="3"/>
      <c r="L87" s="3"/>
    </row>
    <row r="88" spans="1:12" x14ac:dyDescent="0.25">
      <c r="A88" s="3" t="s">
        <v>21</v>
      </c>
      <c r="B88" s="3"/>
      <c r="C88" s="3"/>
      <c r="D88" s="3"/>
      <c r="E88" s="3"/>
      <c r="F88" s="3"/>
      <c r="G88" s="3"/>
      <c r="H88" s="3"/>
      <c r="I88" s="3"/>
      <c r="J88" s="4"/>
      <c r="K88" s="3"/>
      <c r="L88" s="3"/>
    </row>
    <row r="89" spans="1:12" x14ac:dyDescent="0.25">
      <c r="A89" s="3" t="s">
        <v>22</v>
      </c>
      <c r="B89" s="3"/>
      <c r="C89" s="3"/>
      <c r="D89" s="3"/>
      <c r="E89" s="3"/>
      <c r="F89" s="3"/>
      <c r="G89" s="3"/>
      <c r="H89" s="3"/>
      <c r="I89" s="3"/>
      <c r="J89" s="4"/>
      <c r="K89" s="3"/>
      <c r="L89" s="3"/>
    </row>
    <row r="90" spans="1:12" x14ac:dyDescent="0.25">
      <c r="A90" s="3" t="s">
        <v>23</v>
      </c>
      <c r="B90" s="5"/>
      <c r="C90" s="5"/>
      <c r="D90" s="5"/>
      <c r="E90" s="5"/>
      <c r="F90" s="5"/>
      <c r="G90" s="5"/>
      <c r="H90" s="5"/>
      <c r="I90" s="5"/>
      <c r="J90" s="6"/>
      <c r="K90" s="3"/>
      <c r="L90" s="3"/>
    </row>
    <row r="91" spans="1:12" x14ac:dyDescent="0.25">
      <c r="A91" s="3" t="s">
        <v>24</v>
      </c>
      <c r="B91" s="3"/>
      <c r="C91" s="3"/>
      <c r="D91" s="3"/>
      <c r="E91" s="3"/>
      <c r="F91" s="3"/>
      <c r="G91" s="3"/>
      <c r="H91" s="3"/>
      <c r="I91" s="3"/>
      <c r="J91" s="4"/>
      <c r="K91" s="3"/>
      <c r="L91" s="3"/>
    </row>
    <row r="92" spans="1:12" x14ac:dyDescent="0.25">
      <c r="A92" s="3" t="s">
        <v>25</v>
      </c>
      <c r="B92" s="3"/>
      <c r="C92" s="3"/>
      <c r="D92" s="3"/>
      <c r="E92" s="3"/>
      <c r="F92" s="3"/>
      <c r="G92" s="3"/>
      <c r="H92" s="3"/>
      <c r="I92" s="3"/>
      <c r="J92" s="4"/>
      <c r="K92" s="3"/>
      <c r="L92" s="3"/>
    </row>
    <row r="93" spans="1:12" x14ac:dyDescent="0.25">
      <c r="A93" s="3" t="s">
        <v>26</v>
      </c>
      <c r="B93" s="19" t="s">
        <v>1</v>
      </c>
      <c r="C93" s="19" t="s">
        <v>56</v>
      </c>
      <c r="D93" s="19" t="s">
        <v>0</v>
      </c>
      <c r="E93" s="19">
        <v>55</v>
      </c>
      <c r="F93" s="19">
        <v>57</v>
      </c>
      <c r="G93" s="19">
        <v>59</v>
      </c>
      <c r="H93" s="19">
        <v>61</v>
      </c>
      <c r="I93" s="19">
        <v>63</v>
      </c>
      <c r="J93" s="20" t="s">
        <v>2</v>
      </c>
      <c r="K93" s="3"/>
      <c r="L93" s="3"/>
    </row>
    <row r="94" spans="1:12" x14ac:dyDescent="0.25">
      <c r="A94" s="3" t="s">
        <v>80</v>
      </c>
      <c r="B94" s="21" t="str" cm="1">
        <f t="array" ref="B94">БУКВЫ(MID($A94,3,12))</f>
        <v>77111011</v>
      </c>
      <c r="C94" s="21" t="str">
        <f>MID($A95,1,FIND("Per",A95)-1)</f>
        <v xml:space="preserve">Baseball Cap Cotton </v>
      </c>
      <c r="D94" s="21">
        <f>_xlfn.LET(_xlpm.Searching,"OSFA",_xlpm.inStr,IFERROR(FIND(_xlpm.Searching,$A96)&gt;=1,FALSE),IF(AND(_xlpm.inStr,LEN(A96)&lt;=6),A97,""))</f>
        <v>95</v>
      </c>
      <c r="E94" s="21" t="str">
        <f>_xlfn.LET(_xlpm.Searching,"55",_xlpm.inStr,IFERROR(FIND(_xlpm.Searching,$A96)&gt;=1,FALSE),IF(AND(_xlpm.inStr,LEN(A96)&lt;=6),A97,""))</f>
        <v/>
      </c>
      <c r="F94" s="21" t="str">
        <f>_xlfn.LET(_xlpm.Searching,"57",_xlpm.inStr,IFERROR(FIND(_xlpm.Searching,$A96)&gt;=1,FALSE),IF(AND(_xlpm.inStr,LEN(A96)&lt;=6),$A97,""))&amp;F95</f>
        <v/>
      </c>
      <c r="G94" s="21" t="str">
        <f>_xlfn.LET(_xlpm.Searching,"59",_xlpm.inStr,IFERROR(FIND(_xlpm.Searching,$A96)&gt;=1,FALSE),IF(AND(_xlpm.inStr,LEN(A96)&lt;=6),$A97,""))&amp;G95&amp;G96</f>
        <v/>
      </c>
      <c r="H94" s="21" t="str">
        <f>_xlfn.LET(_xlpm.Searching,"61",_xlpm.inStr,IFERROR(FIND(_xlpm.Searching,$A96)&gt;=1,FALSE),IF(AND(_xlpm.inStr,LEN(A96)&lt;=6),$A97,""))&amp;H95&amp;H96&amp;H97</f>
        <v/>
      </c>
      <c r="I94" s="21" t="str">
        <f>_xlfn.LET(_xlpm.Searching,"63",_xlpm.inStr,IFERROR(FIND(_xlpm.Searching,$A96)&gt;=1,FALSE),IF(AND(_xlpm.inStr,LEN(A96)&lt;=6),$A97,""))&amp;I95&amp;I96&amp;I97&amp;I98</f>
        <v/>
      </c>
      <c r="J94" s="22">
        <f>MID(TRIM(RIGHT(A94,10)),1,LEN(TRIM(RIGHT(A94,10)))-3)*0.8</f>
        <v>8.7200000000000006</v>
      </c>
      <c r="K94" s="3"/>
      <c r="L94" s="3"/>
    </row>
    <row r="95" spans="1:12" x14ac:dyDescent="0.25">
      <c r="A95" s="3" t="s">
        <v>81</v>
      </c>
      <c r="B95" s="21" t="str">
        <f>B94</f>
        <v>77111011</v>
      </c>
      <c r="C95" s="21" t="str">
        <f>C94</f>
        <v xml:space="preserve">Baseball Cap Cotton </v>
      </c>
      <c r="D95" s="23"/>
      <c r="E95" s="23"/>
      <c r="F95" s="21" t="str">
        <f>_xlfn.LET(_xlpm.Searching,"57",_xlpm.inStr,IFERROR(FIND(_xlpm.Searching,$A98)&gt;=1,FALSE),IF(AND(_xlpm.inStr,LEN(A98)&lt;=6),$A99,""))</f>
        <v/>
      </c>
      <c r="G95" s="21" t="str">
        <f>_xlfn.LET(_xlpm.Searching,"59",_xlpm.inStr,IFERROR(FIND(_xlpm.Searching,$A98)&gt;=1,FALSE),IF(AND(_xlpm.inStr,LEN(A98)&lt;=6),$A99,""))</f>
        <v/>
      </c>
      <c r="H95" s="21" t="str">
        <f>_xlfn.LET(_xlpm.Searching,"61",_xlpm.inStr,IFERROR(FIND(_xlpm.Searching,$A98)&gt;=1,FALSE),IF(AND(_xlpm.inStr,LEN(A98)&lt;=6),$A99,""))</f>
        <v/>
      </c>
      <c r="I95" s="21" t="str">
        <f>_xlfn.LET(_xlpm.Searching,"63",_xlpm.inStr,IFERROR(FIND(_xlpm.Searching,$A98)&gt;=1,FALSE),IF(AND(_xlpm.inStr,LEN(A98)&lt;=6),$A99,""))</f>
        <v/>
      </c>
      <c r="J95" s="22"/>
      <c r="K95" s="3"/>
      <c r="L95" s="3"/>
    </row>
    <row r="96" spans="1:12" x14ac:dyDescent="0.25">
      <c r="A96" s="3" t="s">
        <v>0</v>
      </c>
      <c r="B96" s="21" t="str">
        <f t="shared" ref="B96:C98" si="4">B95</f>
        <v>77111011</v>
      </c>
      <c r="C96" s="21" t="str">
        <f t="shared" si="4"/>
        <v xml:space="preserve">Baseball Cap Cotton </v>
      </c>
      <c r="D96" s="23"/>
      <c r="E96" s="23"/>
      <c r="F96" s="23"/>
      <c r="G96" s="21" t="str">
        <f>_xlfn.LET(_xlpm.Searching,"59",_xlpm.inStr,IFERROR(FIND(_xlpm.Searching,$A100)&gt;=1,FALSE),IF(AND(_xlpm.inStr,LEN(A100)&lt;=6),$A101,""))</f>
        <v/>
      </c>
      <c r="H96" s="21" t="str">
        <f>_xlfn.LET(_xlpm.Searching,"61",_xlpm.inStr,IFERROR(FIND(_xlpm.Searching,$A100)&gt;=1,FALSE),IF(AND(_xlpm.inStr,LEN(A100)&lt;=6),$A101,""))</f>
        <v/>
      </c>
      <c r="I96" s="21" t="str">
        <f>_xlfn.LET(_xlpm.Searching,"63",_xlpm.inStr,IFERROR(FIND(_xlpm.Searching,$A100)&gt;=1,FALSE),IF(AND(_xlpm.inStr,LEN(A100)&lt;=6),$A101,""))</f>
        <v/>
      </c>
      <c r="J96" s="22"/>
      <c r="K96" s="3"/>
      <c r="L96" s="3"/>
    </row>
    <row r="97" spans="1:12" x14ac:dyDescent="0.25">
      <c r="A97" s="3">
        <v>95</v>
      </c>
      <c r="B97" s="21" t="str">
        <f t="shared" si="4"/>
        <v>77111011</v>
      </c>
      <c r="C97" s="21" t="str">
        <f t="shared" si="4"/>
        <v xml:space="preserve">Baseball Cap Cotton </v>
      </c>
      <c r="D97" s="23"/>
      <c r="E97" s="23"/>
      <c r="F97" s="23"/>
      <c r="G97" s="23"/>
      <c r="H97" s="21" t="str">
        <f>_xlfn.LET(_xlpm.Searching,"61",_xlpm.inStr,IFERROR(FIND(_xlpm.Searching,$A102)&gt;=1,FALSE),IF(AND(_xlpm.inStr,LEN(A102)&lt;=6),$A103,""))</f>
        <v/>
      </c>
      <c r="I97" s="21" t="str">
        <f>_xlfn.LET(_xlpm.Searching,"63",_xlpm.inStr,IFERROR(FIND(_xlpm.Searching,$A102)&gt;=1,FALSE),IF(AND(_xlpm.inStr,LEN(A102)&lt;=6),$A103,""))</f>
        <v/>
      </c>
      <c r="J97" s="22"/>
      <c r="K97" s="3"/>
      <c r="L97" s="3"/>
    </row>
    <row r="98" spans="1:12" x14ac:dyDescent="0.25">
      <c r="A98" s="3" t="s">
        <v>82</v>
      </c>
      <c r="B98" s="21" t="str">
        <f t="shared" si="4"/>
        <v>77111011</v>
      </c>
      <c r="C98" s="21" t="str">
        <f t="shared" si="4"/>
        <v xml:space="preserve">Baseball Cap Cotton </v>
      </c>
      <c r="D98" s="23"/>
      <c r="E98" s="23"/>
      <c r="F98" s="23"/>
      <c r="G98" s="23"/>
      <c r="H98" s="23"/>
      <c r="I98" s="21" t="str">
        <f>_xlfn.LET(_xlpm.Searching,"63",_xlpm.inStr,IFERROR(FIND(_xlpm.Searching,$A104)&gt;=1,FALSE),IF(AND(_xlpm.inStr,LEN(A104)&lt;=6),$A105,""))</f>
        <v/>
      </c>
      <c r="J98" s="22"/>
      <c r="K98" s="3"/>
      <c r="L98" s="3"/>
    </row>
    <row r="99" spans="1:12" x14ac:dyDescent="0.25">
      <c r="A99" s="3" t="s">
        <v>83</v>
      </c>
      <c r="B99" s="3"/>
      <c r="C99" s="3"/>
      <c r="D99" s="3"/>
      <c r="E99" s="3"/>
      <c r="F99" s="3"/>
      <c r="G99" s="3"/>
      <c r="H99" s="3"/>
      <c r="I99" s="3"/>
      <c r="J99" s="4"/>
      <c r="K99" s="3"/>
      <c r="L99" s="3"/>
    </row>
    <row r="100" spans="1:12" x14ac:dyDescent="0.25">
      <c r="A100" s="3" t="s">
        <v>84</v>
      </c>
      <c r="B100" s="19" t="s">
        <v>1</v>
      </c>
      <c r="C100" s="19" t="s">
        <v>56</v>
      </c>
      <c r="D100" s="19" t="s">
        <v>0</v>
      </c>
      <c r="E100" s="19">
        <v>55</v>
      </c>
      <c r="F100" s="19">
        <v>57</v>
      </c>
      <c r="G100" s="19">
        <v>59</v>
      </c>
      <c r="H100" s="19">
        <v>61</v>
      </c>
      <c r="I100" s="19">
        <v>63</v>
      </c>
      <c r="J100" s="20" t="s">
        <v>2</v>
      </c>
      <c r="K100" s="3"/>
      <c r="L100" s="3"/>
    </row>
    <row r="101" spans="1:12" x14ac:dyDescent="0.25">
      <c r="A101" s="3" t="s">
        <v>85</v>
      </c>
      <c r="B101" s="21" t="str" cm="1">
        <f t="array" ref="B101">БУКВЫ(MID($A101,3,12))</f>
        <v>77111012</v>
      </c>
      <c r="C101" s="21" t="str">
        <f>MID($A102,1,FIND("Per",A102)-1)</f>
        <v xml:space="preserve">Baseball Cap Cotton </v>
      </c>
      <c r="D101" s="21">
        <f>_xlfn.LET(_xlpm.Searching,"OSFA",_xlpm.inStr,IFERROR(FIND(_xlpm.Searching,$A103)&gt;=1,FALSE),IF(AND(_xlpm.inStr,LEN(A103)&lt;=6),A104,""))</f>
        <v>45</v>
      </c>
      <c r="E101" s="21" t="str">
        <f>_xlfn.LET(_xlpm.Searching,"55",_xlpm.inStr,IFERROR(FIND(_xlpm.Searching,$A103)&gt;=1,FALSE),IF(AND(_xlpm.inStr,LEN(A103)&lt;=6),A104,""))</f>
        <v/>
      </c>
      <c r="F101" s="21" t="str">
        <f>_xlfn.LET(_xlpm.Searching,"57",_xlpm.inStr,IFERROR(FIND(_xlpm.Searching,$A103)&gt;=1,FALSE),IF(AND(_xlpm.inStr,LEN(A103)&lt;=6),$A104,""))&amp;F102</f>
        <v/>
      </c>
      <c r="G101" s="21" t="str">
        <f>_xlfn.LET(_xlpm.Searching,"59",_xlpm.inStr,IFERROR(FIND(_xlpm.Searching,$A103)&gt;=1,FALSE),IF(AND(_xlpm.inStr,LEN(A103)&lt;=6),$A104,""))&amp;G102&amp;G103</f>
        <v/>
      </c>
      <c r="H101" s="21" t="str">
        <f>_xlfn.LET(_xlpm.Searching,"61",_xlpm.inStr,IFERROR(FIND(_xlpm.Searching,$A103)&gt;=1,FALSE),IF(AND(_xlpm.inStr,LEN(A103)&lt;=6),$A104,""))&amp;H102&amp;H103&amp;H104</f>
        <v/>
      </c>
      <c r="I101" s="21" t="str">
        <f>_xlfn.LET(_xlpm.Searching,"63",_xlpm.inStr,IFERROR(FIND(_xlpm.Searching,$A103)&gt;=1,FALSE),IF(AND(_xlpm.inStr,LEN(A103)&lt;=6),$A104,""))&amp;I102&amp;I103&amp;I104&amp;I105</f>
        <v/>
      </c>
      <c r="J101" s="22">
        <f>MID(TRIM(RIGHT(A101,10)),1,LEN(TRIM(RIGHT(A101,10)))-3)*0.8</f>
        <v>8.7200000000000006</v>
      </c>
      <c r="K101" s="3"/>
      <c r="L101" s="3"/>
    </row>
    <row r="102" spans="1:12" x14ac:dyDescent="0.25">
      <c r="A102" s="3" t="s">
        <v>81</v>
      </c>
      <c r="B102" s="21" t="str">
        <f>B101</f>
        <v>77111012</v>
      </c>
      <c r="C102" s="21" t="str">
        <f>C101</f>
        <v xml:space="preserve">Baseball Cap Cotton </v>
      </c>
      <c r="D102" s="23"/>
      <c r="E102" s="23"/>
      <c r="F102" s="21" t="str">
        <f>_xlfn.LET(_xlpm.Searching,"57",_xlpm.inStr,IFERROR(FIND(_xlpm.Searching,$A105)&gt;=1,FALSE),IF(AND(_xlpm.inStr,LEN(A105)&lt;=6),$A106,""))</f>
        <v/>
      </c>
      <c r="G102" s="21" t="str">
        <f>_xlfn.LET(_xlpm.Searching,"59",_xlpm.inStr,IFERROR(FIND(_xlpm.Searching,$A105)&gt;=1,FALSE),IF(AND(_xlpm.inStr,LEN(A105)&lt;=6),$A106,""))</f>
        <v/>
      </c>
      <c r="H102" s="21" t="str">
        <f>_xlfn.LET(_xlpm.Searching,"61",_xlpm.inStr,IFERROR(FIND(_xlpm.Searching,$A105)&gt;=1,FALSE),IF(AND(_xlpm.inStr,LEN(A105)&lt;=6),$A106,""))</f>
        <v/>
      </c>
      <c r="I102" s="21" t="str">
        <f>_xlfn.LET(_xlpm.Searching,"63",_xlpm.inStr,IFERROR(FIND(_xlpm.Searching,$A105)&gt;=1,FALSE),IF(AND(_xlpm.inStr,LEN(A105)&lt;=6),$A106,""))</f>
        <v/>
      </c>
      <c r="J102" s="22"/>
      <c r="K102" s="3"/>
      <c r="L102" s="3"/>
    </row>
    <row r="103" spans="1:12" x14ac:dyDescent="0.25">
      <c r="A103" s="3" t="s">
        <v>0</v>
      </c>
      <c r="B103" s="21" t="str">
        <f t="shared" ref="B103:C105" si="5">B102</f>
        <v>77111012</v>
      </c>
      <c r="C103" s="21" t="str">
        <f t="shared" si="5"/>
        <v xml:space="preserve">Baseball Cap Cotton </v>
      </c>
      <c r="D103" s="23"/>
      <c r="E103" s="23"/>
      <c r="F103" s="23"/>
      <c r="G103" s="21" t="str">
        <f>_xlfn.LET(_xlpm.Searching,"59",_xlpm.inStr,IFERROR(FIND(_xlpm.Searching,$A107)&gt;=1,FALSE),IF(AND(_xlpm.inStr,LEN(A107)&lt;=6),$A108,""))</f>
        <v/>
      </c>
      <c r="H103" s="21" t="str">
        <f>_xlfn.LET(_xlpm.Searching,"61",_xlpm.inStr,IFERROR(FIND(_xlpm.Searching,$A107)&gt;=1,FALSE),IF(AND(_xlpm.inStr,LEN(A107)&lt;=6),$A108,""))</f>
        <v/>
      </c>
      <c r="I103" s="21" t="str">
        <f>_xlfn.LET(_xlpm.Searching,"63",_xlpm.inStr,IFERROR(FIND(_xlpm.Searching,$A107)&gt;=1,FALSE),IF(AND(_xlpm.inStr,LEN(A107)&lt;=6),$A108,""))</f>
        <v/>
      </c>
      <c r="J103" s="22"/>
      <c r="K103" s="3"/>
      <c r="L103" s="3"/>
    </row>
    <row r="104" spans="1:12" x14ac:dyDescent="0.25">
      <c r="A104" s="3">
        <v>45</v>
      </c>
      <c r="B104" s="21" t="str">
        <f t="shared" si="5"/>
        <v>77111012</v>
      </c>
      <c r="C104" s="21" t="str">
        <f t="shared" si="5"/>
        <v xml:space="preserve">Baseball Cap Cotton </v>
      </c>
      <c r="D104" s="23"/>
      <c r="E104" s="23"/>
      <c r="F104" s="23"/>
      <c r="G104" s="23"/>
      <c r="H104" s="21" t="str">
        <f>_xlfn.LET(_xlpm.Searching,"61",_xlpm.inStr,IFERROR(FIND(_xlpm.Searching,$A109)&gt;=1,FALSE),IF(AND(_xlpm.inStr,LEN(A109)&lt;=6),$A110,""))</f>
        <v/>
      </c>
      <c r="I104" s="21" t="str">
        <f>_xlfn.LET(_xlpm.Searching,"63",_xlpm.inStr,IFERROR(FIND(_xlpm.Searching,$A109)&gt;=1,FALSE),IF(AND(_xlpm.inStr,LEN(A109)&lt;=6),$A110,""))</f>
        <v/>
      </c>
      <c r="J104" s="22"/>
      <c r="K104" s="3"/>
      <c r="L104" s="3"/>
    </row>
    <row r="105" spans="1:12" x14ac:dyDescent="0.25">
      <c r="A105" s="3" t="s">
        <v>82</v>
      </c>
      <c r="B105" s="21" t="str">
        <f t="shared" si="5"/>
        <v>77111012</v>
      </c>
      <c r="C105" s="21" t="str">
        <f t="shared" si="5"/>
        <v xml:space="preserve">Baseball Cap Cotton </v>
      </c>
      <c r="D105" s="23"/>
      <c r="E105" s="23"/>
      <c r="F105" s="23"/>
      <c r="G105" s="23"/>
      <c r="H105" s="23"/>
      <c r="I105" s="21" t="str">
        <f>_xlfn.LET(_xlpm.Searching,"63",_xlpm.inStr,IFERROR(FIND(_xlpm.Searching,$A111)&gt;=1,FALSE),IF(AND(_xlpm.inStr,LEN(A111)&lt;=6),$A112,""))</f>
        <v/>
      </c>
      <c r="J105" s="22"/>
      <c r="K105" s="3"/>
      <c r="L105" s="3"/>
    </row>
    <row r="106" spans="1:12" x14ac:dyDescent="0.25">
      <c r="A106" s="3" t="s">
        <v>86</v>
      </c>
      <c r="B106" s="3"/>
      <c r="C106" s="3"/>
      <c r="D106" s="3"/>
      <c r="E106" s="3"/>
      <c r="F106" s="3"/>
      <c r="G106" s="3"/>
      <c r="H106" s="3"/>
      <c r="I106" s="3"/>
      <c r="J106" s="4"/>
      <c r="K106" s="3"/>
      <c r="L106" s="3"/>
    </row>
    <row r="107" spans="1:12" x14ac:dyDescent="0.25">
      <c r="A107" s="3" t="s">
        <v>87</v>
      </c>
      <c r="B107" s="19" t="s">
        <v>1</v>
      </c>
      <c r="C107" s="19" t="s">
        <v>56</v>
      </c>
      <c r="D107" s="19" t="s">
        <v>0</v>
      </c>
      <c r="E107" s="19">
        <v>55</v>
      </c>
      <c r="F107" s="19">
        <v>57</v>
      </c>
      <c r="G107" s="19">
        <v>59</v>
      </c>
      <c r="H107" s="19">
        <v>61</v>
      </c>
      <c r="I107" s="19">
        <v>63</v>
      </c>
      <c r="J107" s="20" t="s">
        <v>2</v>
      </c>
      <c r="K107" s="3"/>
      <c r="L107" s="3"/>
    </row>
    <row r="108" spans="1:12" x14ac:dyDescent="0.25">
      <c r="A108" s="3" t="s">
        <v>88</v>
      </c>
      <c r="B108" s="21" t="str" cm="1">
        <f t="array" ref="B108">БУКВЫ(MID($A108,3,12))</f>
        <v>771110120</v>
      </c>
      <c r="C108" s="21" t="str">
        <f>MID($A109,1,FIND("Per",A109)-1)</f>
        <v xml:space="preserve">Baseball Cap Cotton </v>
      </c>
      <c r="D108" s="21">
        <f>_xlfn.LET(_xlpm.Searching,"OSFA",_xlpm.inStr,IFERROR(FIND(_xlpm.Searching,$A110)&gt;=1,FALSE),IF(AND(_xlpm.inStr,LEN(A110)&lt;=6),A111,""))</f>
        <v>25</v>
      </c>
      <c r="E108" s="21" t="str">
        <f>_xlfn.LET(_xlpm.Searching,"55",_xlpm.inStr,IFERROR(FIND(_xlpm.Searching,$A110)&gt;=1,FALSE),IF(AND(_xlpm.inStr,LEN(A110)&lt;=6),A111,""))</f>
        <v/>
      </c>
      <c r="F108" s="21" t="str">
        <f>_xlfn.LET(_xlpm.Searching,"57",_xlpm.inStr,IFERROR(FIND(_xlpm.Searching,$A110)&gt;=1,FALSE),IF(AND(_xlpm.inStr,LEN(A110)&lt;=6),$A111,""))&amp;F109</f>
        <v/>
      </c>
      <c r="G108" s="21" t="str">
        <f>_xlfn.LET(_xlpm.Searching,"59",_xlpm.inStr,IFERROR(FIND(_xlpm.Searching,$A110)&gt;=1,FALSE),IF(AND(_xlpm.inStr,LEN(A110)&lt;=6),$A111,""))&amp;G109&amp;G110</f>
        <v/>
      </c>
      <c r="H108" s="21" t="str">
        <f>_xlfn.LET(_xlpm.Searching,"61",_xlpm.inStr,IFERROR(FIND(_xlpm.Searching,$A110)&gt;=1,FALSE),IF(AND(_xlpm.inStr,LEN(A110)&lt;=6),$A111,""))&amp;H109&amp;H110&amp;H111</f>
        <v/>
      </c>
      <c r="I108" s="21" t="str">
        <f>_xlfn.LET(_xlpm.Searching,"63",_xlpm.inStr,IFERROR(FIND(_xlpm.Searching,$A110)&gt;=1,FALSE),IF(AND(_xlpm.inStr,LEN(A110)&lt;=6),$A111,""))&amp;I109&amp;I110&amp;I111&amp;I112</f>
        <v/>
      </c>
      <c r="J108" s="22">
        <f>MID(TRIM(RIGHT(A108,10)),1,LEN(TRIM(RIGHT(A108,10)))-3)*0.8</f>
        <v>8.7200000000000006</v>
      </c>
      <c r="K108" s="3"/>
      <c r="L108" s="3"/>
    </row>
    <row r="109" spans="1:12" x14ac:dyDescent="0.25">
      <c r="A109" s="3" t="s">
        <v>81</v>
      </c>
      <c r="B109" s="21" t="str">
        <f>B108</f>
        <v>771110120</v>
      </c>
      <c r="C109" s="21" t="str">
        <f>C108</f>
        <v xml:space="preserve">Baseball Cap Cotton </v>
      </c>
      <c r="D109" s="23"/>
      <c r="E109" s="23"/>
      <c r="F109" s="21" t="str">
        <f>_xlfn.LET(_xlpm.Searching,"57",_xlpm.inStr,IFERROR(FIND(_xlpm.Searching,$A112)&gt;=1,FALSE),IF(AND(_xlpm.inStr,LEN(A112)&lt;=6),$A113,""))</f>
        <v/>
      </c>
      <c r="G109" s="21" t="str">
        <f>_xlfn.LET(_xlpm.Searching,"59",_xlpm.inStr,IFERROR(FIND(_xlpm.Searching,$A112)&gt;=1,FALSE),IF(AND(_xlpm.inStr,LEN(A112)&lt;=6),$A113,""))</f>
        <v/>
      </c>
      <c r="H109" s="21" t="str">
        <f>_xlfn.LET(_xlpm.Searching,"61",_xlpm.inStr,IFERROR(FIND(_xlpm.Searching,$A112)&gt;=1,FALSE),IF(AND(_xlpm.inStr,LEN(A112)&lt;=6),$A113,""))</f>
        <v/>
      </c>
      <c r="I109" s="21" t="str">
        <f>_xlfn.LET(_xlpm.Searching,"63",_xlpm.inStr,IFERROR(FIND(_xlpm.Searching,$A112)&gt;=1,FALSE),IF(AND(_xlpm.inStr,LEN(A112)&lt;=6),$A113,""))</f>
        <v/>
      </c>
      <c r="J109" s="22"/>
      <c r="K109" s="3"/>
      <c r="L109" s="3"/>
    </row>
    <row r="110" spans="1:12" x14ac:dyDescent="0.25">
      <c r="A110" s="3" t="s">
        <v>0</v>
      </c>
      <c r="B110" s="21" t="str">
        <f t="shared" ref="B110:C112" si="6">B109</f>
        <v>771110120</v>
      </c>
      <c r="C110" s="21" t="str">
        <f t="shared" si="6"/>
        <v xml:space="preserve">Baseball Cap Cotton </v>
      </c>
      <c r="D110" s="23"/>
      <c r="E110" s="23"/>
      <c r="F110" s="23"/>
      <c r="G110" s="21" t="str">
        <f>_xlfn.LET(_xlpm.Searching,"59",_xlpm.inStr,IFERROR(FIND(_xlpm.Searching,$A114)&gt;=1,FALSE),IF(AND(_xlpm.inStr,LEN(A114)&lt;=6),$A115,""))</f>
        <v/>
      </c>
      <c r="H110" s="21" t="str">
        <f>_xlfn.LET(_xlpm.Searching,"61",_xlpm.inStr,IFERROR(FIND(_xlpm.Searching,$A114)&gt;=1,FALSE),IF(AND(_xlpm.inStr,LEN(A114)&lt;=6),$A115,""))</f>
        <v/>
      </c>
      <c r="I110" s="21" t="str">
        <f>_xlfn.LET(_xlpm.Searching,"63",_xlpm.inStr,IFERROR(FIND(_xlpm.Searching,$A114)&gt;=1,FALSE),IF(AND(_xlpm.inStr,LEN(A114)&lt;=6),$A115,""))</f>
        <v/>
      </c>
      <c r="J110" s="22"/>
      <c r="K110" s="3"/>
      <c r="L110" s="3"/>
    </row>
    <row r="111" spans="1:12" x14ac:dyDescent="0.25">
      <c r="A111" s="3">
        <v>25</v>
      </c>
      <c r="B111" s="21" t="str">
        <f t="shared" si="6"/>
        <v>771110120</v>
      </c>
      <c r="C111" s="21" t="str">
        <f t="shared" si="6"/>
        <v xml:space="preserve">Baseball Cap Cotton </v>
      </c>
      <c r="D111" s="23"/>
      <c r="E111" s="23"/>
      <c r="F111" s="23"/>
      <c r="G111" s="23"/>
      <c r="H111" s="21" t="str">
        <f>_xlfn.LET(_xlpm.Searching,"61",_xlpm.inStr,IFERROR(FIND(_xlpm.Searching,$A116)&gt;=1,FALSE),IF(AND(_xlpm.inStr,LEN(A116)&lt;=6),$A117,""))</f>
        <v/>
      </c>
      <c r="I111" s="21" t="str">
        <f>_xlfn.LET(_xlpm.Searching,"63",_xlpm.inStr,IFERROR(FIND(_xlpm.Searching,$A116)&gt;=1,FALSE),IF(AND(_xlpm.inStr,LEN(A116)&lt;=6),$A117,""))</f>
        <v/>
      </c>
      <c r="J111" s="22"/>
      <c r="K111" s="3"/>
      <c r="L111" s="3"/>
    </row>
    <row r="112" spans="1:12" x14ac:dyDescent="0.25">
      <c r="A112" s="3" t="s">
        <v>82</v>
      </c>
      <c r="B112" s="21" t="str">
        <f t="shared" si="6"/>
        <v>771110120</v>
      </c>
      <c r="C112" s="21" t="str">
        <f t="shared" si="6"/>
        <v xml:space="preserve">Baseball Cap Cotton </v>
      </c>
      <c r="D112" s="23"/>
      <c r="E112" s="23"/>
      <c r="F112" s="23"/>
      <c r="G112" s="23"/>
      <c r="H112" s="23"/>
      <c r="I112" s="21" t="str">
        <f>_xlfn.LET(_xlpm.Searching,"63",_xlpm.inStr,IFERROR(FIND(_xlpm.Searching,$A118)&gt;=1,FALSE),IF(AND(_xlpm.inStr,LEN(A118)&lt;=6),$A119,""))</f>
        <v/>
      </c>
      <c r="J112" s="22"/>
      <c r="K112" s="3"/>
      <c r="L112" s="3"/>
    </row>
    <row r="113" spans="1:17" x14ac:dyDescent="0.25">
      <c r="A113" s="3" t="s">
        <v>89</v>
      </c>
      <c r="B113" s="3"/>
      <c r="C113" s="3"/>
      <c r="D113" s="3"/>
      <c r="E113" s="3"/>
      <c r="F113" s="3"/>
      <c r="G113" s="3"/>
      <c r="H113" s="3"/>
      <c r="I113" s="3"/>
      <c r="J113" s="4"/>
      <c r="K113" s="3"/>
      <c r="L113" s="5"/>
      <c r="M113" s="1"/>
      <c r="N113" s="1"/>
      <c r="O113" s="1"/>
      <c r="P113" s="1"/>
      <c r="Q113" s="1"/>
    </row>
    <row r="114" spans="1:17" x14ac:dyDescent="0.25">
      <c r="A114" s="3" t="s">
        <v>90</v>
      </c>
      <c r="B114" s="19" t="s">
        <v>1</v>
      </c>
      <c r="C114" s="19" t="s">
        <v>56</v>
      </c>
      <c r="D114" s="19" t="s">
        <v>0</v>
      </c>
      <c r="E114" s="19">
        <v>55</v>
      </c>
      <c r="F114" s="19">
        <v>57</v>
      </c>
      <c r="G114" s="19">
        <v>59</v>
      </c>
      <c r="H114" s="19">
        <v>61</v>
      </c>
      <c r="I114" s="19">
        <v>63</v>
      </c>
      <c r="J114" s="20" t="s">
        <v>2</v>
      </c>
      <c r="K114" s="3"/>
      <c r="L114" s="3"/>
    </row>
    <row r="115" spans="1:17" x14ac:dyDescent="0.25">
      <c r="A115" s="3" t="s">
        <v>91</v>
      </c>
      <c r="B115" s="21" t="str" cm="1">
        <f t="array" ref="B115">БУКВЫ(MID($A115,3,12))</f>
        <v>771110132</v>
      </c>
      <c r="C115" s="21" t="str">
        <f>MID($A116,1,FIND("Per",A116)-1)</f>
        <v xml:space="preserve">Baseball Cap Cotton </v>
      </c>
      <c r="D115" s="21">
        <f>_xlfn.LET(_xlpm.Searching,"OSFA",_xlpm.inStr,IFERROR(FIND(_xlpm.Searching,$A117)&gt;=1,FALSE),IF(AND(_xlpm.inStr,LEN(A117)&lt;=6),A118,""))</f>
        <v>75</v>
      </c>
      <c r="E115" s="21" t="str">
        <f>_xlfn.LET(_xlpm.Searching,"55",_xlpm.inStr,IFERROR(FIND(_xlpm.Searching,$A117)&gt;=1,FALSE),IF(AND(_xlpm.inStr,LEN(A117)&lt;=6),A118,""))</f>
        <v/>
      </c>
      <c r="F115" s="21" t="str">
        <f>_xlfn.LET(_xlpm.Searching,"57",_xlpm.inStr,IFERROR(FIND(_xlpm.Searching,$A117)&gt;=1,FALSE),IF(AND(_xlpm.inStr,LEN(A117)&lt;=6),$A118,""))&amp;F116</f>
        <v/>
      </c>
      <c r="G115" s="21" t="str">
        <f>_xlfn.LET(_xlpm.Searching,"59",_xlpm.inStr,IFERROR(FIND(_xlpm.Searching,$A117)&gt;=1,FALSE),IF(AND(_xlpm.inStr,LEN(A117)&lt;=6),$A118,""))&amp;G116&amp;G117</f>
        <v/>
      </c>
      <c r="H115" s="21" t="str">
        <f>_xlfn.LET(_xlpm.Searching,"61",_xlpm.inStr,IFERROR(FIND(_xlpm.Searching,$A117)&gt;=1,FALSE),IF(AND(_xlpm.inStr,LEN(A117)&lt;=6),$A118,""))&amp;H116&amp;H117&amp;H118</f>
        <v/>
      </c>
      <c r="I115" s="21" t="str">
        <f>_xlfn.LET(_xlpm.Searching,"63",_xlpm.inStr,IFERROR(FIND(_xlpm.Searching,$A117)&gt;=1,FALSE),IF(AND(_xlpm.inStr,LEN(A117)&lt;=6),$A118,""))&amp;I116&amp;I117&amp;I118&amp;I119</f>
        <v/>
      </c>
      <c r="J115" s="22">
        <f>MID(TRIM(RIGHT(A115,10)),1,LEN(TRIM(RIGHT(A115,10)))-3)*0.8</f>
        <v>8.7200000000000006</v>
      </c>
      <c r="K115" s="3"/>
      <c r="L115" s="3"/>
    </row>
    <row r="116" spans="1:17" x14ac:dyDescent="0.25">
      <c r="A116" s="3" t="s">
        <v>81</v>
      </c>
      <c r="B116" s="21" t="str">
        <f>B115</f>
        <v>771110132</v>
      </c>
      <c r="C116" s="21" t="str">
        <f>C115</f>
        <v xml:space="preserve">Baseball Cap Cotton </v>
      </c>
      <c r="D116" s="23"/>
      <c r="E116" s="23"/>
      <c r="F116" s="21" t="str">
        <f>_xlfn.LET(_xlpm.Searching,"57",_xlpm.inStr,IFERROR(FIND(_xlpm.Searching,$A119)&gt;=1,FALSE),IF(AND(_xlpm.inStr,LEN(A119)&lt;=6),$A120,""))</f>
        <v/>
      </c>
      <c r="G116" s="21" t="str">
        <f>_xlfn.LET(_xlpm.Searching,"59",_xlpm.inStr,IFERROR(FIND(_xlpm.Searching,$A119)&gt;=1,FALSE),IF(AND(_xlpm.inStr,LEN(A119)&lt;=6),$A120,""))</f>
        <v/>
      </c>
      <c r="H116" s="21" t="str">
        <f>_xlfn.LET(_xlpm.Searching,"61",_xlpm.inStr,IFERROR(FIND(_xlpm.Searching,$A119)&gt;=1,FALSE),IF(AND(_xlpm.inStr,LEN(A119)&lt;=6),$A120,""))</f>
        <v/>
      </c>
      <c r="I116" s="21" t="str">
        <f>_xlfn.LET(_xlpm.Searching,"63",_xlpm.inStr,IFERROR(FIND(_xlpm.Searching,$A119)&gt;=1,FALSE),IF(AND(_xlpm.inStr,LEN(A119)&lt;=6),$A120,""))</f>
        <v/>
      </c>
      <c r="J116" s="22"/>
      <c r="K116" s="3"/>
      <c r="L116" s="3"/>
    </row>
    <row r="117" spans="1:17" x14ac:dyDescent="0.25">
      <c r="A117" s="3" t="s">
        <v>0</v>
      </c>
      <c r="B117" s="21" t="str">
        <f t="shared" ref="B117:C119" si="7">B116</f>
        <v>771110132</v>
      </c>
      <c r="C117" s="21" t="str">
        <f t="shared" si="7"/>
        <v xml:space="preserve">Baseball Cap Cotton </v>
      </c>
      <c r="D117" s="23"/>
      <c r="E117" s="23"/>
      <c r="F117" s="23"/>
      <c r="G117" s="21" t="str">
        <f>_xlfn.LET(_xlpm.Searching,"59",_xlpm.inStr,IFERROR(FIND(_xlpm.Searching,$A121)&gt;=1,FALSE),IF(AND(_xlpm.inStr,LEN(A121)&lt;=6),$A122,""))</f>
        <v/>
      </c>
      <c r="H117" s="21" t="str">
        <f>_xlfn.LET(_xlpm.Searching,"61",_xlpm.inStr,IFERROR(FIND(_xlpm.Searching,$A121)&gt;=1,FALSE),IF(AND(_xlpm.inStr,LEN(A121)&lt;=6),$A122,""))</f>
        <v/>
      </c>
      <c r="I117" s="21" t="str">
        <f>_xlfn.LET(_xlpm.Searching,"63",_xlpm.inStr,IFERROR(FIND(_xlpm.Searching,$A121)&gt;=1,FALSE),IF(AND(_xlpm.inStr,LEN(A121)&lt;=6),$A122,""))</f>
        <v/>
      </c>
      <c r="J117" s="22"/>
      <c r="K117" s="3"/>
      <c r="L117" s="3"/>
    </row>
    <row r="118" spans="1:17" x14ac:dyDescent="0.25">
      <c r="A118" s="3">
        <v>75</v>
      </c>
      <c r="B118" s="21" t="str">
        <f t="shared" si="7"/>
        <v>771110132</v>
      </c>
      <c r="C118" s="21" t="str">
        <f t="shared" si="7"/>
        <v xml:space="preserve">Baseball Cap Cotton </v>
      </c>
      <c r="D118" s="23"/>
      <c r="E118" s="23"/>
      <c r="F118" s="23"/>
      <c r="G118" s="23"/>
      <c r="H118" s="21" t="str">
        <f>_xlfn.LET(_xlpm.Searching,"61",_xlpm.inStr,IFERROR(FIND(_xlpm.Searching,$A123)&gt;=1,FALSE),IF(AND(_xlpm.inStr,LEN(A123)&lt;=6),$A124,""))</f>
        <v/>
      </c>
      <c r="I118" s="21" t="str">
        <f>_xlfn.LET(_xlpm.Searching,"63",_xlpm.inStr,IFERROR(FIND(_xlpm.Searching,$A123)&gt;=1,FALSE),IF(AND(_xlpm.inStr,LEN(A123)&lt;=6),$A124,""))</f>
        <v/>
      </c>
      <c r="J118" s="22"/>
      <c r="K118" s="3"/>
      <c r="L118" s="3"/>
    </row>
    <row r="119" spans="1:17" x14ac:dyDescent="0.25">
      <c r="A119" s="3" t="s">
        <v>82</v>
      </c>
      <c r="B119" s="21" t="str">
        <f t="shared" si="7"/>
        <v>771110132</v>
      </c>
      <c r="C119" s="21" t="str">
        <f t="shared" si="7"/>
        <v xml:space="preserve">Baseball Cap Cotton </v>
      </c>
      <c r="D119" s="23"/>
      <c r="E119" s="23"/>
      <c r="F119" s="23"/>
      <c r="G119" s="23"/>
      <c r="H119" s="23"/>
      <c r="I119" s="21" t="str">
        <f>_xlfn.LET(_xlpm.Searching,"63",_xlpm.inStr,IFERROR(FIND(_xlpm.Searching,$A125)&gt;=1,FALSE),IF(AND(_xlpm.inStr,LEN(A125)&lt;=6),$A126,""))</f>
        <v/>
      </c>
      <c r="J119" s="22"/>
      <c r="K119" s="3"/>
      <c r="L119" s="3"/>
    </row>
    <row r="120" spans="1:17" x14ac:dyDescent="0.25">
      <c r="A120" s="3" t="s">
        <v>92</v>
      </c>
      <c r="B120" s="3"/>
      <c r="C120" s="3"/>
      <c r="D120" s="3"/>
      <c r="E120" s="3"/>
      <c r="F120" s="3"/>
      <c r="G120" s="3"/>
      <c r="H120" s="3"/>
      <c r="I120" s="3"/>
      <c r="J120" s="4"/>
      <c r="K120" s="3"/>
      <c r="L120" s="3"/>
    </row>
    <row r="121" spans="1:17" x14ac:dyDescent="0.25">
      <c r="A121" s="3" t="s">
        <v>93</v>
      </c>
      <c r="B121" s="19" t="s">
        <v>1</v>
      </c>
      <c r="C121" s="19" t="s">
        <v>56</v>
      </c>
      <c r="D121" s="19" t="s">
        <v>0</v>
      </c>
      <c r="E121" s="19">
        <v>55</v>
      </c>
      <c r="F121" s="19">
        <v>57</v>
      </c>
      <c r="G121" s="19">
        <v>59</v>
      </c>
      <c r="H121" s="19">
        <v>61</v>
      </c>
      <c r="I121" s="19">
        <v>63</v>
      </c>
      <c r="J121" s="20" t="s">
        <v>2</v>
      </c>
      <c r="K121" s="3"/>
      <c r="L121" s="3"/>
    </row>
    <row r="122" spans="1:17" x14ac:dyDescent="0.25">
      <c r="A122" s="3" t="s">
        <v>94</v>
      </c>
      <c r="B122" s="21" t="str" cm="1">
        <f t="array" ref="B122">БУКВЫ(MID($A122,3,12))</f>
        <v>771110155</v>
      </c>
      <c r="C122" s="21" t="str">
        <f>MID($A123,1,FIND("Per",A123)-1)</f>
        <v xml:space="preserve">Baseball Cap Cotton </v>
      </c>
      <c r="D122" s="21">
        <f>_xlfn.LET(_xlpm.Searching,"OSFA",_xlpm.inStr,IFERROR(FIND(_xlpm.Searching,$A124)&gt;=1,FALSE),IF(AND(_xlpm.inStr,LEN(A124)&lt;=6),A125,""))</f>
        <v>75</v>
      </c>
      <c r="E122" s="21" t="str">
        <f>_xlfn.LET(_xlpm.Searching,"55",_xlpm.inStr,IFERROR(FIND(_xlpm.Searching,$A124)&gt;=1,FALSE),IF(AND(_xlpm.inStr,LEN(A124)&lt;=6),A125,""))</f>
        <v/>
      </c>
      <c r="F122" s="21" t="str">
        <f>_xlfn.LET(_xlpm.Searching,"57",_xlpm.inStr,IFERROR(FIND(_xlpm.Searching,$A124)&gt;=1,FALSE),IF(AND(_xlpm.inStr,LEN(A124)&lt;=6),$A125,""))&amp;F123</f>
        <v/>
      </c>
      <c r="G122" s="21" t="str">
        <f>_xlfn.LET(_xlpm.Searching,"59",_xlpm.inStr,IFERROR(FIND(_xlpm.Searching,$A124)&gt;=1,FALSE),IF(AND(_xlpm.inStr,LEN(A124)&lt;=6),$A125,""))&amp;G123&amp;G124</f>
        <v/>
      </c>
      <c r="H122" s="21" t="str">
        <f>_xlfn.LET(_xlpm.Searching,"61",_xlpm.inStr,IFERROR(FIND(_xlpm.Searching,$A124)&gt;=1,FALSE),IF(AND(_xlpm.inStr,LEN(A124)&lt;=6),$A125,""))&amp;H123&amp;H124&amp;H125</f>
        <v/>
      </c>
      <c r="I122" s="21" t="str">
        <f>_xlfn.LET(_xlpm.Searching,"63",_xlpm.inStr,IFERROR(FIND(_xlpm.Searching,$A124)&gt;=1,FALSE),IF(AND(_xlpm.inStr,LEN(A124)&lt;=6),$A125,""))&amp;I123&amp;I124&amp;I125&amp;I126</f>
        <v/>
      </c>
      <c r="J122" s="22">
        <f>MID(TRIM(RIGHT(A122,10)),1,LEN(TRIM(RIGHT(A122,10)))-3)*0.8</f>
        <v>8.7200000000000006</v>
      </c>
      <c r="K122" s="3"/>
      <c r="L122" s="3"/>
    </row>
    <row r="123" spans="1:17" x14ac:dyDescent="0.25">
      <c r="A123" s="3" t="s">
        <v>81</v>
      </c>
      <c r="B123" s="21" t="str">
        <f>B122</f>
        <v>771110155</v>
      </c>
      <c r="C123" s="21" t="str">
        <f>C122</f>
        <v xml:space="preserve">Baseball Cap Cotton </v>
      </c>
      <c r="D123" s="23"/>
      <c r="E123" s="23"/>
      <c r="F123" s="21" t="str">
        <f>_xlfn.LET(_xlpm.Searching,"57",_xlpm.inStr,IFERROR(FIND(_xlpm.Searching,$A126)&gt;=1,FALSE),IF(AND(_xlpm.inStr,LEN(A126)&lt;=6),$A127,""))</f>
        <v/>
      </c>
      <c r="G123" s="21" t="str">
        <f>_xlfn.LET(_xlpm.Searching,"59",_xlpm.inStr,IFERROR(FIND(_xlpm.Searching,$A126)&gt;=1,FALSE),IF(AND(_xlpm.inStr,LEN(A126)&lt;=6),$A127,""))</f>
        <v/>
      </c>
      <c r="H123" s="21" t="str">
        <f>_xlfn.LET(_xlpm.Searching,"61",_xlpm.inStr,IFERROR(FIND(_xlpm.Searching,$A126)&gt;=1,FALSE),IF(AND(_xlpm.inStr,LEN(A126)&lt;=6),$A127,""))</f>
        <v/>
      </c>
      <c r="I123" s="21" t="str">
        <f>_xlfn.LET(_xlpm.Searching,"63",_xlpm.inStr,IFERROR(FIND(_xlpm.Searching,$A126)&gt;=1,FALSE),IF(AND(_xlpm.inStr,LEN(A126)&lt;=6),$A127,""))</f>
        <v/>
      </c>
      <c r="J123" s="22"/>
      <c r="K123" s="3"/>
      <c r="L123" s="3"/>
    </row>
    <row r="124" spans="1:17" x14ac:dyDescent="0.25">
      <c r="A124" s="3" t="s">
        <v>0</v>
      </c>
      <c r="B124" s="21" t="str">
        <f t="shared" ref="B124:C126" si="8">B123</f>
        <v>771110155</v>
      </c>
      <c r="C124" s="21" t="str">
        <f t="shared" si="8"/>
        <v xml:space="preserve">Baseball Cap Cotton </v>
      </c>
      <c r="D124" s="23"/>
      <c r="E124" s="23"/>
      <c r="F124" s="23"/>
      <c r="G124" s="21" t="str">
        <f>_xlfn.LET(_xlpm.Searching,"59",_xlpm.inStr,IFERROR(FIND(_xlpm.Searching,$A128)&gt;=1,FALSE),IF(AND(_xlpm.inStr,LEN(A128)&lt;=6),$A129,""))</f>
        <v/>
      </c>
      <c r="H124" s="21" t="str">
        <f>_xlfn.LET(_xlpm.Searching,"61",_xlpm.inStr,IFERROR(FIND(_xlpm.Searching,$A128)&gt;=1,FALSE),IF(AND(_xlpm.inStr,LEN(A128)&lt;=6),$A129,""))</f>
        <v/>
      </c>
      <c r="I124" s="21" t="str">
        <f>_xlfn.LET(_xlpm.Searching,"63",_xlpm.inStr,IFERROR(FIND(_xlpm.Searching,$A128)&gt;=1,FALSE),IF(AND(_xlpm.inStr,LEN(A128)&lt;=6),$A129,""))</f>
        <v/>
      </c>
      <c r="J124" s="22"/>
      <c r="K124" s="3"/>
      <c r="L124" s="3"/>
    </row>
    <row r="125" spans="1:17" x14ac:dyDescent="0.25">
      <c r="A125" s="3">
        <v>75</v>
      </c>
      <c r="B125" s="21" t="str">
        <f t="shared" si="8"/>
        <v>771110155</v>
      </c>
      <c r="C125" s="21" t="str">
        <f t="shared" si="8"/>
        <v xml:space="preserve">Baseball Cap Cotton </v>
      </c>
      <c r="D125" s="23"/>
      <c r="E125" s="23"/>
      <c r="F125" s="23"/>
      <c r="G125" s="23"/>
      <c r="H125" s="21" t="str">
        <f>_xlfn.LET(_xlpm.Searching,"61",_xlpm.inStr,IFERROR(FIND(_xlpm.Searching,$A130)&gt;=1,FALSE),IF(AND(_xlpm.inStr,LEN(A130)&lt;=6),$A131,""))</f>
        <v/>
      </c>
      <c r="I125" s="21" t="str">
        <f>_xlfn.LET(_xlpm.Searching,"63",_xlpm.inStr,IFERROR(FIND(_xlpm.Searching,$A130)&gt;=1,FALSE),IF(AND(_xlpm.inStr,LEN(A130)&lt;=6),$A131,""))</f>
        <v/>
      </c>
      <c r="J125" s="22"/>
      <c r="K125" s="3"/>
      <c r="L125" s="3"/>
    </row>
    <row r="126" spans="1:17" x14ac:dyDescent="0.25">
      <c r="A126" s="3" t="s">
        <v>82</v>
      </c>
      <c r="B126" s="21" t="str">
        <f t="shared" si="8"/>
        <v>771110155</v>
      </c>
      <c r="C126" s="21" t="str">
        <f t="shared" si="8"/>
        <v xml:space="preserve">Baseball Cap Cotton </v>
      </c>
      <c r="D126" s="23"/>
      <c r="E126" s="23"/>
      <c r="F126" s="23"/>
      <c r="G126" s="23"/>
      <c r="H126" s="23"/>
      <c r="I126" s="21" t="str">
        <f>_xlfn.LET(_xlpm.Searching,"63",_xlpm.inStr,IFERROR(FIND(_xlpm.Searching,$A132)&gt;=1,FALSE),IF(AND(_xlpm.inStr,LEN(A132)&lt;=6),$A133,""))</f>
        <v/>
      </c>
      <c r="J126" s="22"/>
      <c r="K126" s="3"/>
      <c r="L126" s="3"/>
    </row>
    <row r="127" spans="1:17" x14ac:dyDescent="0.25">
      <c r="A127" s="3" t="s">
        <v>92</v>
      </c>
      <c r="B127" s="3"/>
      <c r="C127" s="3"/>
      <c r="D127" s="3"/>
      <c r="E127" s="3"/>
      <c r="F127" s="3"/>
      <c r="G127" s="3"/>
      <c r="H127" s="3"/>
      <c r="I127" s="3"/>
      <c r="J127" s="4"/>
      <c r="K127" s="3"/>
      <c r="L127" s="3"/>
    </row>
    <row r="128" spans="1:17" x14ac:dyDescent="0.25">
      <c r="A128" s="3" t="s">
        <v>93</v>
      </c>
      <c r="B128" s="19" t="s">
        <v>1</v>
      </c>
      <c r="C128" s="19" t="s">
        <v>56</v>
      </c>
      <c r="D128" s="19" t="s">
        <v>0</v>
      </c>
      <c r="E128" s="19">
        <v>55</v>
      </c>
      <c r="F128" s="19">
        <v>57</v>
      </c>
      <c r="G128" s="19">
        <v>59</v>
      </c>
      <c r="H128" s="19">
        <v>61</v>
      </c>
      <c r="I128" s="19">
        <v>63</v>
      </c>
      <c r="J128" s="20" t="s">
        <v>2</v>
      </c>
      <c r="K128" s="3"/>
      <c r="L128" s="3"/>
    </row>
    <row r="129" spans="1:12" x14ac:dyDescent="0.25">
      <c r="A129" s="3" t="s">
        <v>95</v>
      </c>
      <c r="B129" s="21" t="str" cm="1">
        <f t="array" ref="B129">БУКВЫ(MID($A129,3,12))</f>
        <v>771110171</v>
      </c>
      <c r="C129" s="21" t="str">
        <f>MID($A130,1,FIND("Per",A130)-1)</f>
        <v xml:space="preserve">Baseball Cap Cotton </v>
      </c>
      <c r="D129" s="21">
        <f>_xlfn.LET(_xlpm.Searching,"OSFA",_xlpm.inStr,IFERROR(FIND(_xlpm.Searching,$A131)&gt;=1,FALSE),IF(AND(_xlpm.inStr,LEN(A131)&lt;=6),A132,""))</f>
        <v>72</v>
      </c>
      <c r="E129" s="21" t="str">
        <f>_xlfn.LET(_xlpm.Searching,"55",_xlpm.inStr,IFERROR(FIND(_xlpm.Searching,$A131)&gt;=1,FALSE),IF(AND(_xlpm.inStr,LEN(A131)&lt;=6),A132,""))</f>
        <v/>
      </c>
      <c r="F129" s="21" t="str">
        <f>_xlfn.LET(_xlpm.Searching,"57",_xlpm.inStr,IFERROR(FIND(_xlpm.Searching,$A131)&gt;=1,FALSE),IF(AND(_xlpm.inStr,LEN(A131)&lt;=6),$A132,""))&amp;F130</f>
        <v/>
      </c>
      <c r="G129" s="21" t="str">
        <f>_xlfn.LET(_xlpm.Searching,"59",_xlpm.inStr,IFERROR(FIND(_xlpm.Searching,$A131)&gt;=1,FALSE),IF(AND(_xlpm.inStr,LEN(A131)&lt;=6),$A132,""))&amp;G130&amp;G131</f>
        <v/>
      </c>
      <c r="H129" s="21" t="str">
        <f>_xlfn.LET(_xlpm.Searching,"61",_xlpm.inStr,IFERROR(FIND(_xlpm.Searching,$A131)&gt;=1,FALSE),IF(AND(_xlpm.inStr,LEN(A131)&lt;=6),$A132,""))&amp;H130&amp;H131&amp;H132</f>
        <v/>
      </c>
      <c r="I129" s="21" t="str">
        <f>_xlfn.LET(_xlpm.Searching,"63",_xlpm.inStr,IFERROR(FIND(_xlpm.Searching,$A131)&gt;=1,FALSE),IF(AND(_xlpm.inStr,LEN(A131)&lt;=6),$A132,""))&amp;I130&amp;I131&amp;I132&amp;I133</f>
        <v/>
      </c>
      <c r="J129" s="22">
        <f>MID(TRIM(RIGHT(A129,10)),1,LEN(TRIM(RIGHT(A129,10)))-3)*0.8</f>
        <v>8.7200000000000006</v>
      </c>
      <c r="K129" s="3"/>
      <c r="L129" s="3"/>
    </row>
    <row r="130" spans="1:12" x14ac:dyDescent="0.25">
      <c r="A130" s="3" t="s">
        <v>81</v>
      </c>
      <c r="B130" s="21" t="str">
        <f>B129</f>
        <v>771110171</v>
      </c>
      <c r="C130" s="21" t="str">
        <f>C129</f>
        <v xml:space="preserve">Baseball Cap Cotton </v>
      </c>
      <c r="D130" s="23"/>
      <c r="E130" s="23"/>
      <c r="F130" s="21" t="str">
        <f>_xlfn.LET(_xlpm.Searching,"57",_xlpm.inStr,IFERROR(FIND(_xlpm.Searching,$A133)&gt;=1,FALSE),IF(AND(_xlpm.inStr,LEN(A133)&lt;=6),$A134,""))</f>
        <v/>
      </c>
      <c r="G130" s="21" t="str">
        <f>_xlfn.LET(_xlpm.Searching,"59",_xlpm.inStr,IFERROR(FIND(_xlpm.Searching,$A133)&gt;=1,FALSE),IF(AND(_xlpm.inStr,LEN(A133)&lt;=6),$A134,""))</f>
        <v/>
      </c>
      <c r="H130" s="21" t="str">
        <f>_xlfn.LET(_xlpm.Searching,"61",_xlpm.inStr,IFERROR(FIND(_xlpm.Searching,$A133)&gt;=1,FALSE),IF(AND(_xlpm.inStr,LEN(A133)&lt;=6),$A134,""))</f>
        <v/>
      </c>
      <c r="I130" s="21" t="str">
        <f>_xlfn.LET(_xlpm.Searching,"63",_xlpm.inStr,IFERROR(FIND(_xlpm.Searching,$A133)&gt;=1,FALSE),IF(AND(_xlpm.inStr,LEN(A133)&lt;=6),$A134,""))</f>
        <v/>
      </c>
      <c r="J130" s="22"/>
      <c r="K130" s="3"/>
      <c r="L130" s="3"/>
    </row>
    <row r="131" spans="1:12" x14ac:dyDescent="0.25">
      <c r="A131" s="3" t="s">
        <v>0</v>
      </c>
      <c r="B131" s="21" t="str">
        <f t="shared" ref="B131:C133" si="9">B130</f>
        <v>771110171</v>
      </c>
      <c r="C131" s="21" t="str">
        <f t="shared" si="9"/>
        <v xml:space="preserve">Baseball Cap Cotton </v>
      </c>
      <c r="D131" s="23"/>
      <c r="E131" s="23"/>
      <c r="F131" s="23"/>
      <c r="G131" s="21" t="str">
        <f>_xlfn.LET(_xlpm.Searching,"59",_xlpm.inStr,IFERROR(FIND(_xlpm.Searching,$A135)&gt;=1,FALSE),IF(AND(_xlpm.inStr,LEN(A135)&lt;=6),$A136,""))</f>
        <v/>
      </c>
      <c r="H131" s="21" t="str">
        <f>_xlfn.LET(_xlpm.Searching,"61",_xlpm.inStr,IFERROR(FIND(_xlpm.Searching,$A135)&gt;=1,FALSE),IF(AND(_xlpm.inStr,LEN(A135)&lt;=6),$A136,""))</f>
        <v/>
      </c>
      <c r="I131" s="21" t="str">
        <f>_xlfn.LET(_xlpm.Searching,"63",_xlpm.inStr,IFERROR(FIND(_xlpm.Searching,$A135)&gt;=1,FALSE),IF(AND(_xlpm.inStr,LEN(A135)&lt;=6),$A136,""))</f>
        <v/>
      </c>
      <c r="J131" s="22"/>
      <c r="K131" s="3"/>
      <c r="L131" s="3"/>
    </row>
    <row r="132" spans="1:12" x14ac:dyDescent="0.25">
      <c r="A132" s="3">
        <v>72</v>
      </c>
      <c r="B132" s="21" t="str">
        <f t="shared" si="9"/>
        <v>771110171</v>
      </c>
      <c r="C132" s="21" t="str">
        <f t="shared" si="9"/>
        <v xml:space="preserve">Baseball Cap Cotton </v>
      </c>
      <c r="D132" s="23"/>
      <c r="E132" s="23"/>
      <c r="F132" s="23"/>
      <c r="G132" s="23"/>
      <c r="H132" s="21" t="str">
        <f>_xlfn.LET(_xlpm.Searching,"61",_xlpm.inStr,IFERROR(FIND(_xlpm.Searching,$A137)&gt;=1,FALSE),IF(AND(_xlpm.inStr,LEN(A137)&lt;=6),$A138,""))</f>
        <v/>
      </c>
      <c r="I132" s="21" t="str">
        <f>_xlfn.LET(_xlpm.Searching,"63",_xlpm.inStr,IFERROR(FIND(_xlpm.Searching,$A137)&gt;=1,FALSE),IF(AND(_xlpm.inStr,LEN(A137)&lt;=6),$A138,""))</f>
        <v/>
      </c>
      <c r="J132" s="22"/>
      <c r="K132" s="3"/>
      <c r="L132" s="3"/>
    </row>
    <row r="133" spans="1:12" x14ac:dyDescent="0.25">
      <c r="A133" s="3" t="s">
        <v>82</v>
      </c>
      <c r="B133" s="21" t="str">
        <f t="shared" si="9"/>
        <v>771110171</v>
      </c>
      <c r="C133" s="21" t="str">
        <f t="shared" si="9"/>
        <v xml:space="preserve">Baseball Cap Cotton </v>
      </c>
      <c r="D133" s="23"/>
      <c r="E133" s="23"/>
      <c r="F133" s="23"/>
      <c r="G133" s="23"/>
      <c r="H133" s="23"/>
      <c r="I133" s="21" t="str">
        <f>_xlfn.LET(_xlpm.Searching,"63",_xlpm.inStr,IFERROR(FIND(_xlpm.Searching,$A139)&gt;=1,FALSE),IF(AND(_xlpm.inStr,LEN(A139)&lt;=6),$A140,""))</f>
        <v/>
      </c>
      <c r="J133" s="22"/>
      <c r="K133" s="3"/>
      <c r="L133" s="3"/>
    </row>
    <row r="134" spans="1:12" x14ac:dyDescent="0.25">
      <c r="A134" s="3" t="s">
        <v>96</v>
      </c>
      <c r="B134" s="3"/>
      <c r="C134" s="3"/>
      <c r="D134" s="3"/>
      <c r="E134" s="3"/>
      <c r="F134" s="3"/>
      <c r="G134" s="3"/>
      <c r="H134" s="3"/>
      <c r="I134" s="3"/>
      <c r="J134" s="4"/>
      <c r="K134" s="3"/>
      <c r="L134" s="3"/>
    </row>
    <row r="135" spans="1:12" x14ac:dyDescent="0.25">
      <c r="A135" s="3" t="s">
        <v>97</v>
      </c>
      <c r="B135" s="3"/>
      <c r="C135" s="3"/>
      <c r="D135" s="3"/>
      <c r="E135" s="3"/>
      <c r="F135" s="3"/>
      <c r="G135" s="3"/>
      <c r="H135" s="3"/>
      <c r="I135" s="3"/>
      <c r="J135" s="4"/>
      <c r="K135" s="3"/>
      <c r="L135" s="3"/>
    </row>
    <row r="136" spans="1:12" x14ac:dyDescent="0.25">
      <c r="A136" s="3" t="s">
        <v>17</v>
      </c>
      <c r="B136" s="3"/>
      <c r="C136" s="3"/>
      <c r="D136" s="3"/>
      <c r="E136" s="3"/>
      <c r="F136" s="3"/>
      <c r="G136" s="3"/>
      <c r="H136" s="3"/>
      <c r="I136" s="3"/>
      <c r="J136" s="4"/>
      <c r="K136" s="3"/>
      <c r="L136" s="3"/>
    </row>
    <row r="137" spans="1:12" x14ac:dyDescent="0.25">
      <c r="A137" s="3" t="s">
        <v>31</v>
      </c>
      <c r="B137" s="3"/>
      <c r="C137" s="3"/>
      <c r="D137" s="3"/>
      <c r="E137" s="3"/>
      <c r="F137" s="3"/>
      <c r="G137" s="3"/>
      <c r="H137" s="3"/>
      <c r="I137" s="3"/>
      <c r="J137" s="4"/>
      <c r="K137" s="3"/>
      <c r="L137" s="3"/>
    </row>
    <row r="138" spans="1:12" x14ac:dyDescent="0.25">
      <c r="A138" s="3" t="s">
        <v>32</v>
      </c>
      <c r="B138" s="3"/>
      <c r="C138" s="3"/>
      <c r="D138" s="3"/>
      <c r="E138" s="3"/>
      <c r="F138" s="3"/>
      <c r="G138" s="3"/>
      <c r="H138" s="3"/>
      <c r="I138" s="3"/>
      <c r="J138" s="4"/>
      <c r="K138" s="3"/>
      <c r="L138" s="3"/>
    </row>
    <row r="139" spans="1:12" x14ac:dyDescent="0.25">
      <c r="A139" s="3" t="s">
        <v>33</v>
      </c>
      <c r="B139" s="3"/>
      <c r="C139" s="3"/>
      <c r="D139" s="3"/>
      <c r="E139" s="3"/>
      <c r="F139" s="3"/>
      <c r="G139" s="3"/>
      <c r="H139" s="3"/>
      <c r="I139" s="3"/>
      <c r="J139" s="4"/>
      <c r="K139" s="3"/>
      <c r="L139" s="3"/>
    </row>
    <row r="140" spans="1:12" x14ac:dyDescent="0.25">
      <c r="A140" s="3" t="s">
        <v>34</v>
      </c>
      <c r="B140" s="3"/>
      <c r="C140" s="3"/>
      <c r="D140" s="3"/>
      <c r="E140" s="3"/>
      <c r="F140" s="3"/>
      <c r="G140" s="3"/>
      <c r="H140" s="3"/>
      <c r="I140" s="3"/>
      <c r="J140" s="4"/>
      <c r="K140" s="3"/>
      <c r="L140" s="3"/>
    </row>
    <row r="141" spans="1:12" x14ac:dyDescent="0.25">
      <c r="A141" s="3" t="s">
        <v>35</v>
      </c>
      <c r="B141" s="3"/>
      <c r="C141" s="3"/>
      <c r="D141" s="3"/>
      <c r="E141" s="3"/>
      <c r="F141" s="3"/>
      <c r="G141" s="3"/>
      <c r="H141" s="3"/>
      <c r="I141" s="3"/>
      <c r="J141" s="4"/>
      <c r="K141" s="3"/>
      <c r="L141" s="3"/>
    </row>
    <row r="142" spans="1:12" x14ac:dyDescent="0.25">
      <c r="A142" s="3" t="s">
        <v>36</v>
      </c>
      <c r="B142" s="3"/>
      <c r="C142" s="3"/>
      <c r="D142" s="3"/>
      <c r="E142" s="3"/>
      <c r="F142" s="3"/>
      <c r="G142" s="3"/>
      <c r="H142" s="3"/>
      <c r="I142" s="3"/>
      <c r="J142" s="4"/>
      <c r="K142" s="3"/>
      <c r="L142" s="3"/>
    </row>
    <row r="143" spans="1:12" x14ac:dyDescent="0.25">
      <c r="A143" s="3" t="s">
        <v>37</v>
      </c>
      <c r="B143" s="3"/>
      <c r="C143" s="3"/>
      <c r="D143" s="3"/>
      <c r="E143" s="3"/>
      <c r="F143" s="3"/>
      <c r="G143" s="3"/>
      <c r="H143" s="3"/>
      <c r="I143" s="3"/>
      <c r="J143" s="4"/>
      <c r="K143" s="3"/>
      <c r="L143" s="3"/>
    </row>
    <row r="144" spans="1:12" x14ac:dyDescent="0.25">
      <c r="A144" s="3" t="s">
        <v>38</v>
      </c>
      <c r="B144" s="3"/>
      <c r="C144" s="3"/>
      <c r="D144" s="3"/>
      <c r="E144" s="3"/>
      <c r="F144" s="3"/>
      <c r="G144" s="3"/>
      <c r="H144" s="3"/>
      <c r="I144" s="3"/>
      <c r="J144" s="4"/>
      <c r="K144" s="3"/>
      <c r="L144" s="3"/>
    </row>
    <row r="145" spans="1:12" x14ac:dyDescent="0.25">
      <c r="A145" s="3" t="s">
        <v>39</v>
      </c>
      <c r="B145" s="3"/>
      <c r="C145" s="3"/>
      <c r="D145" s="3"/>
      <c r="E145" s="3"/>
      <c r="F145" s="3"/>
      <c r="G145" s="3"/>
      <c r="H145" s="3"/>
      <c r="I145" s="3"/>
      <c r="J145" s="4"/>
      <c r="K145" s="3"/>
      <c r="L145" s="3"/>
    </row>
    <row r="146" spans="1:12" x14ac:dyDescent="0.25">
      <c r="A146" s="3" t="s">
        <v>40</v>
      </c>
      <c r="B146" s="3"/>
      <c r="C146" s="3"/>
      <c r="D146" s="3"/>
      <c r="E146" s="3"/>
      <c r="F146" s="3"/>
      <c r="G146" s="3"/>
      <c r="H146" s="3"/>
      <c r="I146" s="3"/>
      <c r="J146" s="4"/>
      <c r="K146" s="3"/>
      <c r="L146" s="3"/>
    </row>
    <row r="147" spans="1:12" x14ac:dyDescent="0.25">
      <c r="A147" s="3" t="s">
        <v>41</v>
      </c>
      <c r="B147" s="3"/>
      <c r="C147" s="3"/>
      <c r="D147" s="3"/>
      <c r="E147" s="3"/>
      <c r="F147" s="3"/>
      <c r="G147" s="3"/>
      <c r="H147" s="3"/>
      <c r="I147" s="3"/>
      <c r="J147" s="4"/>
      <c r="K147" s="3"/>
      <c r="L147" s="3"/>
    </row>
    <row r="148" spans="1:12" x14ac:dyDescent="0.25">
      <c r="A148" s="3" t="s">
        <v>42</v>
      </c>
      <c r="B148" s="3"/>
      <c r="C148" s="3"/>
      <c r="D148" s="3"/>
      <c r="E148" s="3"/>
      <c r="F148" s="3"/>
      <c r="G148" s="3"/>
      <c r="H148" s="3"/>
      <c r="I148" s="3"/>
      <c r="J148" s="4"/>
      <c r="K148" s="3"/>
      <c r="L148" s="3"/>
    </row>
    <row r="149" spans="1:12" x14ac:dyDescent="0.25">
      <c r="A149" s="3" t="s">
        <v>43</v>
      </c>
      <c r="B149" s="3"/>
      <c r="C149" s="3"/>
      <c r="D149" s="3"/>
      <c r="E149" s="3"/>
      <c r="F149" s="3"/>
      <c r="G149" s="3"/>
      <c r="H149" s="3"/>
      <c r="I149" s="3"/>
      <c r="J149" s="4"/>
      <c r="K149" s="3"/>
      <c r="L149" s="3"/>
    </row>
    <row r="150" spans="1:12" x14ac:dyDescent="0.25">
      <c r="A150" s="3" t="s">
        <v>44</v>
      </c>
      <c r="B150" s="3"/>
      <c r="C150" s="3"/>
      <c r="D150" s="3"/>
      <c r="E150" s="3"/>
      <c r="F150" s="3"/>
      <c r="G150" s="3"/>
      <c r="H150" s="3"/>
      <c r="I150" s="3"/>
      <c r="J150" s="4"/>
      <c r="K150" s="3"/>
      <c r="L150" s="3"/>
    </row>
    <row r="151" spans="1:12" x14ac:dyDescent="0.25">
      <c r="A151" s="3" t="s">
        <v>57</v>
      </c>
      <c r="B151" s="3"/>
      <c r="C151" s="3"/>
      <c r="D151" s="3"/>
      <c r="E151" s="3"/>
      <c r="F151" s="3"/>
      <c r="G151" s="3"/>
      <c r="H151" s="3"/>
      <c r="I151" s="3"/>
      <c r="J151" s="4"/>
      <c r="K151" s="3"/>
      <c r="L151" s="3"/>
    </row>
    <row r="152" spans="1:12" x14ac:dyDescent="0.25">
      <c r="A152" s="3" t="s">
        <v>78</v>
      </c>
      <c r="B152" s="3"/>
      <c r="C152" s="3"/>
      <c r="D152" s="3"/>
      <c r="E152" s="3"/>
      <c r="F152" s="3"/>
      <c r="G152" s="3"/>
      <c r="H152" s="3"/>
      <c r="I152" s="3"/>
      <c r="J152" s="4"/>
      <c r="K152" s="3"/>
      <c r="L152" s="3"/>
    </row>
    <row r="153" spans="1:12" x14ac:dyDescent="0.25">
      <c r="A153" s="3" t="s">
        <v>98</v>
      </c>
      <c r="B153" s="3"/>
      <c r="C153" s="3"/>
      <c r="D153" s="3"/>
      <c r="E153" s="3"/>
      <c r="F153" s="3"/>
      <c r="G153" s="3"/>
      <c r="H153" s="3"/>
      <c r="I153" s="3"/>
      <c r="J153" s="4"/>
      <c r="K153" s="3"/>
      <c r="L153" s="3"/>
    </row>
    <row r="154" spans="1:12" x14ac:dyDescent="0.25">
      <c r="A154" s="3" t="s">
        <v>20</v>
      </c>
      <c r="B154" s="3"/>
      <c r="C154" s="3"/>
      <c r="D154" s="3"/>
      <c r="E154" s="3"/>
      <c r="F154" s="3"/>
      <c r="G154" s="3"/>
      <c r="H154" s="3"/>
      <c r="I154" s="3"/>
      <c r="J154" s="4"/>
      <c r="K154" s="3"/>
      <c r="L154" s="3"/>
    </row>
    <row r="155" spans="1:12" x14ac:dyDescent="0.25">
      <c r="A155" s="3" t="s">
        <v>21</v>
      </c>
      <c r="B155" s="3"/>
      <c r="C155" s="3"/>
      <c r="D155" s="3"/>
      <c r="E155" s="3"/>
      <c r="F155" s="3"/>
      <c r="G155" s="3"/>
      <c r="H155" s="3"/>
      <c r="I155" s="3"/>
      <c r="J155" s="4"/>
      <c r="K155" s="3"/>
      <c r="L155" s="3"/>
    </row>
    <row r="156" spans="1:12" x14ac:dyDescent="0.25">
      <c r="A156" s="3" t="s">
        <v>22</v>
      </c>
      <c r="B156" s="3"/>
      <c r="C156" s="3"/>
      <c r="D156" s="3"/>
      <c r="E156" s="3"/>
      <c r="F156" s="3"/>
      <c r="G156" s="3"/>
      <c r="H156" s="3"/>
      <c r="I156" s="3"/>
      <c r="J156" s="4"/>
      <c r="K156" s="3"/>
      <c r="L156" s="3"/>
    </row>
    <row r="157" spans="1:12" x14ac:dyDescent="0.25">
      <c r="A157" s="3" t="s">
        <v>23</v>
      </c>
      <c r="B157" s="3"/>
      <c r="C157" s="3"/>
      <c r="D157" s="3"/>
      <c r="E157" s="3"/>
      <c r="F157" s="3"/>
      <c r="G157" s="3"/>
      <c r="H157" s="3"/>
      <c r="I157" s="3"/>
      <c r="J157" s="4"/>
      <c r="K157" s="3"/>
      <c r="L157" s="3"/>
    </row>
    <row r="158" spans="1:12" x14ac:dyDescent="0.25">
      <c r="A158" s="3" t="s">
        <v>24</v>
      </c>
      <c r="B158" s="3"/>
      <c r="C158" s="3"/>
      <c r="D158" s="3"/>
      <c r="E158" s="3"/>
      <c r="F158" s="3"/>
      <c r="G158" s="3"/>
      <c r="H158" s="3"/>
      <c r="I158" s="3"/>
      <c r="J158" s="4"/>
      <c r="K158" s="3"/>
      <c r="L158" s="3"/>
    </row>
    <row r="159" spans="1:12" x14ac:dyDescent="0.25">
      <c r="A159" s="3" t="s">
        <v>25</v>
      </c>
      <c r="B159" s="3"/>
      <c r="C159" s="3"/>
      <c r="D159" s="3"/>
      <c r="E159" s="3"/>
      <c r="F159" s="3"/>
      <c r="G159" s="3"/>
      <c r="H159" s="3"/>
      <c r="I159" s="3"/>
      <c r="J159" s="4"/>
      <c r="K159" s="3"/>
      <c r="L159" s="3"/>
    </row>
    <row r="160" spans="1:12" x14ac:dyDescent="0.25">
      <c r="A160" s="3" t="s">
        <v>26</v>
      </c>
      <c r="B160" s="19" t="s">
        <v>1</v>
      </c>
      <c r="C160" s="19" t="s">
        <v>56</v>
      </c>
      <c r="D160" s="19" t="s">
        <v>0</v>
      </c>
      <c r="E160" s="19">
        <v>55</v>
      </c>
      <c r="F160" s="19">
        <v>57</v>
      </c>
      <c r="G160" s="19">
        <v>59</v>
      </c>
      <c r="H160" s="19">
        <v>61</v>
      </c>
      <c r="I160" s="19">
        <v>63</v>
      </c>
      <c r="J160" s="20" t="s">
        <v>2</v>
      </c>
      <c r="K160" s="3"/>
      <c r="L160" s="3"/>
    </row>
    <row r="161" spans="1:12" x14ac:dyDescent="0.25">
      <c r="A161" s="3" t="s">
        <v>99</v>
      </c>
      <c r="B161" s="21" t="str" cm="1">
        <f t="array" ref="B161">БУКВЫ(MID($A161,3,12))</f>
        <v>771110186</v>
      </c>
      <c r="C161" s="21" t="str">
        <f>MID($A162,1,FIND("Per",A162)-1)</f>
        <v xml:space="preserve">Baseball Cap Cotton </v>
      </c>
      <c r="D161" s="21">
        <f>_xlfn.LET(_xlpm.Searching,"OSFA",_xlpm.inStr,IFERROR(FIND(_xlpm.Searching,$A163)&gt;=1,FALSE),IF(AND(_xlpm.inStr,LEN(A163)&lt;=6),A164,""))</f>
        <v>60</v>
      </c>
      <c r="E161" s="21" t="str">
        <f>_xlfn.LET(_xlpm.Searching,"55",_xlpm.inStr,IFERROR(FIND(_xlpm.Searching,$A163)&gt;=1,FALSE),IF(AND(_xlpm.inStr,LEN(A163)&lt;=6),A164,""))</f>
        <v/>
      </c>
      <c r="F161" s="21" t="str">
        <f>_xlfn.LET(_xlpm.Searching,"57",_xlpm.inStr,IFERROR(FIND(_xlpm.Searching,$A163)&gt;=1,FALSE),IF(AND(_xlpm.inStr,LEN(A163)&lt;=6),$A164,""))&amp;F162</f>
        <v/>
      </c>
      <c r="G161" s="21" t="str">
        <f>_xlfn.LET(_xlpm.Searching,"59",_xlpm.inStr,IFERROR(FIND(_xlpm.Searching,$A163)&gt;=1,FALSE),IF(AND(_xlpm.inStr,LEN(A163)&lt;=6),$A164,""))&amp;G162&amp;G163</f>
        <v/>
      </c>
      <c r="H161" s="21" t="str">
        <f>_xlfn.LET(_xlpm.Searching,"61",_xlpm.inStr,IFERROR(FIND(_xlpm.Searching,$A163)&gt;=1,FALSE),IF(AND(_xlpm.inStr,LEN(A163)&lt;=6),$A164,""))&amp;H162&amp;H163&amp;H164</f>
        <v/>
      </c>
      <c r="I161" s="21" t="str">
        <f>_xlfn.LET(_xlpm.Searching,"63",_xlpm.inStr,IFERROR(FIND(_xlpm.Searching,$A163)&gt;=1,FALSE),IF(AND(_xlpm.inStr,LEN(A163)&lt;=6),$A164,""))&amp;I162&amp;I163&amp;I164&amp;I165</f>
        <v/>
      </c>
      <c r="J161" s="22">
        <f>MID(TRIM(RIGHT(A161,10)),1,LEN(TRIM(RIGHT(A161,10)))-3)*0.8</f>
        <v>8.7200000000000006</v>
      </c>
      <c r="K161" s="3"/>
      <c r="L161" s="3"/>
    </row>
    <row r="162" spans="1:12" x14ac:dyDescent="0.25">
      <c r="A162" s="3" t="s">
        <v>81</v>
      </c>
      <c r="B162" s="21" t="str">
        <f>B161</f>
        <v>771110186</v>
      </c>
      <c r="C162" s="21" t="str">
        <f>C161</f>
        <v xml:space="preserve">Baseball Cap Cotton </v>
      </c>
      <c r="D162" s="23"/>
      <c r="E162" s="23"/>
      <c r="F162" s="21" t="str">
        <f>_xlfn.LET(_xlpm.Searching,"57",_xlpm.inStr,IFERROR(FIND(_xlpm.Searching,$A165)&gt;=1,FALSE),IF(AND(_xlpm.inStr,LEN(A165)&lt;=6),$A166,""))</f>
        <v/>
      </c>
      <c r="G162" s="21" t="str">
        <f>_xlfn.LET(_xlpm.Searching,"59",_xlpm.inStr,IFERROR(FIND(_xlpm.Searching,$A165)&gt;=1,FALSE),IF(AND(_xlpm.inStr,LEN(A165)&lt;=6),$A166,""))</f>
        <v/>
      </c>
      <c r="H162" s="21" t="str">
        <f>_xlfn.LET(_xlpm.Searching,"61",_xlpm.inStr,IFERROR(FIND(_xlpm.Searching,$A165)&gt;=1,FALSE),IF(AND(_xlpm.inStr,LEN(A165)&lt;=6),$A166,""))</f>
        <v/>
      </c>
      <c r="I162" s="21" t="str">
        <f>_xlfn.LET(_xlpm.Searching,"63",_xlpm.inStr,IFERROR(FIND(_xlpm.Searching,$A165)&gt;=1,FALSE),IF(AND(_xlpm.inStr,LEN(A165)&lt;=6),$A166,""))</f>
        <v/>
      </c>
      <c r="J162" s="22"/>
      <c r="K162" s="3"/>
      <c r="L162" s="3"/>
    </row>
    <row r="163" spans="1:12" x14ac:dyDescent="0.25">
      <c r="A163" s="3" t="s">
        <v>0</v>
      </c>
      <c r="B163" s="21" t="str">
        <f t="shared" ref="B163:C165" si="10">B162</f>
        <v>771110186</v>
      </c>
      <c r="C163" s="21" t="str">
        <f t="shared" si="10"/>
        <v xml:space="preserve">Baseball Cap Cotton </v>
      </c>
      <c r="D163" s="23"/>
      <c r="E163" s="23"/>
      <c r="F163" s="23"/>
      <c r="G163" s="21" t="str">
        <f>_xlfn.LET(_xlpm.Searching,"59",_xlpm.inStr,IFERROR(FIND(_xlpm.Searching,$A167)&gt;=1,FALSE),IF(AND(_xlpm.inStr,LEN(A167)&lt;=6),$A168,""))</f>
        <v/>
      </c>
      <c r="H163" s="21" t="str">
        <f>_xlfn.LET(_xlpm.Searching,"61",_xlpm.inStr,IFERROR(FIND(_xlpm.Searching,$A167)&gt;=1,FALSE),IF(AND(_xlpm.inStr,LEN(A167)&lt;=6),$A168,""))</f>
        <v/>
      </c>
      <c r="I163" s="21" t="str">
        <f>_xlfn.LET(_xlpm.Searching,"63",_xlpm.inStr,IFERROR(FIND(_xlpm.Searching,$A167)&gt;=1,FALSE),IF(AND(_xlpm.inStr,LEN(A167)&lt;=6),$A168,""))</f>
        <v/>
      </c>
      <c r="J163" s="22"/>
      <c r="K163" s="3"/>
      <c r="L163" s="3"/>
    </row>
    <row r="164" spans="1:12" x14ac:dyDescent="0.25">
      <c r="A164" s="3">
        <v>60</v>
      </c>
      <c r="B164" s="21" t="str">
        <f t="shared" si="10"/>
        <v>771110186</v>
      </c>
      <c r="C164" s="21" t="str">
        <f t="shared" si="10"/>
        <v xml:space="preserve">Baseball Cap Cotton </v>
      </c>
      <c r="D164" s="23"/>
      <c r="E164" s="23"/>
      <c r="F164" s="23"/>
      <c r="G164" s="23"/>
      <c r="H164" s="21" t="str">
        <f>_xlfn.LET(_xlpm.Searching,"61",_xlpm.inStr,IFERROR(FIND(_xlpm.Searching,$A169)&gt;=1,FALSE),IF(AND(_xlpm.inStr,LEN(A169)&lt;=6),$A170,""))</f>
        <v/>
      </c>
      <c r="I164" s="21" t="str">
        <f>_xlfn.LET(_xlpm.Searching,"63",_xlpm.inStr,IFERROR(FIND(_xlpm.Searching,$A169)&gt;=1,FALSE),IF(AND(_xlpm.inStr,LEN(A169)&lt;=6),$A170,""))</f>
        <v/>
      </c>
      <c r="J164" s="22"/>
      <c r="K164" s="3"/>
      <c r="L164" s="3"/>
    </row>
    <row r="165" spans="1:12" x14ac:dyDescent="0.25">
      <c r="A165" s="3" t="s">
        <v>82</v>
      </c>
      <c r="B165" s="21" t="str">
        <f t="shared" si="10"/>
        <v>771110186</v>
      </c>
      <c r="C165" s="21" t="str">
        <f t="shared" si="10"/>
        <v xml:space="preserve">Baseball Cap Cotton </v>
      </c>
      <c r="D165" s="23"/>
      <c r="E165" s="23"/>
      <c r="F165" s="23"/>
      <c r="G165" s="23"/>
      <c r="H165" s="23"/>
      <c r="I165" s="21" t="str">
        <f>_xlfn.LET(_xlpm.Searching,"63",_xlpm.inStr,IFERROR(FIND(_xlpm.Searching,$A171)&gt;=1,FALSE),IF(AND(_xlpm.inStr,LEN(A171)&lt;=6),$A172,""))</f>
        <v/>
      </c>
      <c r="J165" s="22"/>
      <c r="K165" s="3"/>
      <c r="L165" s="3"/>
    </row>
    <row r="166" spans="1:12" x14ac:dyDescent="0.25">
      <c r="A166" s="3" t="s">
        <v>100</v>
      </c>
      <c r="B166" s="3"/>
      <c r="C166" s="3"/>
      <c r="D166" s="3"/>
      <c r="E166" s="3"/>
      <c r="F166" s="3"/>
      <c r="G166" s="3"/>
      <c r="H166" s="3"/>
      <c r="I166" s="3"/>
      <c r="J166" s="4"/>
      <c r="K166" s="3"/>
      <c r="L166" s="3"/>
    </row>
    <row r="167" spans="1:12" x14ac:dyDescent="0.25">
      <c r="A167" s="3" t="s">
        <v>101</v>
      </c>
      <c r="B167" s="19" t="s">
        <v>1</v>
      </c>
      <c r="C167" s="19" t="s">
        <v>56</v>
      </c>
      <c r="D167" s="19" t="s">
        <v>0</v>
      </c>
      <c r="E167" s="19">
        <v>55</v>
      </c>
      <c r="F167" s="19">
        <v>57</v>
      </c>
      <c r="G167" s="19">
        <v>59</v>
      </c>
      <c r="H167" s="19">
        <v>61</v>
      </c>
      <c r="I167" s="19">
        <v>63</v>
      </c>
      <c r="J167" s="20" t="s">
        <v>2</v>
      </c>
      <c r="K167" s="3"/>
      <c r="L167" s="3"/>
    </row>
    <row r="168" spans="1:12" x14ac:dyDescent="0.25">
      <c r="A168" s="3" t="s">
        <v>102</v>
      </c>
      <c r="B168" s="21" t="str" cm="1">
        <f t="array" ref="B168">БУКВЫ(MID($A168,3,12))</f>
        <v>6841504310</v>
      </c>
      <c r="C168" s="21" t="str">
        <f>MID($A169,1,FIND("Per",A169)-1)</f>
        <v xml:space="preserve">Hatteras Cotton/Linen </v>
      </c>
      <c r="D168" s="21" t="str">
        <f>_xlfn.LET(_xlpm.Searching,"OSFA",_xlpm.inStr,IFERROR(FIND(_xlpm.Searching,$A170)&gt;=1,FALSE),IF(AND(_xlpm.inStr,LEN(A170)&lt;=6),A171,""))</f>
        <v/>
      </c>
      <c r="E168" s="21" t="str">
        <f>_xlfn.LET(_xlpm.Searching,"55",_xlpm.inStr,IFERROR(FIND(_xlpm.Searching,$A170)&gt;=1,FALSE),IF(AND(_xlpm.inStr,LEN(A170)&lt;=6),A171,""))</f>
        <v/>
      </c>
      <c r="F168" s="21" t="str">
        <f>_xlfn.LET(_xlpm.Searching,"57",_xlpm.inStr,IFERROR(FIND(_xlpm.Searching,$A170)&gt;=1,FALSE),IF(AND(_xlpm.inStr,LEN(A170)&lt;=6),$A171,""))&amp;F169</f>
        <v>1</v>
      </c>
      <c r="G168" s="21" t="str">
        <f>_xlfn.LET(_xlpm.Searching,"59",_xlpm.inStr,IFERROR(FIND(_xlpm.Searching,$A170)&gt;=1,FALSE),IF(AND(_xlpm.inStr,LEN(A170)&lt;=6),$A171,""))&amp;G169&amp;G170</f>
        <v>2</v>
      </c>
      <c r="H168" s="21" t="str">
        <f>_xlfn.LET(_xlpm.Searching,"61",_xlpm.inStr,IFERROR(FIND(_xlpm.Searching,$A170)&gt;=1,FALSE),IF(AND(_xlpm.inStr,LEN(A170)&lt;=6),$A171,""))&amp;H169&amp;H170&amp;H171</f>
        <v/>
      </c>
      <c r="I168" s="21" t="str">
        <f>_xlfn.LET(_xlpm.Searching,"63",_xlpm.inStr,IFERROR(FIND(_xlpm.Searching,$A170)&gt;=1,FALSE),IF(AND(_xlpm.inStr,LEN(A170)&lt;=6),$A171,""))&amp;I169&amp;I170&amp;I171&amp;I172</f>
        <v>1</v>
      </c>
      <c r="J168" s="22">
        <f>MID(TRIM(RIGHT(A168,10)),1,LEN(TRIM(RIGHT(A168,10)))-3)*0.8</f>
        <v>23.92</v>
      </c>
      <c r="K168" s="3"/>
      <c r="L168" s="3"/>
    </row>
    <row r="169" spans="1:12" x14ac:dyDescent="0.25">
      <c r="A169" s="3" t="s">
        <v>103</v>
      </c>
      <c r="B169" s="21" t="str">
        <f>B168</f>
        <v>6841504310</v>
      </c>
      <c r="C169" s="21" t="str">
        <f>C168</f>
        <v xml:space="preserve">Hatteras Cotton/Linen </v>
      </c>
      <c r="D169" s="23"/>
      <c r="E169" s="23"/>
      <c r="F169" s="21" t="str">
        <f>_xlfn.LET(_xlpm.Searching,"57",_xlpm.inStr,IFERROR(FIND(_xlpm.Searching,$A172)&gt;=1,FALSE),IF(AND(_xlpm.inStr,LEN(A172)&lt;=6),$A173,""))</f>
        <v/>
      </c>
      <c r="G169" s="21">
        <f>_xlfn.LET(_xlpm.Searching,"59",_xlpm.inStr,IFERROR(FIND(_xlpm.Searching,$A172)&gt;=1,FALSE),IF(AND(_xlpm.inStr,LEN(A172)&lt;=6),$A173,""))</f>
        <v>2</v>
      </c>
      <c r="H169" s="21" t="str">
        <f>_xlfn.LET(_xlpm.Searching,"61",_xlpm.inStr,IFERROR(FIND(_xlpm.Searching,$A172)&gt;=1,FALSE),IF(AND(_xlpm.inStr,LEN(A172)&lt;=6),$A173,""))</f>
        <v/>
      </c>
      <c r="I169" s="21" t="str">
        <f>_xlfn.LET(_xlpm.Searching,"63",_xlpm.inStr,IFERROR(FIND(_xlpm.Searching,$A172)&gt;=1,FALSE),IF(AND(_xlpm.inStr,LEN(A172)&lt;=6),$A173,""))</f>
        <v/>
      </c>
      <c r="J169" s="22"/>
      <c r="K169" s="3"/>
      <c r="L169" s="3"/>
    </row>
    <row r="170" spans="1:12" x14ac:dyDescent="0.25">
      <c r="A170" s="3" t="s">
        <v>30</v>
      </c>
      <c r="B170" s="21" t="str">
        <f t="shared" ref="B170:C172" si="11">B169</f>
        <v>6841504310</v>
      </c>
      <c r="C170" s="21" t="str">
        <f t="shared" si="11"/>
        <v xml:space="preserve">Hatteras Cotton/Linen </v>
      </c>
      <c r="D170" s="23"/>
      <c r="E170" s="23"/>
      <c r="F170" s="23"/>
      <c r="G170" s="21" t="str">
        <f>_xlfn.LET(_xlpm.Searching,"59",_xlpm.inStr,IFERROR(FIND(_xlpm.Searching,$A174)&gt;=1,FALSE),IF(AND(_xlpm.inStr,LEN(A174)&lt;=6),$A175,""))</f>
        <v/>
      </c>
      <c r="H170" s="21" t="str">
        <f>_xlfn.LET(_xlpm.Searching,"61",_xlpm.inStr,IFERROR(FIND(_xlpm.Searching,$A174)&gt;=1,FALSE),IF(AND(_xlpm.inStr,LEN(A174)&lt;=6),$A175,""))</f>
        <v/>
      </c>
      <c r="I170" s="21">
        <f>_xlfn.LET(_xlpm.Searching,"63",_xlpm.inStr,IFERROR(FIND(_xlpm.Searching,$A174)&gt;=1,FALSE),IF(AND(_xlpm.inStr,LEN(A174)&lt;=6),$A175,""))</f>
        <v>1</v>
      </c>
      <c r="J170" s="22"/>
      <c r="K170" s="3"/>
      <c r="L170" s="3"/>
    </row>
    <row r="171" spans="1:12" x14ac:dyDescent="0.25">
      <c r="A171" s="3">
        <v>1</v>
      </c>
      <c r="B171" s="21" t="str">
        <f t="shared" si="11"/>
        <v>6841504310</v>
      </c>
      <c r="C171" s="21" t="str">
        <f t="shared" si="11"/>
        <v xml:space="preserve">Hatteras Cotton/Linen </v>
      </c>
      <c r="D171" s="23"/>
      <c r="E171" s="23"/>
      <c r="F171" s="23"/>
      <c r="G171" s="23"/>
      <c r="H171" s="21" t="str">
        <f>_xlfn.LET(_xlpm.Searching,"61",_xlpm.inStr,IFERROR(FIND(_xlpm.Searching,$A176)&gt;=1,FALSE),IF(AND(_xlpm.inStr,LEN(A176)&lt;=6),$A177,""))</f>
        <v/>
      </c>
      <c r="I171" s="21" t="str">
        <f>_xlfn.LET(_xlpm.Searching,"63",_xlpm.inStr,IFERROR(FIND(_xlpm.Searching,$A176)&gt;=1,FALSE),IF(AND(_xlpm.inStr,LEN(A176)&lt;=6),$A177,""))</f>
        <v/>
      </c>
      <c r="J171" s="22"/>
      <c r="K171" s="3"/>
      <c r="L171" s="3"/>
    </row>
    <row r="172" spans="1:12" x14ac:dyDescent="0.25">
      <c r="A172" s="3" t="s">
        <v>29</v>
      </c>
      <c r="B172" s="21" t="str">
        <f t="shared" si="11"/>
        <v>6841504310</v>
      </c>
      <c r="C172" s="21" t="str">
        <f t="shared" si="11"/>
        <v xml:space="preserve">Hatteras Cotton/Linen </v>
      </c>
      <c r="D172" s="23"/>
      <c r="E172" s="23"/>
      <c r="F172" s="23"/>
      <c r="G172" s="23"/>
      <c r="H172" s="23"/>
      <c r="I172" s="21" t="str">
        <f>_xlfn.LET(_xlpm.Searching,"63",_xlpm.inStr,IFERROR(FIND(_xlpm.Searching,$A178)&gt;=1,FALSE),IF(AND(_xlpm.inStr,LEN(A178)&lt;=6),$A179,""))</f>
        <v/>
      </c>
      <c r="J172" s="22"/>
      <c r="K172" s="3"/>
      <c r="L172" s="3"/>
    </row>
    <row r="173" spans="1:12" x14ac:dyDescent="0.25">
      <c r="A173" s="3">
        <v>2</v>
      </c>
      <c r="B173" s="3"/>
      <c r="C173" s="3"/>
      <c r="D173" s="3"/>
      <c r="E173" s="3"/>
      <c r="F173" s="3"/>
      <c r="G173" s="3"/>
      <c r="H173" s="3"/>
      <c r="I173" s="3"/>
      <c r="J173" s="4"/>
      <c r="K173" s="3"/>
      <c r="L173" s="3"/>
    </row>
    <row r="174" spans="1:12" x14ac:dyDescent="0.25">
      <c r="A174" s="3" t="s">
        <v>73</v>
      </c>
      <c r="B174" s="3"/>
      <c r="C174" s="3"/>
      <c r="D174" s="3"/>
      <c r="E174" s="3"/>
      <c r="F174" s="3"/>
      <c r="G174" s="3"/>
      <c r="H174" s="3"/>
      <c r="I174" s="3"/>
      <c r="J174" s="4"/>
      <c r="K174" s="3"/>
      <c r="L174" s="3"/>
    </row>
    <row r="175" spans="1:12" x14ac:dyDescent="0.25">
      <c r="A175" s="3">
        <v>1</v>
      </c>
      <c r="B175" s="3"/>
      <c r="C175" s="3"/>
      <c r="D175" s="3"/>
      <c r="E175" s="3"/>
      <c r="F175" s="3"/>
      <c r="G175" s="3"/>
      <c r="H175" s="3"/>
      <c r="I175" s="3"/>
      <c r="J175" s="4"/>
      <c r="K175" s="3"/>
      <c r="L175" s="3"/>
    </row>
    <row r="176" spans="1:12" x14ac:dyDescent="0.25">
      <c r="A176" s="3" t="s">
        <v>104</v>
      </c>
      <c r="B176" s="3"/>
      <c r="C176" s="3"/>
      <c r="D176" s="3"/>
      <c r="E176" s="3"/>
      <c r="F176" s="3"/>
      <c r="G176" s="3"/>
      <c r="H176" s="3"/>
      <c r="I176" s="3"/>
      <c r="J176" s="4"/>
      <c r="K176" s="3"/>
      <c r="L176" s="3"/>
    </row>
    <row r="177" spans="1:12" x14ac:dyDescent="0.25">
      <c r="A177" s="3" t="s">
        <v>105</v>
      </c>
      <c r="B177" s="3"/>
      <c r="C177" s="3"/>
      <c r="D177" s="3"/>
      <c r="E177" s="3"/>
      <c r="F177" s="3"/>
      <c r="G177" s="3"/>
      <c r="H177" s="3"/>
      <c r="I177" s="3"/>
      <c r="J177" s="4"/>
      <c r="K177" s="3"/>
      <c r="L177" s="3"/>
    </row>
    <row r="178" spans="1:12" x14ac:dyDescent="0.25">
      <c r="A178" s="3" t="s">
        <v>106</v>
      </c>
      <c r="B178" s="19" t="s">
        <v>1</v>
      </c>
      <c r="C178" s="19" t="s">
        <v>56</v>
      </c>
      <c r="D178" s="19" t="s">
        <v>0</v>
      </c>
      <c r="E178" s="19">
        <v>55</v>
      </c>
      <c r="F178" s="19">
        <v>57</v>
      </c>
      <c r="G178" s="19">
        <v>59</v>
      </c>
      <c r="H178" s="19">
        <v>61</v>
      </c>
      <c r="I178" s="19">
        <v>63</v>
      </c>
      <c r="J178" s="20" t="s">
        <v>2</v>
      </c>
      <c r="K178" s="3"/>
      <c r="L178" s="3"/>
    </row>
    <row r="179" spans="1:12" x14ac:dyDescent="0.25">
      <c r="A179" s="3" t="s">
        <v>107</v>
      </c>
      <c r="B179" s="21" t="str" cm="1">
        <f t="array" ref="B179">БУКВЫ(MID($A179,3,12))</f>
        <v>21385047</v>
      </c>
      <c r="C179" s="21" t="str">
        <f>MID($A180,1,FIND("Per",A180)-1)</f>
        <v xml:space="preserve">Fedora Hemp </v>
      </c>
      <c r="D179" s="21" t="str">
        <f>_xlfn.LET(_xlpm.Searching,"OSFA",_xlpm.inStr,IFERROR(FIND(_xlpm.Searching,$A181)&gt;=1,FALSE),IF(AND(_xlpm.inStr,LEN(A181)&lt;=6),A182,""))</f>
        <v/>
      </c>
      <c r="E179" s="21" t="str">
        <f>_xlfn.LET(_xlpm.Searching,"55",_xlpm.inStr,IFERROR(FIND(_xlpm.Searching,$A181)&gt;=1,FALSE),IF(AND(_xlpm.inStr,LEN(A181)&lt;=6),A182,""))</f>
        <v/>
      </c>
      <c r="F179" s="21" t="str">
        <f>_xlfn.LET(_xlpm.Searching,"57",_xlpm.inStr,IFERROR(FIND(_xlpm.Searching,$A181)&gt;=1,FALSE),IF(AND(_xlpm.inStr,LEN(A181)&lt;=6),$A182,""))&amp;F180</f>
        <v/>
      </c>
      <c r="G179" s="21" t="str">
        <f>_xlfn.LET(_xlpm.Searching,"59",_xlpm.inStr,IFERROR(FIND(_xlpm.Searching,$A181)&gt;=1,FALSE),IF(AND(_xlpm.inStr,LEN(A181)&lt;=6),$A182,""))&amp;G180&amp;G181</f>
        <v/>
      </c>
      <c r="H179" s="21" t="str">
        <f>_xlfn.LET(_xlpm.Searching,"61",_xlpm.inStr,IFERROR(FIND(_xlpm.Searching,$A181)&gt;=1,FALSE),IF(AND(_xlpm.inStr,LEN(A181)&lt;=6),$A182,""))&amp;H180&amp;H181&amp;H182</f>
        <v>1</v>
      </c>
      <c r="I179" s="21" t="str">
        <f>_xlfn.LET(_xlpm.Searching,"63",_xlpm.inStr,IFERROR(FIND(_xlpm.Searching,$A181)&gt;=1,FALSE),IF(AND(_xlpm.inStr,LEN(A181)&lt;=6),$A182,""))&amp;I180&amp;I181&amp;I182&amp;I183</f>
        <v>1</v>
      </c>
      <c r="J179" s="22">
        <f>MID(TRIM(RIGHT(A179,10)),1,LEN(TRIM(RIGHT(A179,10)))-3)*0.8</f>
        <v>45.6</v>
      </c>
      <c r="K179" s="3"/>
      <c r="L179" s="3"/>
    </row>
    <row r="180" spans="1:12" x14ac:dyDescent="0.25">
      <c r="A180" s="3" t="s">
        <v>108</v>
      </c>
      <c r="B180" s="21" t="str">
        <f>B179</f>
        <v>21385047</v>
      </c>
      <c r="C180" s="21" t="str">
        <f>C179</f>
        <v xml:space="preserve">Fedora Hemp </v>
      </c>
      <c r="D180" s="23"/>
      <c r="E180" s="23"/>
      <c r="F180" s="21" t="str">
        <f>_xlfn.LET(_xlpm.Searching,"57",_xlpm.inStr,IFERROR(FIND(_xlpm.Searching,$A183)&gt;=1,FALSE),IF(AND(_xlpm.inStr,LEN(A183)&lt;=6),$A184,""))</f>
        <v/>
      </c>
      <c r="G180" s="21" t="str">
        <f>_xlfn.LET(_xlpm.Searching,"59",_xlpm.inStr,IFERROR(FIND(_xlpm.Searching,$A183)&gt;=1,FALSE),IF(AND(_xlpm.inStr,LEN(A183)&lt;=6),$A184,""))</f>
        <v/>
      </c>
      <c r="H180" s="21" t="str">
        <f>_xlfn.LET(_xlpm.Searching,"61",_xlpm.inStr,IFERROR(FIND(_xlpm.Searching,$A183)&gt;=1,FALSE),IF(AND(_xlpm.inStr,LEN(A183)&lt;=6),$A184,""))</f>
        <v/>
      </c>
      <c r="I180" s="21">
        <f>_xlfn.LET(_xlpm.Searching,"63",_xlpm.inStr,IFERROR(FIND(_xlpm.Searching,$A183)&gt;=1,FALSE),IF(AND(_xlpm.inStr,LEN(A183)&lt;=6),$A184,""))</f>
        <v>1</v>
      </c>
      <c r="J180" s="22"/>
      <c r="K180" s="3"/>
      <c r="L180" s="3"/>
    </row>
    <row r="181" spans="1:12" x14ac:dyDescent="0.25">
      <c r="A181" s="3" t="s">
        <v>66</v>
      </c>
      <c r="B181" s="21" t="str">
        <f t="shared" ref="B181:C183" si="12">B180</f>
        <v>21385047</v>
      </c>
      <c r="C181" s="21" t="str">
        <f t="shared" si="12"/>
        <v xml:space="preserve">Fedora Hemp </v>
      </c>
      <c r="D181" s="23"/>
      <c r="E181" s="23"/>
      <c r="F181" s="23"/>
      <c r="G181" s="21" t="str">
        <f>_xlfn.LET(_xlpm.Searching,"59",_xlpm.inStr,IFERROR(FIND(_xlpm.Searching,$A185)&gt;=1,FALSE),IF(AND(_xlpm.inStr,LEN(A185)&lt;=6),$A186,""))</f>
        <v/>
      </c>
      <c r="H181" s="21" t="str">
        <f>_xlfn.LET(_xlpm.Searching,"61",_xlpm.inStr,IFERROR(FIND(_xlpm.Searching,$A185)&gt;=1,FALSE),IF(AND(_xlpm.inStr,LEN(A185)&lt;=6),$A186,""))</f>
        <v/>
      </c>
      <c r="I181" s="21" t="str">
        <f>_xlfn.LET(_xlpm.Searching,"63",_xlpm.inStr,IFERROR(FIND(_xlpm.Searching,$A185)&gt;=1,FALSE),IF(AND(_xlpm.inStr,LEN(A185)&lt;=6),$A186,""))</f>
        <v/>
      </c>
      <c r="J181" s="22"/>
      <c r="K181" s="3"/>
      <c r="L181" s="3"/>
    </row>
    <row r="182" spans="1:12" x14ac:dyDescent="0.25">
      <c r="A182" s="3">
        <v>1</v>
      </c>
      <c r="B182" s="21" t="str">
        <f t="shared" si="12"/>
        <v>21385047</v>
      </c>
      <c r="C182" s="21" t="str">
        <f t="shared" si="12"/>
        <v xml:space="preserve">Fedora Hemp </v>
      </c>
      <c r="D182" s="23"/>
      <c r="E182" s="23"/>
      <c r="F182" s="23"/>
      <c r="G182" s="23"/>
      <c r="H182" s="21" t="str">
        <f>_xlfn.LET(_xlpm.Searching,"61",_xlpm.inStr,IFERROR(FIND(_xlpm.Searching,$A187)&gt;=1,FALSE),IF(AND(_xlpm.inStr,LEN(A187)&lt;=6),$A188,""))</f>
        <v/>
      </c>
      <c r="I182" s="21" t="str">
        <f>_xlfn.LET(_xlpm.Searching,"63",_xlpm.inStr,IFERROR(FIND(_xlpm.Searching,$A187)&gt;=1,FALSE),IF(AND(_xlpm.inStr,LEN(A187)&lt;=6),$A188,""))</f>
        <v/>
      </c>
      <c r="J182" s="22"/>
      <c r="K182" s="3"/>
      <c r="L182" s="3"/>
    </row>
    <row r="183" spans="1:12" x14ac:dyDescent="0.25">
      <c r="A183" s="3" t="s">
        <v>73</v>
      </c>
      <c r="B183" s="21" t="str">
        <f t="shared" si="12"/>
        <v>21385047</v>
      </c>
      <c r="C183" s="21" t="str">
        <f t="shared" si="12"/>
        <v xml:space="preserve">Fedora Hemp </v>
      </c>
      <c r="D183" s="23"/>
      <c r="E183" s="23"/>
      <c r="F183" s="23"/>
      <c r="G183" s="23"/>
      <c r="H183" s="23"/>
      <c r="I183" s="21" t="str">
        <f>_xlfn.LET(_xlpm.Searching,"63",_xlpm.inStr,IFERROR(FIND(_xlpm.Searching,$A189)&gt;=1,FALSE),IF(AND(_xlpm.inStr,LEN(A189)&lt;=6),$A190,""))</f>
        <v/>
      </c>
      <c r="J183" s="22"/>
      <c r="K183" s="3"/>
      <c r="L183" s="3"/>
    </row>
    <row r="184" spans="1:12" x14ac:dyDescent="0.25">
      <c r="A184" s="3">
        <v>1</v>
      </c>
      <c r="B184" s="3"/>
      <c r="C184" s="3"/>
      <c r="D184" s="3"/>
      <c r="E184" s="3"/>
      <c r="F184" s="3"/>
      <c r="G184" s="3"/>
      <c r="H184" s="3"/>
      <c r="I184" s="3"/>
      <c r="J184" s="4"/>
      <c r="K184" s="3"/>
      <c r="L184" s="3"/>
    </row>
    <row r="185" spans="1:12" x14ac:dyDescent="0.25">
      <c r="A185" s="3" t="s">
        <v>109</v>
      </c>
      <c r="B185" s="3"/>
      <c r="C185" s="3"/>
      <c r="D185" s="3"/>
      <c r="E185" s="3"/>
      <c r="F185" s="3"/>
      <c r="G185" s="3"/>
      <c r="H185" s="3"/>
      <c r="I185" s="3"/>
      <c r="J185" s="4"/>
      <c r="K185" s="3"/>
      <c r="L185" s="3"/>
    </row>
    <row r="186" spans="1:12" x14ac:dyDescent="0.25">
      <c r="A186" s="3" t="s">
        <v>110</v>
      </c>
      <c r="B186" s="3"/>
      <c r="C186" s="3"/>
      <c r="D186" s="3"/>
      <c r="E186" s="3"/>
      <c r="F186" s="3"/>
      <c r="G186" s="3"/>
      <c r="H186" s="3"/>
      <c r="I186" s="3"/>
      <c r="J186" s="4"/>
      <c r="K186" s="3"/>
      <c r="L186" s="3"/>
    </row>
    <row r="187" spans="1:12" x14ac:dyDescent="0.25">
      <c r="A187" s="3" t="s">
        <v>111</v>
      </c>
      <c r="B187" s="19" t="s">
        <v>1</v>
      </c>
      <c r="C187" s="19" t="s">
        <v>56</v>
      </c>
      <c r="D187" s="19" t="s">
        <v>0</v>
      </c>
      <c r="E187" s="19">
        <v>55</v>
      </c>
      <c r="F187" s="19">
        <v>57</v>
      </c>
      <c r="G187" s="19">
        <v>59</v>
      </c>
      <c r="H187" s="19">
        <v>61</v>
      </c>
      <c r="I187" s="19">
        <v>63</v>
      </c>
      <c r="J187" s="20" t="s">
        <v>2</v>
      </c>
      <c r="K187" s="3"/>
      <c r="L187" s="3"/>
    </row>
    <row r="188" spans="1:12" x14ac:dyDescent="0.25">
      <c r="A188" s="3" t="s">
        <v>112</v>
      </c>
      <c r="B188" s="21" t="str" cm="1">
        <f t="array" ref="B188">БУКВЫ(MID($A188,3,12))</f>
        <v>111310231</v>
      </c>
      <c r="C188" s="21" t="str">
        <f>MID($A189,1,FIND("Per",A189)-1)</f>
        <v xml:space="preserve">Trilby Linen </v>
      </c>
      <c r="D188" s="21" t="str">
        <f>_xlfn.LET(_xlpm.Searching,"OSFA",_xlpm.inStr,IFERROR(FIND(_xlpm.Searching,$A190)&gt;=1,FALSE),IF(AND(_xlpm.inStr,LEN(A190)&lt;=6),A191,""))</f>
        <v/>
      </c>
      <c r="E188" s="21">
        <f>_xlfn.LET(_xlpm.Searching,"55",_xlpm.inStr,IFERROR(FIND(_xlpm.Searching,$A190)&gt;=1,FALSE),IF(AND(_xlpm.inStr,LEN(A190)&lt;=6),A191,""))</f>
        <v>1</v>
      </c>
      <c r="F188" s="21" t="str">
        <f>_xlfn.LET(_xlpm.Searching,"57",_xlpm.inStr,IFERROR(FIND(_xlpm.Searching,$A190)&gt;=1,FALSE),IF(AND(_xlpm.inStr,LEN(A190)&lt;=6),$A191,""))&amp;F189</f>
        <v>6</v>
      </c>
      <c r="G188" s="21" t="str">
        <f>_xlfn.LET(_xlpm.Searching,"59",_xlpm.inStr,IFERROR(FIND(_xlpm.Searching,$A190)&gt;=1,FALSE),IF(AND(_xlpm.inStr,LEN(A190)&lt;=6),$A191,""))&amp;G189&amp;G190</f>
        <v>8</v>
      </c>
      <c r="H188" s="21" t="str">
        <f>_xlfn.LET(_xlpm.Searching,"61",_xlpm.inStr,IFERROR(FIND(_xlpm.Searching,$A190)&gt;=1,FALSE),IF(AND(_xlpm.inStr,LEN(A190)&lt;=6),$A191,""))&amp;H189&amp;H190&amp;H191</f>
        <v>6</v>
      </c>
      <c r="I188" s="21" t="str">
        <f>_xlfn.LET(_xlpm.Searching,"63",_xlpm.inStr,IFERROR(FIND(_xlpm.Searching,$A190)&gt;=1,FALSE),IF(AND(_xlpm.inStr,LEN(A190)&lt;=6),$A191,""))&amp;I189&amp;I190&amp;I191&amp;I192</f>
        <v>3</v>
      </c>
      <c r="J188" s="22">
        <f>MID(TRIM(RIGHT(A188,10)),1,LEN(TRIM(RIGHT(A188,10)))-3)*0.8</f>
        <v>23.92</v>
      </c>
      <c r="K188" s="3"/>
      <c r="L188" s="3"/>
    </row>
    <row r="189" spans="1:12" x14ac:dyDescent="0.25">
      <c r="A189" s="3" t="s">
        <v>113</v>
      </c>
      <c r="B189" s="21" t="str">
        <f>B188</f>
        <v>111310231</v>
      </c>
      <c r="C189" s="21" t="str">
        <f>C188</f>
        <v xml:space="preserve">Trilby Linen </v>
      </c>
      <c r="D189" s="23"/>
      <c r="E189" s="23"/>
      <c r="F189" s="21">
        <f>_xlfn.LET(_xlpm.Searching,"57",_xlpm.inStr,IFERROR(FIND(_xlpm.Searching,$A192)&gt;=1,FALSE),IF(AND(_xlpm.inStr,LEN(A192)&lt;=6),$A193,""))</f>
        <v>6</v>
      </c>
      <c r="G189" s="21" t="str">
        <f>_xlfn.LET(_xlpm.Searching,"59",_xlpm.inStr,IFERROR(FIND(_xlpm.Searching,$A192)&gt;=1,FALSE),IF(AND(_xlpm.inStr,LEN(A192)&lt;=6),$A193,""))</f>
        <v/>
      </c>
      <c r="H189" s="21" t="str">
        <f>_xlfn.LET(_xlpm.Searching,"61",_xlpm.inStr,IFERROR(FIND(_xlpm.Searching,$A192)&gt;=1,FALSE),IF(AND(_xlpm.inStr,LEN(A192)&lt;=6),$A193,""))</f>
        <v/>
      </c>
      <c r="I189" s="21" t="str">
        <f>_xlfn.LET(_xlpm.Searching,"63",_xlpm.inStr,IFERROR(FIND(_xlpm.Searching,$A192)&gt;=1,FALSE),IF(AND(_xlpm.inStr,LEN(A192)&lt;=6),$A193,""))</f>
        <v/>
      </c>
      <c r="J189" s="22"/>
      <c r="K189" s="3"/>
      <c r="L189" s="3"/>
    </row>
    <row r="190" spans="1:12" x14ac:dyDescent="0.25">
      <c r="A190" s="3" t="s">
        <v>72</v>
      </c>
      <c r="B190" s="21" t="str">
        <f t="shared" ref="B190:C192" si="13">B189</f>
        <v>111310231</v>
      </c>
      <c r="C190" s="21" t="str">
        <f t="shared" si="13"/>
        <v xml:space="preserve">Trilby Linen </v>
      </c>
      <c r="D190" s="23"/>
      <c r="E190" s="23"/>
      <c r="F190" s="23"/>
      <c r="G190" s="21">
        <f>_xlfn.LET(_xlpm.Searching,"59",_xlpm.inStr,IFERROR(FIND(_xlpm.Searching,$A194)&gt;=1,FALSE),IF(AND(_xlpm.inStr,LEN(A194)&lt;=6),$A195,""))</f>
        <v>8</v>
      </c>
      <c r="H190" s="21" t="str">
        <f>_xlfn.LET(_xlpm.Searching,"61",_xlpm.inStr,IFERROR(FIND(_xlpm.Searching,$A194)&gt;=1,FALSE),IF(AND(_xlpm.inStr,LEN(A194)&lt;=6),$A195,""))</f>
        <v/>
      </c>
      <c r="I190" s="21" t="str">
        <f>_xlfn.LET(_xlpm.Searching,"63",_xlpm.inStr,IFERROR(FIND(_xlpm.Searching,$A194)&gt;=1,FALSE),IF(AND(_xlpm.inStr,LEN(A194)&lt;=6),$A195,""))</f>
        <v/>
      </c>
      <c r="J190" s="22"/>
      <c r="K190" s="3"/>
      <c r="L190" s="3"/>
    </row>
    <row r="191" spans="1:12" x14ac:dyDescent="0.25">
      <c r="A191" s="3">
        <v>1</v>
      </c>
      <c r="B191" s="21" t="str">
        <f t="shared" si="13"/>
        <v>111310231</v>
      </c>
      <c r="C191" s="21" t="str">
        <f t="shared" si="13"/>
        <v xml:space="preserve">Trilby Linen </v>
      </c>
      <c r="D191" s="23"/>
      <c r="E191" s="23"/>
      <c r="F191" s="23"/>
      <c r="G191" s="23"/>
      <c r="H191" s="21">
        <f>_xlfn.LET(_xlpm.Searching,"61",_xlpm.inStr,IFERROR(FIND(_xlpm.Searching,$A196)&gt;=1,FALSE),IF(AND(_xlpm.inStr,LEN(A196)&lt;=6),$A197,""))</f>
        <v>6</v>
      </c>
      <c r="I191" s="21" t="str">
        <f>_xlfn.LET(_xlpm.Searching,"63",_xlpm.inStr,IFERROR(FIND(_xlpm.Searching,$A196)&gt;=1,FALSE),IF(AND(_xlpm.inStr,LEN(A196)&lt;=6),$A197,""))</f>
        <v/>
      </c>
      <c r="J191" s="22"/>
      <c r="K191" s="3"/>
      <c r="L191" s="3"/>
    </row>
    <row r="192" spans="1:12" x14ac:dyDescent="0.25">
      <c r="A192" s="3" t="s">
        <v>30</v>
      </c>
      <c r="B192" s="21" t="str">
        <f t="shared" si="13"/>
        <v>111310231</v>
      </c>
      <c r="C192" s="21" t="str">
        <f t="shared" si="13"/>
        <v xml:space="preserve">Trilby Linen </v>
      </c>
      <c r="D192" s="23"/>
      <c r="E192" s="23"/>
      <c r="F192" s="23"/>
      <c r="G192" s="23"/>
      <c r="H192" s="23"/>
      <c r="I192" s="21">
        <f>_xlfn.LET(_xlpm.Searching,"63",_xlpm.inStr,IFERROR(FIND(_xlpm.Searching,$A198)&gt;=1,FALSE),IF(AND(_xlpm.inStr,LEN(A198)&lt;=6),$A199,""))</f>
        <v>3</v>
      </c>
      <c r="J192" s="22"/>
      <c r="K192" s="3"/>
      <c r="L192" s="3"/>
    </row>
    <row r="193" spans="1:12" x14ac:dyDescent="0.25">
      <c r="A193" s="3">
        <v>6</v>
      </c>
      <c r="B193" s="3"/>
      <c r="C193" s="3"/>
      <c r="D193" s="3"/>
      <c r="E193" s="3"/>
      <c r="F193" s="3"/>
      <c r="G193" s="3"/>
      <c r="H193" s="3"/>
      <c r="I193" s="3"/>
      <c r="J193" s="4"/>
      <c r="K193" s="3"/>
      <c r="L193" s="3"/>
    </row>
    <row r="194" spans="1:12" x14ac:dyDescent="0.25">
      <c r="A194" s="3" t="s">
        <v>29</v>
      </c>
      <c r="B194" s="5"/>
      <c r="C194" s="5"/>
      <c r="D194" s="5"/>
      <c r="E194" s="5"/>
      <c r="F194" s="5"/>
      <c r="G194" s="5"/>
      <c r="H194" s="5"/>
      <c r="I194" s="5"/>
      <c r="J194" s="6"/>
      <c r="K194" s="3"/>
      <c r="L194" s="3"/>
    </row>
    <row r="195" spans="1:12" x14ac:dyDescent="0.25">
      <c r="A195" s="3">
        <v>8</v>
      </c>
      <c r="B195" s="3"/>
      <c r="C195" s="3"/>
      <c r="D195" s="3"/>
      <c r="E195" s="3"/>
      <c r="F195" s="3"/>
      <c r="G195" s="3"/>
      <c r="H195" s="3"/>
      <c r="I195" s="3"/>
      <c r="J195" s="4"/>
      <c r="K195" s="3"/>
      <c r="L195" s="3"/>
    </row>
    <row r="196" spans="1:12" x14ac:dyDescent="0.25">
      <c r="A196" s="3" t="s">
        <v>66</v>
      </c>
      <c r="B196" s="3"/>
      <c r="C196" s="3"/>
      <c r="D196" s="3"/>
      <c r="E196" s="3"/>
      <c r="F196" s="3"/>
      <c r="G196" s="3"/>
      <c r="H196" s="3"/>
      <c r="I196" s="3"/>
      <c r="J196" s="4"/>
      <c r="K196" s="3"/>
      <c r="L196" s="3"/>
    </row>
    <row r="197" spans="1:12" x14ac:dyDescent="0.25">
      <c r="A197" s="3">
        <v>6</v>
      </c>
      <c r="B197" s="3"/>
      <c r="C197" s="3"/>
      <c r="D197" s="3"/>
      <c r="E197" s="3"/>
      <c r="F197" s="3"/>
      <c r="G197" s="3"/>
      <c r="H197" s="3"/>
      <c r="I197" s="3"/>
      <c r="J197" s="4"/>
      <c r="K197" s="3"/>
      <c r="L197" s="3"/>
    </row>
    <row r="198" spans="1:12" x14ac:dyDescent="0.25">
      <c r="A198" s="3" t="s">
        <v>73</v>
      </c>
      <c r="B198" s="3"/>
      <c r="C198" s="3"/>
      <c r="D198" s="3"/>
      <c r="E198" s="3"/>
      <c r="F198" s="3"/>
      <c r="G198" s="3"/>
      <c r="H198" s="3"/>
      <c r="I198" s="3"/>
      <c r="J198" s="4"/>
      <c r="K198" s="3"/>
      <c r="L198" s="3"/>
    </row>
    <row r="199" spans="1:12" x14ac:dyDescent="0.25">
      <c r="A199" s="3">
        <v>3</v>
      </c>
      <c r="B199" s="3"/>
      <c r="C199" s="3"/>
      <c r="D199" s="3"/>
      <c r="E199" s="3"/>
      <c r="F199" s="3"/>
      <c r="G199" s="3"/>
      <c r="H199" s="3"/>
      <c r="I199" s="3"/>
      <c r="J199" s="4"/>
      <c r="K199" s="3"/>
      <c r="L199" s="3"/>
    </row>
    <row r="200" spans="1:12" x14ac:dyDescent="0.25">
      <c r="A200" s="3" t="s">
        <v>114</v>
      </c>
      <c r="B200" s="3"/>
      <c r="C200" s="3"/>
      <c r="D200" s="3"/>
      <c r="E200" s="3"/>
      <c r="F200" s="3"/>
      <c r="G200" s="3"/>
      <c r="H200" s="3"/>
      <c r="I200" s="3"/>
      <c r="J200" s="4"/>
      <c r="K200" s="3"/>
      <c r="L200" s="3"/>
    </row>
    <row r="201" spans="1:12" x14ac:dyDescent="0.25">
      <c r="A201" s="3" t="s">
        <v>115</v>
      </c>
      <c r="B201" s="3"/>
      <c r="C201" s="3"/>
      <c r="D201" s="3"/>
      <c r="E201" s="3"/>
      <c r="F201" s="3"/>
      <c r="G201" s="3"/>
      <c r="H201" s="3"/>
      <c r="I201" s="3"/>
      <c r="J201" s="4"/>
      <c r="K201" s="3"/>
      <c r="L201" s="3"/>
    </row>
    <row r="202" spans="1:12" x14ac:dyDescent="0.25">
      <c r="A202" s="3" t="s">
        <v>116</v>
      </c>
      <c r="B202" s="19" t="s">
        <v>1</v>
      </c>
      <c r="C202" s="19" t="s">
        <v>56</v>
      </c>
      <c r="D202" s="19" t="s">
        <v>0</v>
      </c>
      <c r="E202" s="19">
        <v>55</v>
      </c>
      <c r="F202" s="19">
        <v>57</v>
      </c>
      <c r="G202" s="19">
        <v>59</v>
      </c>
      <c r="H202" s="19">
        <v>61</v>
      </c>
      <c r="I202" s="19">
        <v>63</v>
      </c>
      <c r="J202" s="20" t="s">
        <v>2</v>
      </c>
      <c r="K202" s="3"/>
      <c r="L202" s="3"/>
    </row>
    <row r="203" spans="1:12" x14ac:dyDescent="0.25">
      <c r="A203" s="3" t="s">
        <v>117</v>
      </c>
      <c r="B203" s="21" t="str" cm="1">
        <f t="array" ref="B203">БУКВЫ(MID($A203,3,12))</f>
        <v>6613303268</v>
      </c>
      <c r="C203" s="21" t="str">
        <f>MID($A204,1,FIND("Per",A204)-1)</f>
        <v xml:space="preserve">Texas Linen </v>
      </c>
      <c r="D203" s="21" t="str">
        <f>_xlfn.LET(_xlpm.Searching,"OSFA",_xlpm.inStr,IFERROR(FIND(_xlpm.Searching,$A205)&gt;=1,FALSE),IF(AND(_xlpm.inStr,LEN(A205)&lt;=6),A206,""))</f>
        <v/>
      </c>
      <c r="E203" s="21">
        <f>_xlfn.LET(_xlpm.Searching,"55",_xlpm.inStr,IFERROR(FIND(_xlpm.Searching,$A205)&gt;=1,FALSE),IF(AND(_xlpm.inStr,LEN(A205)&lt;=6),A206,""))</f>
        <v>1</v>
      </c>
      <c r="F203" s="21" t="str">
        <f>_xlfn.LET(_xlpm.Searching,"57",_xlpm.inStr,IFERROR(FIND(_xlpm.Searching,$A205)&gt;=1,FALSE),IF(AND(_xlpm.inStr,LEN(A205)&lt;=6),$A206,""))&amp;F204</f>
        <v>5</v>
      </c>
      <c r="G203" s="21" t="str">
        <f>_xlfn.LET(_xlpm.Searching,"59",_xlpm.inStr,IFERROR(FIND(_xlpm.Searching,$A205)&gt;=1,FALSE),IF(AND(_xlpm.inStr,LEN(A205)&lt;=6),$A206,""))&amp;G204&amp;G205</f>
        <v>8</v>
      </c>
      <c r="H203" s="21" t="str">
        <f>_xlfn.LET(_xlpm.Searching,"61",_xlpm.inStr,IFERROR(FIND(_xlpm.Searching,$A205)&gt;=1,FALSE),IF(AND(_xlpm.inStr,LEN(A205)&lt;=6),$A206,""))&amp;H204&amp;H205&amp;H206</f>
        <v>5</v>
      </c>
      <c r="I203" s="21" t="str">
        <f>_xlfn.LET(_xlpm.Searching,"63",_xlpm.inStr,IFERROR(FIND(_xlpm.Searching,$A205)&gt;=1,FALSE),IF(AND(_xlpm.inStr,LEN(A205)&lt;=6),$A206,""))&amp;I204&amp;I205&amp;I206&amp;I207</f>
        <v>2</v>
      </c>
      <c r="J203" s="22">
        <f>MID(TRIM(RIGHT(A203,10)),1,LEN(TRIM(RIGHT(A203,10)))-3)*0.8</f>
        <v>21.52</v>
      </c>
      <c r="K203" s="3"/>
      <c r="L203" s="3"/>
    </row>
    <row r="204" spans="1:12" x14ac:dyDescent="0.25">
      <c r="A204" s="3" t="s">
        <v>118</v>
      </c>
      <c r="B204" s="21" t="str">
        <f>B203</f>
        <v>6613303268</v>
      </c>
      <c r="C204" s="21" t="str">
        <f>C203</f>
        <v xml:space="preserve">Texas Linen </v>
      </c>
      <c r="D204" s="23"/>
      <c r="E204" s="23"/>
      <c r="F204" s="21">
        <f>_xlfn.LET(_xlpm.Searching,"57",_xlpm.inStr,IFERROR(FIND(_xlpm.Searching,$A207)&gt;=1,FALSE),IF(AND(_xlpm.inStr,LEN(A207)&lt;=6),$A208,""))</f>
        <v>5</v>
      </c>
      <c r="G204" s="21" t="str">
        <f>_xlfn.LET(_xlpm.Searching,"59",_xlpm.inStr,IFERROR(FIND(_xlpm.Searching,$A207)&gt;=1,FALSE),IF(AND(_xlpm.inStr,LEN(A207)&lt;=6),$A208,""))</f>
        <v/>
      </c>
      <c r="H204" s="21" t="str">
        <f>_xlfn.LET(_xlpm.Searching,"61",_xlpm.inStr,IFERROR(FIND(_xlpm.Searching,$A207)&gt;=1,FALSE),IF(AND(_xlpm.inStr,LEN(A207)&lt;=6),$A208,""))</f>
        <v/>
      </c>
      <c r="I204" s="21" t="str">
        <f>_xlfn.LET(_xlpm.Searching,"63",_xlpm.inStr,IFERROR(FIND(_xlpm.Searching,$A207)&gt;=1,FALSE),IF(AND(_xlpm.inStr,LEN(A207)&lt;=6),$A208,""))</f>
        <v/>
      </c>
      <c r="J204" s="22"/>
      <c r="K204" s="3"/>
      <c r="L204" s="3"/>
    </row>
    <row r="205" spans="1:12" x14ac:dyDescent="0.25">
      <c r="A205" s="3" t="s">
        <v>72</v>
      </c>
      <c r="B205" s="21" t="str">
        <f t="shared" ref="B205:C207" si="14">B204</f>
        <v>6613303268</v>
      </c>
      <c r="C205" s="21" t="str">
        <f t="shared" si="14"/>
        <v xml:space="preserve">Texas Linen </v>
      </c>
      <c r="D205" s="23"/>
      <c r="E205" s="23"/>
      <c r="F205" s="23"/>
      <c r="G205" s="21">
        <f>_xlfn.LET(_xlpm.Searching,"59",_xlpm.inStr,IFERROR(FIND(_xlpm.Searching,$A209)&gt;=1,FALSE),IF(AND(_xlpm.inStr,LEN(A209)&lt;=6),$A210,""))</f>
        <v>8</v>
      </c>
      <c r="H205" s="21" t="str">
        <f>_xlfn.LET(_xlpm.Searching,"61",_xlpm.inStr,IFERROR(FIND(_xlpm.Searching,$A209)&gt;=1,FALSE),IF(AND(_xlpm.inStr,LEN(A209)&lt;=6),$A210,""))</f>
        <v/>
      </c>
      <c r="I205" s="21" t="str">
        <f>_xlfn.LET(_xlpm.Searching,"63",_xlpm.inStr,IFERROR(FIND(_xlpm.Searching,$A209)&gt;=1,FALSE),IF(AND(_xlpm.inStr,LEN(A209)&lt;=6),$A210,""))</f>
        <v/>
      </c>
      <c r="J205" s="22"/>
      <c r="K205" s="3"/>
      <c r="L205" s="3"/>
    </row>
    <row r="206" spans="1:12" x14ac:dyDescent="0.25">
      <c r="A206" s="3">
        <v>1</v>
      </c>
      <c r="B206" s="21" t="str">
        <f t="shared" si="14"/>
        <v>6613303268</v>
      </c>
      <c r="C206" s="21" t="str">
        <f t="shared" si="14"/>
        <v xml:space="preserve">Texas Linen </v>
      </c>
      <c r="D206" s="23"/>
      <c r="E206" s="23"/>
      <c r="F206" s="23"/>
      <c r="G206" s="23"/>
      <c r="H206" s="21">
        <f>_xlfn.LET(_xlpm.Searching,"61",_xlpm.inStr,IFERROR(FIND(_xlpm.Searching,$A211)&gt;=1,FALSE),IF(AND(_xlpm.inStr,LEN(A211)&lt;=6),$A212,""))</f>
        <v>5</v>
      </c>
      <c r="I206" s="21" t="str">
        <f>_xlfn.LET(_xlpm.Searching,"63",_xlpm.inStr,IFERROR(FIND(_xlpm.Searching,$A211)&gt;=1,FALSE),IF(AND(_xlpm.inStr,LEN(A211)&lt;=6),$A212,""))</f>
        <v/>
      </c>
      <c r="J206" s="22"/>
      <c r="K206" s="3"/>
      <c r="L206" s="3"/>
    </row>
    <row r="207" spans="1:12" x14ac:dyDescent="0.25">
      <c r="A207" s="3" t="s">
        <v>30</v>
      </c>
      <c r="B207" s="21" t="str">
        <f t="shared" si="14"/>
        <v>6613303268</v>
      </c>
      <c r="C207" s="21" t="str">
        <f t="shared" si="14"/>
        <v xml:space="preserve">Texas Linen </v>
      </c>
      <c r="D207" s="23"/>
      <c r="E207" s="23"/>
      <c r="F207" s="23"/>
      <c r="G207" s="23"/>
      <c r="H207" s="23"/>
      <c r="I207" s="21">
        <f>_xlfn.LET(_xlpm.Searching,"63",_xlpm.inStr,IFERROR(FIND(_xlpm.Searching,$A213)&gt;=1,FALSE),IF(AND(_xlpm.inStr,LEN(A213)&lt;=6),$A214,""))</f>
        <v>2</v>
      </c>
      <c r="J207" s="22"/>
      <c r="K207" s="3"/>
      <c r="L207" s="3"/>
    </row>
    <row r="208" spans="1:12" x14ac:dyDescent="0.25">
      <c r="A208" s="3">
        <v>5</v>
      </c>
      <c r="B208" s="3"/>
      <c r="C208" s="3"/>
      <c r="D208" s="3"/>
      <c r="E208" s="3"/>
      <c r="F208" s="3"/>
      <c r="G208" s="3"/>
      <c r="H208" s="3"/>
      <c r="I208" s="3"/>
      <c r="J208" s="4"/>
      <c r="K208" s="3"/>
      <c r="L208" s="3"/>
    </row>
    <row r="209" spans="1:12" x14ac:dyDescent="0.25">
      <c r="A209" s="3" t="s">
        <v>29</v>
      </c>
      <c r="B209" s="3"/>
      <c r="C209" s="3"/>
      <c r="D209" s="3"/>
      <c r="E209" s="3"/>
      <c r="F209" s="3"/>
      <c r="G209" s="3"/>
      <c r="H209" s="3"/>
      <c r="I209" s="3"/>
      <c r="J209" s="4"/>
      <c r="K209" s="3"/>
      <c r="L209" s="3"/>
    </row>
    <row r="210" spans="1:12" x14ac:dyDescent="0.25">
      <c r="A210" s="3">
        <v>8</v>
      </c>
      <c r="B210" s="5"/>
      <c r="C210" s="5"/>
      <c r="D210" s="5"/>
      <c r="E210" s="5"/>
      <c r="F210" s="5"/>
      <c r="G210" s="5"/>
      <c r="H210" s="5"/>
      <c r="I210" s="5"/>
      <c r="J210" s="6"/>
      <c r="K210" s="3"/>
      <c r="L210" s="3"/>
    </row>
    <row r="211" spans="1:12" x14ac:dyDescent="0.25">
      <c r="A211" s="3" t="s">
        <v>66</v>
      </c>
      <c r="B211" s="3"/>
      <c r="C211" s="3"/>
      <c r="D211" s="3"/>
      <c r="E211" s="3"/>
      <c r="F211" s="3"/>
      <c r="G211" s="3"/>
      <c r="H211" s="3"/>
      <c r="I211" s="3"/>
      <c r="J211" s="4"/>
      <c r="K211" s="3"/>
      <c r="L211" s="3"/>
    </row>
    <row r="212" spans="1:12" x14ac:dyDescent="0.25">
      <c r="A212" s="3">
        <v>5</v>
      </c>
      <c r="B212" s="3"/>
      <c r="C212" s="3"/>
      <c r="D212" s="3"/>
      <c r="E212" s="3"/>
      <c r="F212" s="3"/>
      <c r="G212" s="3"/>
      <c r="H212" s="3"/>
      <c r="I212" s="3"/>
      <c r="J212" s="4"/>
      <c r="K212" s="3"/>
      <c r="L212" s="3"/>
    </row>
    <row r="213" spans="1:12" x14ac:dyDescent="0.25">
      <c r="A213" s="3" t="s">
        <v>73</v>
      </c>
      <c r="B213" s="3"/>
      <c r="C213" s="3"/>
      <c r="D213" s="3"/>
      <c r="E213" s="3"/>
      <c r="F213" s="3"/>
      <c r="G213" s="3"/>
      <c r="H213" s="3"/>
      <c r="I213" s="3"/>
      <c r="J213" s="4"/>
      <c r="K213" s="3"/>
      <c r="L213" s="3"/>
    </row>
    <row r="214" spans="1:12" x14ac:dyDescent="0.25">
      <c r="A214" s="3">
        <v>2</v>
      </c>
      <c r="B214" s="3"/>
      <c r="C214" s="3"/>
      <c r="D214" s="3"/>
      <c r="E214" s="3"/>
      <c r="F214" s="3"/>
      <c r="G214" s="3"/>
      <c r="H214" s="3"/>
      <c r="I214" s="3"/>
      <c r="J214" s="4"/>
      <c r="K214" s="3"/>
      <c r="L214" s="3"/>
    </row>
    <row r="215" spans="1:12" x14ac:dyDescent="0.25">
      <c r="A215" s="3" t="s">
        <v>119</v>
      </c>
      <c r="B215" s="3"/>
      <c r="C215" s="3"/>
      <c r="D215" s="3"/>
      <c r="E215" s="3"/>
      <c r="F215" s="3"/>
      <c r="G215" s="3"/>
      <c r="H215" s="3"/>
      <c r="I215" s="3"/>
      <c r="J215" s="4"/>
      <c r="K215" s="3"/>
      <c r="L215" s="3"/>
    </row>
    <row r="216" spans="1:12" x14ac:dyDescent="0.25">
      <c r="A216" s="3" t="s">
        <v>120</v>
      </c>
      <c r="B216" s="3"/>
      <c r="C216" s="3"/>
      <c r="D216" s="3"/>
      <c r="E216" s="3"/>
      <c r="F216" s="3"/>
      <c r="G216" s="3"/>
      <c r="H216" s="3"/>
      <c r="I216" s="3"/>
      <c r="J216" s="4"/>
      <c r="K216" s="3"/>
      <c r="L216" s="3"/>
    </row>
    <row r="217" spans="1:12" x14ac:dyDescent="0.25">
      <c r="A217" s="3" t="s">
        <v>121</v>
      </c>
      <c r="B217" s="19" t="s">
        <v>1</v>
      </c>
      <c r="C217" s="19" t="s">
        <v>56</v>
      </c>
      <c r="D217" s="19" t="s">
        <v>0</v>
      </c>
      <c r="E217" s="19">
        <v>55</v>
      </c>
      <c r="F217" s="19">
        <v>57</v>
      </c>
      <c r="G217" s="19">
        <v>59</v>
      </c>
      <c r="H217" s="19">
        <v>61</v>
      </c>
      <c r="I217" s="19">
        <v>63</v>
      </c>
      <c r="J217" s="20" t="s">
        <v>2</v>
      </c>
      <c r="K217" s="3"/>
      <c r="L217" s="3"/>
    </row>
    <row r="218" spans="1:12" x14ac:dyDescent="0.25">
      <c r="A218" s="3" t="s">
        <v>122</v>
      </c>
      <c r="B218" s="21" t="str" cm="1">
        <f t="array" ref="B218">БУКВЫ(MID($A218,3,12))</f>
        <v>6613303229</v>
      </c>
      <c r="C218" s="21" t="str">
        <f>MID($A219,1,FIND("Per",A219)-1)</f>
        <v xml:space="preserve">Texas Linen </v>
      </c>
      <c r="D218" s="21" t="str">
        <f>_xlfn.LET(_xlpm.Searching,"OSFA",_xlpm.inStr,IFERROR(FIND(_xlpm.Searching,$A220)&gt;=1,FALSE),IF(AND(_xlpm.inStr,LEN(A220)&lt;=6),A221,""))</f>
        <v/>
      </c>
      <c r="E218" s="21">
        <f>_xlfn.LET(_xlpm.Searching,"55",_xlpm.inStr,IFERROR(FIND(_xlpm.Searching,$A220)&gt;=1,FALSE),IF(AND(_xlpm.inStr,LEN(A220)&lt;=6),A221,""))</f>
        <v>1</v>
      </c>
      <c r="F218" s="21" t="str">
        <f>_xlfn.LET(_xlpm.Searching,"57",_xlpm.inStr,IFERROR(FIND(_xlpm.Searching,$A220)&gt;=1,FALSE),IF(AND(_xlpm.inStr,LEN(A220)&lt;=6),$A221,""))&amp;F219</f>
        <v>5</v>
      </c>
      <c r="G218" s="21" t="str">
        <f>_xlfn.LET(_xlpm.Searching,"59",_xlpm.inStr,IFERROR(FIND(_xlpm.Searching,$A220)&gt;=1,FALSE),IF(AND(_xlpm.inStr,LEN(A220)&lt;=6),$A221,""))&amp;G219&amp;G220</f>
        <v>8</v>
      </c>
      <c r="H218" s="21" t="str">
        <f>_xlfn.LET(_xlpm.Searching,"61",_xlpm.inStr,IFERROR(FIND(_xlpm.Searching,$A220)&gt;=1,FALSE),IF(AND(_xlpm.inStr,LEN(A220)&lt;=6),$A221,""))&amp;H219&amp;H220&amp;H221</f>
        <v>5</v>
      </c>
      <c r="I218" s="21" t="str">
        <f>_xlfn.LET(_xlpm.Searching,"63",_xlpm.inStr,IFERROR(FIND(_xlpm.Searching,$A220)&gt;=1,FALSE),IF(AND(_xlpm.inStr,LEN(A220)&lt;=6),$A221,""))&amp;I219&amp;I220&amp;I221&amp;I222</f>
        <v>2</v>
      </c>
      <c r="J218" s="22">
        <f>MID(TRIM(RIGHT(A218,10)),1,LEN(TRIM(RIGHT(A218,10)))-3)*0.8</f>
        <v>21.52</v>
      </c>
      <c r="K218" s="3"/>
      <c r="L218" s="3"/>
    </row>
    <row r="219" spans="1:12" x14ac:dyDescent="0.25">
      <c r="A219" s="3" t="s">
        <v>118</v>
      </c>
      <c r="B219" s="21" t="str">
        <f>B218</f>
        <v>6613303229</v>
      </c>
      <c r="C219" s="21" t="str">
        <f>C218</f>
        <v xml:space="preserve">Texas Linen </v>
      </c>
      <c r="D219" s="23"/>
      <c r="E219" s="23"/>
      <c r="F219" s="21">
        <f>_xlfn.LET(_xlpm.Searching,"57",_xlpm.inStr,IFERROR(FIND(_xlpm.Searching,$A222)&gt;=1,FALSE),IF(AND(_xlpm.inStr,LEN(A222)&lt;=6),$A223,""))</f>
        <v>5</v>
      </c>
      <c r="G219" s="21" t="str">
        <f>_xlfn.LET(_xlpm.Searching,"59",_xlpm.inStr,IFERROR(FIND(_xlpm.Searching,$A222)&gt;=1,FALSE),IF(AND(_xlpm.inStr,LEN(A222)&lt;=6),$A223,""))</f>
        <v/>
      </c>
      <c r="H219" s="21" t="str">
        <f>_xlfn.LET(_xlpm.Searching,"61",_xlpm.inStr,IFERROR(FIND(_xlpm.Searching,$A222)&gt;=1,FALSE),IF(AND(_xlpm.inStr,LEN(A222)&lt;=6),$A223,""))</f>
        <v/>
      </c>
      <c r="I219" s="21" t="str">
        <f>_xlfn.LET(_xlpm.Searching,"63",_xlpm.inStr,IFERROR(FIND(_xlpm.Searching,$A222)&gt;=1,FALSE),IF(AND(_xlpm.inStr,LEN(A222)&lt;=6),$A223,""))</f>
        <v/>
      </c>
      <c r="J219" s="22"/>
      <c r="K219" s="3"/>
      <c r="L219" s="3"/>
    </row>
    <row r="220" spans="1:12" x14ac:dyDescent="0.25">
      <c r="A220" s="3" t="s">
        <v>72</v>
      </c>
      <c r="B220" s="21" t="str">
        <f t="shared" ref="B220:C222" si="15">B219</f>
        <v>6613303229</v>
      </c>
      <c r="C220" s="21" t="str">
        <f t="shared" si="15"/>
        <v xml:space="preserve">Texas Linen </v>
      </c>
      <c r="D220" s="23"/>
      <c r="E220" s="23"/>
      <c r="F220" s="23"/>
      <c r="G220" s="21">
        <f>_xlfn.LET(_xlpm.Searching,"59",_xlpm.inStr,IFERROR(FIND(_xlpm.Searching,$A224)&gt;=1,FALSE),IF(AND(_xlpm.inStr,LEN(A224)&lt;=6),$A225,""))</f>
        <v>8</v>
      </c>
      <c r="H220" s="21" t="str">
        <f>_xlfn.LET(_xlpm.Searching,"61",_xlpm.inStr,IFERROR(FIND(_xlpm.Searching,$A224)&gt;=1,FALSE),IF(AND(_xlpm.inStr,LEN(A224)&lt;=6),$A225,""))</f>
        <v/>
      </c>
      <c r="I220" s="21" t="str">
        <f>_xlfn.LET(_xlpm.Searching,"63",_xlpm.inStr,IFERROR(FIND(_xlpm.Searching,$A224)&gt;=1,FALSE),IF(AND(_xlpm.inStr,LEN(A224)&lt;=6),$A225,""))</f>
        <v/>
      </c>
      <c r="J220" s="22"/>
      <c r="K220" s="3"/>
      <c r="L220" s="3"/>
    </row>
    <row r="221" spans="1:12" x14ac:dyDescent="0.25">
      <c r="A221" s="3">
        <v>1</v>
      </c>
      <c r="B221" s="21" t="str">
        <f t="shared" si="15"/>
        <v>6613303229</v>
      </c>
      <c r="C221" s="21" t="str">
        <f t="shared" si="15"/>
        <v xml:space="preserve">Texas Linen </v>
      </c>
      <c r="D221" s="23"/>
      <c r="E221" s="23"/>
      <c r="F221" s="23"/>
      <c r="G221" s="23"/>
      <c r="H221" s="21">
        <f>_xlfn.LET(_xlpm.Searching,"61",_xlpm.inStr,IFERROR(FIND(_xlpm.Searching,$A226)&gt;=1,FALSE),IF(AND(_xlpm.inStr,LEN(A226)&lt;=6),$A227,""))</f>
        <v>5</v>
      </c>
      <c r="I221" s="21" t="str">
        <f>_xlfn.LET(_xlpm.Searching,"63",_xlpm.inStr,IFERROR(FIND(_xlpm.Searching,$A226)&gt;=1,FALSE),IF(AND(_xlpm.inStr,LEN(A226)&lt;=6),$A227,""))</f>
        <v/>
      </c>
      <c r="J221" s="22"/>
      <c r="K221" s="3"/>
      <c r="L221" s="3"/>
    </row>
    <row r="222" spans="1:12" x14ac:dyDescent="0.25">
      <c r="A222" s="3" t="s">
        <v>30</v>
      </c>
      <c r="B222" s="21" t="str">
        <f t="shared" si="15"/>
        <v>6613303229</v>
      </c>
      <c r="C222" s="21" t="str">
        <f t="shared" si="15"/>
        <v xml:space="preserve">Texas Linen </v>
      </c>
      <c r="D222" s="23"/>
      <c r="E222" s="23"/>
      <c r="F222" s="23"/>
      <c r="G222" s="23"/>
      <c r="H222" s="23"/>
      <c r="I222" s="21">
        <f>_xlfn.LET(_xlpm.Searching,"63",_xlpm.inStr,IFERROR(FIND(_xlpm.Searching,$A228)&gt;=1,FALSE),IF(AND(_xlpm.inStr,LEN(A228)&lt;=6),$A229,""))</f>
        <v>2</v>
      </c>
      <c r="J222" s="22"/>
      <c r="K222" s="3"/>
      <c r="L222" s="3"/>
    </row>
    <row r="223" spans="1:12" x14ac:dyDescent="0.25">
      <c r="A223" s="3">
        <v>5</v>
      </c>
      <c r="B223" s="3"/>
      <c r="C223" s="3"/>
      <c r="D223" s="3"/>
      <c r="E223" s="3"/>
      <c r="F223" s="3"/>
      <c r="G223" s="3"/>
      <c r="H223" s="3"/>
      <c r="I223" s="3"/>
      <c r="J223" s="4"/>
      <c r="K223" s="3"/>
      <c r="L223" s="3"/>
    </row>
    <row r="224" spans="1:12" x14ac:dyDescent="0.25">
      <c r="A224" s="3" t="s">
        <v>29</v>
      </c>
      <c r="B224" s="3"/>
      <c r="C224" s="3"/>
      <c r="D224" s="3"/>
      <c r="E224" s="3"/>
      <c r="F224" s="3"/>
      <c r="G224" s="3"/>
      <c r="H224" s="3"/>
      <c r="I224" s="3"/>
      <c r="J224" s="4"/>
      <c r="K224" s="3"/>
      <c r="L224" s="3"/>
    </row>
    <row r="225" spans="1:12" x14ac:dyDescent="0.25">
      <c r="A225" s="3">
        <v>8</v>
      </c>
      <c r="B225" s="3"/>
      <c r="C225" s="3"/>
      <c r="D225" s="3"/>
      <c r="E225" s="3"/>
      <c r="F225" s="3"/>
      <c r="G225" s="3"/>
      <c r="H225" s="3"/>
      <c r="I225" s="3"/>
      <c r="J225" s="4"/>
      <c r="K225" s="3"/>
      <c r="L225" s="3"/>
    </row>
    <row r="226" spans="1:12" x14ac:dyDescent="0.25">
      <c r="A226" s="3" t="s">
        <v>66</v>
      </c>
      <c r="B226" s="3"/>
      <c r="C226" s="3"/>
      <c r="D226" s="3"/>
      <c r="E226" s="3"/>
      <c r="F226" s="3"/>
      <c r="G226" s="3"/>
      <c r="H226" s="3"/>
      <c r="I226" s="3"/>
      <c r="J226" s="4"/>
      <c r="K226" s="3"/>
      <c r="L226" s="3"/>
    </row>
    <row r="227" spans="1:12" x14ac:dyDescent="0.25">
      <c r="A227" s="3">
        <v>5</v>
      </c>
      <c r="B227" s="3"/>
      <c r="C227" s="3"/>
      <c r="D227" s="3"/>
      <c r="E227" s="3"/>
      <c r="F227" s="3"/>
      <c r="G227" s="3"/>
      <c r="H227" s="3"/>
      <c r="I227" s="3"/>
      <c r="J227" s="4"/>
      <c r="K227" s="3"/>
      <c r="L227" s="3"/>
    </row>
    <row r="228" spans="1:12" x14ac:dyDescent="0.25">
      <c r="A228" s="3" t="s">
        <v>73</v>
      </c>
      <c r="B228" s="3"/>
      <c r="C228" s="3"/>
      <c r="D228" s="3"/>
      <c r="E228" s="3"/>
      <c r="F228" s="3"/>
      <c r="G228" s="3"/>
      <c r="H228" s="3"/>
      <c r="I228" s="3"/>
      <c r="J228" s="4"/>
      <c r="K228" s="3"/>
      <c r="L228" s="3"/>
    </row>
    <row r="229" spans="1:12" x14ac:dyDescent="0.25">
      <c r="A229" s="3">
        <v>2</v>
      </c>
      <c r="B229" s="3"/>
      <c r="C229" s="3"/>
      <c r="D229" s="3"/>
      <c r="E229" s="3"/>
      <c r="F229" s="3"/>
      <c r="G229" s="3"/>
      <c r="H229" s="3"/>
      <c r="I229" s="3"/>
      <c r="J229" s="4"/>
      <c r="K229" s="3"/>
      <c r="L229" s="3"/>
    </row>
    <row r="230" spans="1:12" x14ac:dyDescent="0.25">
      <c r="A230" s="3" t="s">
        <v>119</v>
      </c>
      <c r="B230" s="3"/>
      <c r="C230" s="3"/>
      <c r="D230" s="3"/>
      <c r="E230" s="3"/>
      <c r="F230" s="3"/>
      <c r="G230" s="3"/>
      <c r="H230" s="3"/>
      <c r="I230" s="3"/>
      <c r="J230" s="4"/>
      <c r="K230" s="3"/>
      <c r="L230" s="3"/>
    </row>
    <row r="231" spans="1:12" x14ac:dyDescent="0.25">
      <c r="A231" s="3" t="s">
        <v>120</v>
      </c>
      <c r="B231" s="3"/>
      <c r="C231" s="3"/>
      <c r="D231" s="3"/>
      <c r="E231" s="3"/>
      <c r="F231" s="3"/>
      <c r="G231" s="3"/>
      <c r="H231" s="3"/>
      <c r="I231" s="3"/>
      <c r="J231" s="4"/>
      <c r="K231" s="3"/>
      <c r="L231" s="3"/>
    </row>
    <row r="232" spans="1:12" x14ac:dyDescent="0.25">
      <c r="A232" s="3" t="s">
        <v>121</v>
      </c>
      <c r="B232" s="3"/>
      <c r="C232" s="3"/>
      <c r="D232" s="3"/>
      <c r="E232" s="3"/>
      <c r="F232" s="3"/>
      <c r="G232" s="3"/>
      <c r="H232" s="3"/>
      <c r="I232" s="3"/>
      <c r="J232" s="4"/>
      <c r="K232" s="3"/>
      <c r="L232" s="3"/>
    </row>
    <row r="233" spans="1:12" x14ac:dyDescent="0.25">
      <c r="A233" s="3" t="s">
        <v>17</v>
      </c>
      <c r="B233" s="3"/>
      <c r="C233" s="3"/>
      <c r="D233" s="3"/>
      <c r="E233" s="3"/>
      <c r="F233" s="3"/>
      <c r="G233" s="3"/>
      <c r="H233" s="3"/>
      <c r="I233" s="3"/>
      <c r="J233" s="4"/>
      <c r="K233" s="3"/>
      <c r="L233" s="3"/>
    </row>
    <row r="234" spans="1:12" x14ac:dyDescent="0.25">
      <c r="A234" s="3" t="s">
        <v>31</v>
      </c>
      <c r="B234" s="3"/>
      <c r="C234" s="3"/>
      <c r="D234" s="3"/>
      <c r="E234" s="3"/>
      <c r="F234" s="3"/>
      <c r="G234" s="3"/>
      <c r="H234" s="3"/>
      <c r="I234" s="3"/>
      <c r="J234" s="4"/>
      <c r="K234" s="3"/>
      <c r="L234" s="3"/>
    </row>
    <row r="235" spans="1:12" x14ac:dyDescent="0.25">
      <c r="A235" s="3" t="s">
        <v>32</v>
      </c>
      <c r="B235" s="3"/>
      <c r="C235" s="3"/>
      <c r="D235" s="3"/>
      <c r="E235" s="3"/>
      <c r="F235" s="3"/>
      <c r="G235" s="3"/>
      <c r="H235" s="3"/>
      <c r="I235" s="3"/>
      <c r="J235" s="4"/>
      <c r="K235" s="3"/>
      <c r="L235" s="3"/>
    </row>
    <row r="236" spans="1:12" x14ac:dyDescent="0.25">
      <c r="A236" s="3" t="s">
        <v>33</v>
      </c>
      <c r="B236" s="3"/>
      <c r="C236" s="3"/>
      <c r="D236" s="3"/>
      <c r="E236" s="3"/>
      <c r="F236" s="3"/>
      <c r="G236" s="3"/>
      <c r="H236" s="3"/>
      <c r="I236" s="3"/>
      <c r="J236" s="4"/>
      <c r="K236" s="3"/>
      <c r="L236" s="3"/>
    </row>
    <row r="237" spans="1:12" x14ac:dyDescent="0.25">
      <c r="A237" s="3" t="s">
        <v>34</v>
      </c>
      <c r="B237" s="3"/>
      <c r="C237" s="3"/>
      <c r="D237" s="3"/>
      <c r="E237" s="3"/>
      <c r="F237" s="3"/>
      <c r="G237" s="3"/>
      <c r="H237" s="3"/>
      <c r="I237" s="3"/>
      <c r="J237" s="4"/>
      <c r="K237" s="3"/>
      <c r="L237" s="3"/>
    </row>
    <row r="238" spans="1:12" x14ac:dyDescent="0.25">
      <c r="A238" s="3" t="s">
        <v>35</v>
      </c>
      <c r="B238" s="3"/>
      <c r="C238" s="3"/>
      <c r="D238" s="3"/>
      <c r="E238" s="3"/>
      <c r="F238" s="3"/>
      <c r="G238" s="3"/>
      <c r="H238" s="3"/>
      <c r="I238" s="3"/>
      <c r="J238" s="4"/>
      <c r="K238" s="3"/>
      <c r="L238" s="3"/>
    </row>
    <row r="239" spans="1:12" x14ac:dyDescent="0.25">
      <c r="A239" s="3" t="s">
        <v>36</v>
      </c>
      <c r="B239" s="3"/>
      <c r="C239" s="3"/>
      <c r="D239" s="3"/>
      <c r="E239" s="3"/>
      <c r="F239" s="3"/>
      <c r="G239" s="3"/>
      <c r="H239" s="3"/>
      <c r="I239" s="3"/>
      <c r="J239" s="4"/>
      <c r="K239" s="3"/>
      <c r="L239" s="3"/>
    </row>
    <row r="240" spans="1:12" x14ac:dyDescent="0.25">
      <c r="A240" s="3" t="s">
        <v>37</v>
      </c>
      <c r="B240" s="3"/>
      <c r="C240" s="3"/>
      <c r="D240" s="3"/>
      <c r="E240" s="3"/>
      <c r="F240" s="3"/>
      <c r="G240" s="3"/>
      <c r="H240" s="3"/>
      <c r="I240" s="3"/>
      <c r="J240" s="4"/>
      <c r="K240" s="3"/>
      <c r="L240" s="3"/>
    </row>
    <row r="241" spans="1:12" x14ac:dyDescent="0.25">
      <c r="A241" s="3" t="s">
        <v>38</v>
      </c>
      <c r="B241" s="3"/>
      <c r="C241" s="3"/>
      <c r="D241" s="3"/>
      <c r="E241" s="3"/>
      <c r="F241" s="3"/>
      <c r="G241" s="3"/>
      <c r="H241" s="3"/>
      <c r="I241" s="3"/>
      <c r="J241" s="4"/>
      <c r="K241" s="3"/>
      <c r="L241" s="3"/>
    </row>
    <row r="242" spans="1:12" x14ac:dyDescent="0.25">
      <c r="A242" s="3" t="s">
        <v>39</v>
      </c>
      <c r="B242" s="3"/>
      <c r="C242" s="3"/>
      <c r="D242" s="3"/>
      <c r="E242" s="3"/>
      <c r="F242" s="3"/>
      <c r="G242" s="3"/>
      <c r="H242" s="3"/>
      <c r="I242" s="3"/>
      <c r="J242" s="4"/>
      <c r="K242" s="3"/>
      <c r="L242" s="3"/>
    </row>
    <row r="243" spans="1:12" x14ac:dyDescent="0.25">
      <c r="A243" s="3" t="s">
        <v>40</v>
      </c>
      <c r="B243" s="3"/>
      <c r="C243" s="3"/>
      <c r="D243" s="3"/>
      <c r="E243" s="3"/>
      <c r="F243" s="3"/>
      <c r="G243" s="3"/>
      <c r="H243" s="3"/>
      <c r="I243" s="3"/>
      <c r="J243" s="4"/>
      <c r="K243" s="3"/>
      <c r="L243" s="3"/>
    </row>
    <row r="244" spans="1:12" x14ac:dyDescent="0.25">
      <c r="A244" s="3" t="s">
        <v>41</v>
      </c>
      <c r="B244" s="3"/>
      <c r="C244" s="3"/>
      <c r="D244" s="3"/>
      <c r="E244" s="3"/>
      <c r="F244" s="3"/>
      <c r="G244" s="3"/>
      <c r="H244" s="3"/>
      <c r="I244" s="3"/>
      <c r="J244" s="4"/>
      <c r="K244" s="3"/>
      <c r="L244" s="3"/>
    </row>
    <row r="245" spans="1:12" x14ac:dyDescent="0.25">
      <c r="A245" s="3" t="s">
        <v>42</v>
      </c>
      <c r="B245" s="3"/>
      <c r="C245" s="3"/>
      <c r="D245" s="3"/>
      <c r="E245" s="3"/>
      <c r="F245" s="3"/>
      <c r="G245" s="3"/>
      <c r="H245" s="3"/>
      <c r="I245" s="3"/>
      <c r="J245" s="4"/>
      <c r="K245" s="3"/>
      <c r="L245" s="3"/>
    </row>
    <row r="246" spans="1:12" x14ac:dyDescent="0.25">
      <c r="A246" s="3" t="s">
        <v>43</v>
      </c>
      <c r="B246" s="5"/>
      <c r="C246" s="5"/>
      <c r="D246" s="5"/>
      <c r="E246" s="5"/>
      <c r="F246" s="5"/>
      <c r="G246" s="5"/>
      <c r="H246" s="5"/>
      <c r="I246" s="5"/>
      <c r="J246" s="6"/>
      <c r="K246" s="3"/>
      <c r="L246" s="3"/>
    </row>
    <row r="247" spans="1:12" x14ac:dyDescent="0.25">
      <c r="A247" s="3" t="s">
        <v>44</v>
      </c>
      <c r="B247" s="3"/>
      <c r="C247" s="3"/>
      <c r="D247" s="3"/>
      <c r="E247" s="3"/>
      <c r="F247" s="3"/>
      <c r="G247" s="3"/>
      <c r="H247" s="3"/>
      <c r="I247" s="3"/>
      <c r="J247" s="4"/>
      <c r="K247" s="3"/>
      <c r="L247" s="3"/>
    </row>
    <row r="248" spans="1:12" x14ac:dyDescent="0.25">
      <c r="A248" s="3" t="s">
        <v>57</v>
      </c>
      <c r="B248" s="3"/>
      <c r="C248" s="3"/>
      <c r="D248" s="3"/>
      <c r="E248" s="3"/>
      <c r="F248" s="3"/>
      <c r="G248" s="3"/>
      <c r="H248" s="3"/>
      <c r="I248" s="3"/>
      <c r="J248" s="4"/>
      <c r="K248" s="3"/>
      <c r="L248" s="3"/>
    </row>
    <row r="249" spans="1:12" x14ac:dyDescent="0.25">
      <c r="A249" s="3" t="s">
        <v>78</v>
      </c>
      <c r="B249" s="3"/>
      <c r="C249" s="3"/>
      <c r="D249" s="3"/>
      <c r="E249" s="3"/>
      <c r="F249" s="3"/>
      <c r="G249" s="3"/>
      <c r="H249" s="3"/>
      <c r="I249" s="3"/>
      <c r="J249" s="4"/>
      <c r="K249" s="3"/>
      <c r="L249" s="3"/>
    </row>
    <row r="250" spans="1:12" x14ac:dyDescent="0.25">
      <c r="A250" s="3" t="s">
        <v>123</v>
      </c>
      <c r="B250" s="3"/>
      <c r="C250" s="3"/>
      <c r="D250" s="3"/>
      <c r="E250" s="3"/>
      <c r="F250" s="3"/>
      <c r="G250" s="3"/>
      <c r="H250" s="3"/>
      <c r="I250" s="3"/>
      <c r="J250" s="4"/>
      <c r="K250" s="3"/>
      <c r="L250" s="3"/>
    </row>
    <row r="251" spans="1:12" x14ac:dyDescent="0.25">
      <c r="A251" s="3" t="s">
        <v>20</v>
      </c>
      <c r="B251" s="3"/>
      <c r="C251" s="3"/>
      <c r="D251" s="3"/>
      <c r="E251" s="3"/>
      <c r="F251" s="3"/>
      <c r="G251" s="3"/>
      <c r="H251" s="3"/>
      <c r="I251" s="3"/>
      <c r="J251" s="4"/>
      <c r="K251" s="3"/>
      <c r="L251" s="3"/>
    </row>
    <row r="252" spans="1:12" x14ac:dyDescent="0.25">
      <c r="A252" s="3" t="s">
        <v>21</v>
      </c>
      <c r="B252" s="3"/>
      <c r="C252" s="3"/>
      <c r="D252" s="3"/>
      <c r="E252" s="3"/>
      <c r="F252" s="3"/>
      <c r="G252" s="3"/>
      <c r="H252" s="3"/>
      <c r="I252" s="3"/>
      <c r="J252" s="4"/>
      <c r="K252" s="3"/>
      <c r="L252" s="3"/>
    </row>
    <row r="253" spans="1:12" x14ac:dyDescent="0.25">
      <c r="A253" s="3" t="s">
        <v>22</v>
      </c>
      <c r="B253" s="3"/>
      <c r="C253" s="3"/>
      <c r="D253" s="3"/>
      <c r="E253" s="3"/>
      <c r="F253" s="3"/>
      <c r="G253" s="3"/>
      <c r="H253" s="3"/>
      <c r="I253" s="3"/>
      <c r="J253" s="4"/>
      <c r="K253" s="3"/>
      <c r="L253" s="3"/>
    </row>
    <row r="254" spans="1:12" x14ac:dyDescent="0.25">
      <c r="A254" s="3" t="s">
        <v>23</v>
      </c>
      <c r="B254" s="3"/>
      <c r="C254" s="3"/>
      <c r="D254" s="3"/>
      <c r="E254" s="3"/>
      <c r="F254" s="3"/>
      <c r="G254" s="3"/>
      <c r="H254" s="3"/>
      <c r="I254" s="3"/>
      <c r="J254" s="4"/>
      <c r="K254" s="3"/>
      <c r="L254" s="3"/>
    </row>
    <row r="255" spans="1:12" x14ac:dyDescent="0.25">
      <c r="A255" s="3" t="s">
        <v>24</v>
      </c>
      <c r="B255" s="3"/>
      <c r="C255" s="3"/>
      <c r="D255" s="3"/>
      <c r="E255" s="3"/>
      <c r="F255" s="3"/>
      <c r="G255" s="3"/>
      <c r="H255" s="3"/>
      <c r="I255" s="3"/>
      <c r="J255" s="4"/>
      <c r="K255" s="3"/>
      <c r="L255" s="3"/>
    </row>
    <row r="256" spans="1:12" x14ac:dyDescent="0.25">
      <c r="A256" s="3" t="s">
        <v>25</v>
      </c>
      <c r="B256" s="3"/>
      <c r="C256" s="3"/>
      <c r="D256" s="3"/>
      <c r="E256" s="3"/>
      <c r="F256" s="3"/>
      <c r="G256" s="3"/>
      <c r="H256" s="3"/>
      <c r="I256" s="3"/>
      <c r="J256" s="4"/>
      <c r="K256" s="3"/>
      <c r="L256" s="3"/>
    </row>
    <row r="257" spans="1:12" x14ac:dyDescent="0.25">
      <c r="A257" s="3" t="s">
        <v>26</v>
      </c>
      <c r="B257" s="19" t="s">
        <v>1</v>
      </c>
      <c r="C257" s="19" t="s">
        <v>56</v>
      </c>
      <c r="D257" s="19" t="s">
        <v>0</v>
      </c>
      <c r="E257" s="19">
        <v>55</v>
      </c>
      <c r="F257" s="19">
        <v>57</v>
      </c>
      <c r="G257" s="19">
        <v>59</v>
      </c>
      <c r="H257" s="19">
        <v>61</v>
      </c>
      <c r="I257" s="19">
        <v>63</v>
      </c>
      <c r="J257" s="20" t="s">
        <v>2</v>
      </c>
      <c r="K257" s="3"/>
      <c r="L257" s="3"/>
    </row>
    <row r="258" spans="1:12" x14ac:dyDescent="0.25">
      <c r="A258" s="3" t="s">
        <v>124</v>
      </c>
      <c r="B258" s="21" t="str" cm="1">
        <f t="array" ref="B258">БУКВЫ(MID($A258,3,12))</f>
        <v>25411141</v>
      </c>
      <c r="C258" s="21" t="str">
        <f>MID($A259,1,FIND("Per",A259)-1)</f>
        <v xml:space="preserve">Traveller Delave Organic Cotton </v>
      </c>
      <c r="D258" s="21" t="str">
        <f>_xlfn.LET(_xlpm.Searching,"OSFA",_xlpm.inStr,IFERROR(FIND(_xlpm.Searching,$A260)&gt;=1,FALSE),IF(AND(_xlpm.inStr,LEN(A260)&lt;=6),A261,""))</f>
        <v/>
      </c>
      <c r="E258" s="21" t="str">
        <f>_xlfn.LET(_xlpm.Searching,"55",_xlpm.inStr,IFERROR(FIND(_xlpm.Searching,$A260)&gt;=1,FALSE),IF(AND(_xlpm.inStr,LEN(A260)&lt;=6),A261,""))</f>
        <v/>
      </c>
      <c r="F258" s="21" t="str">
        <f>_xlfn.LET(_xlpm.Searching,"57",_xlpm.inStr,IFERROR(FIND(_xlpm.Searching,$A260)&gt;=1,FALSE),IF(AND(_xlpm.inStr,LEN(A260)&lt;=6),$A261,""))&amp;F259</f>
        <v/>
      </c>
      <c r="G258" s="21" t="str">
        <f>_xlfn.LET(_xlpm.Searching,"59",_xlpm.inStr,IFERROR(FIND(_xlpm.Searching,$A260)&gt;=1,FALSE),IF(AND(_xlpm.inStr,LEN(A260)&lt;=6),$A261,""))&amp;G259&amp;G260</f>
        <v>2</v>
      </c>
      <c r="H258" s="21" t="str">
        <f>_xlfn.LET(_xlpm.Searching,"61",_xlpm.inStr,IFERROR(FIND(_xlpm.Searching,$A260)&gt;=1,FALSE),IF(AND(_xlpm.inStr,LEN(A260)&lt;=6),$A261,""))&amp;H259&amp;H260&amp;H261</f>
        <v/>
      </c>
      <c r="I258" s="21" t="str">
        <f>_xlfn.LET(_xlpm.Searching,"63",_xlpm.inStr,IFERROR(FIND(_xlpm.Searching,$A260)&gt;=1,FALSE),IF(AND(_xlpm.inStr,LEN(A260)&lt;=6),$A261,""))&amp;I259&amp;I260&amp;I261&amp;I262</f>
        <v/>
      </c>
      <c r="J258" s="22">
        <f>MID(TRIM(RIGHT(A258,10)),1,LEN(TRIM(RIGHT(A258,10)))-3)*0.8</f>
        <v>21.52</v>
      </c>
      <c r="K258" s="3"/>
      <c r="L258" s="3"/>
    </row>
    <row r="259" spans="1:12" x14ac:dyDescent="0.25">
      <c r="A259" s="3" t="s">
        <v>125</v>
      </c>
      <c r="B259" s="21" t="str">
        <f>B258</f>
        <v>25411141</v>
      </c>
      <c r="C259" s="21" t="str">
        <f>C258</f>
        <v xml:space="preserve">Traveller Delave Organic Cotton </v>
      </c>
      <c r="D259" s="23"/>
      <c r="E259" s="23"/>
      <c r="F259" s="21" t="str">
        <f>_xlfn.LET(_xlpm.Searching,"57",_xlpm.inStr,IFERROR(FIND(_xlpm.Searching,$A262)&gt;=1,FALSE),IF(AND(_xlpm.inStr,LEN(A262)&lt;=6),$A263,""))</f>
        <v/>
      </c>
      <c r="G259" s="21" t="str">
        <f>_xlfn.LET(_xlpm.Searching,"59",_xlpm.inStr,IFERROR(FIND(_xlpm.Searching,$A262)&gt;=1,FALSE),IF(AND(_xlpm.inStr,LEN(A262)&lt;=6),$A263,""))</f>
        <v/>
      </c>
      <c r="H259" s="21" t="str">
        <f>_xlfn.LET(_xlpm.Searching,"61",_xlpm.inStr,IFERROR(FIND(_xlpm.Searching,$A262)&gt;=1,FALSE),IF(AND(_xlpm.inStr,LEN(A262)&lt;=6),$A263,""))</f>
        <v/>
      </c>
      <c r="I259" s="21" t="str">
        <f>_xlfn.LET(_xlpm.Searching,"63",_xlpm.inStr,IFERROR(FIND(_xlpm.Searching,$A262)&gt;=1,FALSE),IF(AND(_xlpm.inStr,LEN(A262)&lt;=6),$A263,""))</f>
        <v/>
      </c>
      <c r="J259" s="22"/>
      <c r="K259" s="3"/>
      <c r="L259" s="3"/>
    </row>
    <row r="260" spans="1:12" x14ac:dyDescent="0.25">
      <c r="A260" s="3" t="s">
        <v>29</v>
      </c>
      <c r="B260" s="21" t="str">
        <f t="shared" ref="B260:C262" si="16">B259</f>
        <v>25411141</v>
      </c>
      <c r="C260" s="21" t="str">
        <f t="shared" si="16"/>
        <v xml:space="preserve">Traveller Delave Organic Cotton </v>
      </c>
      <c r="D260" s="23"/>
      <c r="E260" s="23"/>
      <c r="F260" s="23"/>
      <c r="G260" s="21" t="str">
        <f>_xlfn.LET(_xlpm.Searching,"59",_xlpm.inStr,IFERROR(FIND(_xlpm.Searching,$A264)&gt;=1,FALSE),IF(AND(_xlpm.inStr,LEN(A264)&lt;=6),$A265,""))</f>
        <v/>
      </c>
      <c r="H260" s="21" t="str">
        <f>_xlfn.LET(_xlpm.Searching,"61",_xlpm.inStr,IFERROR(FIND(_xlpm.Searching,$A264)&gt;=1,FALSE),IF(AND(_xlpm.inStr,LEN(A264)&lt;=6),$A265,""))</f>
        <v/>
      </c>
      <c r="I260" s="21" t="str">
        <f>_xlfn.LET(_xlpm.Searching,"63",_xlpm.inStr,IFERROR(FIND(_xlpm.Searching,$A264)&gt;=1,FALSE),IF(AND(_xlpm.inStr,LEN(A264)&lt;=6),$A265,""))</f>
        <v/>
      </c>
      <c r="J260" s="22"/>
      <c r="K260" s="3"/>
      <c r="L260" s="3"/>
    </row>
    <row r="261" spans="1:12" x14ac:dyDescent="0.25">
      <c r="A261" s="3">
        <v>2</v>
      </c>
      <c r="B261" s="21" t="str">
        <f t="shared" si="16"/>
        <v>25411141</v>
      </c>
      <c r="C261" s="21" t="str">
        <f t="shared" si="16"/>
        <v xml:space="preserve">Traveller Delave Organic Cotton </v>
      </c>
      <c r="D261" s="23"/>
      <c r="E261" s="23"/>
      <c r="F261" s="23"/>
      <c r="G261" s="23"/>
      <c r="H261" s="21" t="str">
        <f>_xlfn.LET(_xlpm.Searching,"61",_xlpm.inStr,IFERROR(FIND(_xlpm.Searching,$A266)&gt;=1,FALSE),IF(AND(_xlpm.inStr,LEN(A266)&lt;=6),$A267,""))</f>
        <v/>
      </c>
      <c r="I261" s="21" t="str">
        <f>_xlfn.LET(_xlpm.Searching,"63",_xlpm.inStr,IFERROR(FIND(_xlpm.Searching,$A266)&gt;=1,FALSE),IF(AND(_xlpm.inStr,LEN(A266)&lt;=6),$A267,""))</f>
        <v/>
      </c>
      <c r="J261" s="22"/>
      <c r="K261" s="3"/>
      <c r="L261" s="3"/>
    </row>
    <row r="262" spans="1:12" x14ac:dyDescent="0.25">
      <c r="A262" s="3" t="s">
        <v>126</v>
      </c>
      <c r="B262" s="21" t="str">
        <f t="shared" si="16"/>
        <v>25411141</v>
      </c>
      <c r="C262" s="21" t="str">
        <f t="shared" si="16"/>
        <v xml:space="preserve">Traveller Delave Organic Cotton </v>
      </c>
      <c r="D262" s="23"/>
      <c r="E262" s="23"/>
      <c r="F262" s="23"/>
      <c r="G262" s="23"/>
      <c r="H262" s="23"/>
      <c r="I262" s="21" t="str">
        <f>_xlfn.LET(_xlpm.Searching,"63",_xlpm.inStr,IFERROR(FIND(_xlpm.Searching,$A268)&gt;=1,FALSE),IF(AND(_xlpm.inStr,LEN(A268)&lt;=6),$A269,""))</f>
        <v/>
      </c>
      <c r="J262" s="22"/>
      <c r="K262" s="3"/>
      <c r="L262" s="3"/>
    </row>
    <row r="263" spans="1:12" x14ac:dyDescent="0.25">
      <c r="A263" s="3" t="s">
        <v>127</v>
      </c>
      <c r="B263" s="3"/>
      <c r="C263" s="3"/>
      <c r="D263" s="3"/>
      <c r="E263" s="3"/>
      <c r="F263" s="3"/>
      <c r="G263" s="3"/>
      <c r="H263" s="3"/>
      <c r="I263" s="3"/>
      <c r="J263" s="4"/>
      <c r="K263" s="3"/>
      <c r="L263" s="3"/>
    </row>
    <row r="264" spans="1:12" x14ac:dyDescent="0.25">
      <c r="A264" s="3" t="s">
        <v>128</v>
      </c>
      <c r="B264" s="19" t="s">
        <v>1</v>
      </c>
      <c r="C264" s="19" t="s">
        <v>56</v>
      </c>
      <c r="D264" s="19" t="s">
        <v>0</v>
      </c>
      <c r="E264" s="19">
        <v>55</v>
      </c>
      <c r="F264" s="19">
        <v>57</v>
      </c>
      <c r="G264" s="19">
        <v>59</v>
      </c>
      <c r="H264" s="19">
        <v>61</v>
      </c>
      <c r="I264" s="19">
        <v>63</v>
      </c>
      <c r="J264" s="20" t="s">
        <v>2</v>
      </c>
      <c r="K264" s="3"/>
      <c r="L264" s="3"/>
    </row>
    <row r="265" spans="1:12" x14ac:dyDescent="0.25">
      <c r="A265" s="3" t="s">
        <v>129</v>
      </c>
      <c r="B265" s="21" t="str" cm="1">
        <f t="array" ref="B265">БУКВЫ(MID($A265,3,12))</f>
        <v>254111476</v>
      </c>
      <c r="C265" s="21" t="str">
        <f>MID($A266,1,FIND("Per",A266)-1)</f>
        <v xml:space="preserve">Traveller Delave Organic Cotton </v>
      </c>
      <c r="D265" s="21" t="str">
        <f>_xlfn.LET(_xlpm.Searching,"OSFA",_xlpm.inStr,IFERROR(FIND(_xlpm.Searching,$A267)&gt;=1,FALSE),IF(AND(_xlpm.inStr,LEN(A267)&lt;=6),A268,""))</f>
        <v/>
      </c>
      <c r="E265" s="21" t="str">
        <f>_xlfn.LET(_xlpm.Searching,"55",_xlpm.inStr,IFERROR(FIND(_xlpm.Searching,$A267)&gt;=1,FALSE),IF(AND(_xlpm.inStr,LEN(A267)&lt;=6),A268,""))</f>
        <v/>
      </c>
      <c r="F265" s="21" t="str">
        <f>_xlfn.LET(_xlpm.Searching,"57",_xlpm.inStr,IFERROR(FIND(_xlpm.Searching,$A267)&gt;=1,FALSE),IF(AND(_xlpm.inStr,LEN(A267)&lt;=6),$A268,""))&amp;F266</f>
        <v>3</v>
      </c>
      <c r="G265" s="21" t="str">
        <f>_xlfn.LET(_xlpm.Searching,"59",_xlpm.inStr,IFERROR(FIND(_xlpm.Searching,$A267)&gt;=1,FALSE),IF(AND(_xlpm.inStr,LEN(A267)&lt;=6),$A268,""))&amp;G266&amp;G267</f>
        <v>4</v>
      </c>
      <c r="H265" s="21" t="str">
        <f>_xlfn.LET(_xlpm.Searching,"61",_xlpm.inStr,IFERROR(FIND(_xlpm.Searching,$A267)&gt;=1,FALSE),IF(AND(_xlpm.inStr,LEN(A267)&lt;=6),$A268,""))&amp;H266&amp;H267&amp;H268</f>
        <v>3</v>
      </c>
      <c r="I265" s="21" t="str">
        <f>_xlfn.LET(_xlpm.Searching,"63",_xlpm.inStr,IFERROR(FIND(_xlpm.Searching,$A267)&gt;=1,FALSE),IF(AND(_xlpm.inStr,LEN(A267)&lt;=6),$A268,""))&amp;I266&amp;I267&amp;I268&amp;I269</f>
        <v/>
      </c>
      <c r="J265" s="22">
        <f>MID(TRIM(RIGHT(A265,10)),1,LEN(TRIM(RIGHT(A265,10)))-3)*0.8</f>
        <v>21.52</v>
      </c>
      <c r="K265" s="3"/>
      <c r="L265" s="3"/>
    </row>
    <row r="266" spans="1:12" x14ac:dyDescent="0.25">
      <c r="A266" s="3" t="s">
        <v>125</v>
      </c>
      <c r="B266" s="21" t="str">
        <f>B265</f>
        <v>254111476</v>
      </c>
      <c r="C266" s="21" t="str">
        <f>C265</f>
        <v xml:space="preserve">Traveller Delave Organic Cotton </v>
      </c>
      <c r="D266" s="23"/>
      <c r="E266" s="23"/>
      <c r="F266" s="21" t="str">
        <f>_xlfn.LET(_xlpm.Searching,"57",_xlpm.inStr,IFERROR(FIND(_xlpm.Searching,$A269)&gt;=1,FALSE),IF(AND(_xlpm.inStr,LEN(A269)&lt;=6),$A270,""))</f>
        <v/>
      </c>
      <c r="G266" s="21">
        <f>_xlfn.LET(_xlpm.Searching,"59",_xlpm.inStr,IFERROR(FIND(_xlpm.Searching,$A269)&gt;=1,FALSE),IF(AND(_xlpm.inStr,LEN(A269)&lt;=6),$A270,""))</f>
        <v>4</v>
      </c>
      <c r="H266" s="21" t="str">
        <f>_xlfn.LET(_xlpm.Searching,"61",_xlpm.inStr,IFERROR(FIND(_xlpm.Searching,$A269)&gt;=1,FALSE),IF(AND(_xlpm.inStr,LEN(A269)&lt;=6),$A270,""))</f>
        <v/>
      </c>
      <c r="I266" s="21" t="str">
        <f>_xlfn.LET(_xlpm.Searching,"63",_xlpm.inStr,IFERROR(FIND(_xlpm.Searching,$A269)&gt;=1,FALSE),IF(AND(_xlpm.inStr,LEN(A269)&lt;=6),$A270,""))</f>
        <v/>
      </c>
      <c r="J266" s="22"/>
      <c r="K266" s="3"/>
      <c r="L266" s="3"/>
    </row>
    <row r="267" spans="1:12" x14ac:dyDescent="0.25">
      <c r="A267" s="3" t="s">
        <v>30</v>
      </c>
      <c r="B267" s="21" t="str">
        <f t="shared" ref="B267:C269" si="17">B266</f>
        <v>254111476</v>
      </c>
      <c r="C267" s="21" t="str">
        <f t="shared" si="17"/>
        <v xml:space="preserve">Traveller Delave Organic Cotton </v>
      </c>
      <c r="D267" s="23"/>
      <c r="E267" s="23"/>
      <c r="F267" s="23"/>
      <c r="G267" s="21" t="str">
        <f>_xlfn.LET(_xlpm.Searching,"59",_xlpm.inStr,IFERROR(FIND(_xlpm.Searching,$A271)&gt;=1,FALSE),IF(AND(_xlpm.inStr,LEN(A271)&lt;=6),$A272,""))</f>
        <v/>
      </c>
      <c r="H267" s="21">
        <f>_xlfn.LET(_xlpm.Searching,"61",_xlpm.inStr,IFERROR(FIND(_xlpm.Searching,$A271)&gt;=1,FALSE),IF(AND(_xlpm.inStr,LEN(A271)&lt;=6),$A272,""))</f>
        <v>3</v>
      </c>
      <c r="I267" s="21" t="str">
        <f>_xlfn.LET(_xlpm.Searching,"63",_xlpm.inStr,IFERROR(FIND(_xlpm.Searching,$A271)&gt;=1,FALSE),IF(AND(_xlpm.inStr,LEN(A271)&lt;=6),$A272,""))</f>
        <v/>
      </c>
      <c r="J267" s="22"/>
      <c r="K267" s="3"/>
      <c r="L267" s="3"/>
    </row>
    <row r="268" spans="1:12" x14ac:dyDescent="0.25">
      <c r="A268" s="3">
        <v>3</v>
      </c>
      <c r="B268" s="21" t="str">
        <f t="shared" si="17"/>
        <v>254111476</v>
      </c>
      <c r="C268" s="21" t="str">
        <f t="shared" si="17"/>
        <v xml:space="preserve">Traveller Delave Organic Cotton </v>
      </c>
      <c r="D268" s="23"/>
      <c r="E268" s="23"/>
      <c r="F268" s="23"/>
      <c r="G268" s="23"/>
      <c r="H268" s="21" t="str">
        <f>_xlfn.LET(_xlpm.Searching,"61",_xlpm.inStr,IFERROR(FIND(_xlpm.Searching,$A273)&gt;=1,FALSE),IF(AND(_xlpm.inStr,LEN(A273)&lt;=6),$A274,""))</f>
        <v/>
      </c>
      <c r="I268" s="21" t="str">
        <f>_xlfn.LET(_xlpm.Searching,"63",_xlpm.inStr,IFERROR(FIND(_xlpm.Searching,$A273)&gt;=1,FALSE),IF(AND(_xlpm.inStr,LEN(A273)&lt;=6),$A274,""))</f>
        <v/>
      </c>
      <c r="J268" s="22"/>
      <c r="K268" s="3"/>
      <c r="L268" s="3"/>
    </row>
    <row r="269" spans="1:12" x14ac:dyDescent="0.25">
      <c r="A269" s="3" t="s">
        <v>29</v>
      </c>
      <c r="B269" s="21" t="str">
        <f t="shared" si="17"/>
        <v>254111476</v>
      </c>
      <c r="C269" s="21" t="str">
        <f t="shared" si="17"/>
        <v xml:space="preserve">Traveller Delave Organic Cotton </v>
      </c>
      <c r="D269" s="23"/>
      <c r="E269" s="23"/>
      <c r="F269" s="23"/>
      <c r="G269" s="23"/>
      <c r="H269" s="23"/>
      <c r="I269" s="21" t="str">
        <f>_xlfn.LET(_xlpm.Searching,"63",_xlpm.inStr,IFERROR(FIND(_xlpm.Searching,$A275)&gt;=1,FALSE),IF(AND(_xlpm.inStr,LEN(A275)&lt;=6),$A276,""))</f>
        <v/>
      </c>
      <c r="J269" s="22"/>
      <c r="K269" s="3"/>
      <c r="L269" s="3"/>
    </row>
    <row r="270" spans="1:12" x14ac:dyDescent="0.25">
      <c r="A270" s="3">
        <v>4</v>
      </c>
      <c r="B270" s="3"/>
      <c r="C270" s="3"/>
      <c r="D270" s="3"/>
      <c r="E270" s="3"/>
      <c r="F270" s="3"/>
      <c r="G270" s="3"/>
      <c r="H270" s="3"/>
      <c r="I270" s="3"/>
      <c r="J270" s="4"/>
      <c r="K270" s="3"/>
      <c r="L270" s="3"/>
    </row>
    <row r="271" spans="1:12" x14ac:dyDescent="0.25">
      <c r="A271" s="3" t="s">
        <v>66</v>
      </c>
      <c r="B271" s="3"/>
      <c r="C271" s="3"/>
      <c r="D271" s="3"/>
      <c r="E271" s="3"/>
      <c r="F271" s="3"/>
      <c r="G271" s="3"/>
      <c r="H271" s="3"/>
      <c r="I271" s="3"/>
      <c r="J271" s="4"/>
      <c r="K271" s="3"/>
      <c r="L271" s="3"/>
    </row>
    <row r="272" spans="1:12" x14ac:dyDescent="0.25">
      <c r="A272" s="3">
        <v>3</v>
      </c>
      <c r="B272" s="3"/>
      <c r="C272" s="3"/>
      <c r="D272" s="3"/>
      <c r="E272" s="3"/>
      <c r="F272" s="3"/>
      <c r="G272" s="3"/>
      <c r="H272" s="3"/>
      <c r="I272" s="3"/>
      <c r="J272" s="4"/>
      <c r="K272" s="3"/>
      <c r="L272" s="3"/>
    </row>
    <row r="273" spans="1:12" x14ac:dyDescent="0.25">
      <c r="A273" s="3" t="s">
        <v>126</v>
      </c>
      <c r="B273" s="3"/>
      <c r="C273" s="3"/>
      <c r="D273" s="3"/>
      <c r="E273" s="3"/>
      <c r="F273" s="3"/>
      <c r="G273" s="3"/>
      <c r="H273" s="3"/>
      <c r="I273" s="3"/>
      <c r="J273" s="4"/>
      <c r="K273" s="3"/>
      <c r="L273" s="3"/>
    </row>
    <row r="274" spans="1:12" x14ac:dyDescent="0.25">
      <c r="A274" s="3" t="s">
        <v>130</v>
      </c>
      <c r="B274" s="3"/>
      <c r="C274" s="3"/>
      <c r="D274" s="3"/>
      <c r="E274" s="3"/>
      <c r="F274" s="3"/>
      <c r="G274" s="3"/>
      <c r="H274" s="3"/>
      <c r="I274" s="3"/>
      <c r="J274" s="4"/>
      <c r="K274" s="3"/>
      <c r="L274" s="3"/>
    </row>
    <row r="275" spans="1:12" x14ac:dyDescent="0.25">
      <c r="A275" s="3" t="s">
        <v>131</v>
      </c>
      <c r="B275" s="19" t="s">
        <v>1</v>
      </c>
      <c r="C275" s="19" t="s">
        <v>56</v>
      </c>
      <c r="D275" s="19" t="s">
        <v>0</v>
      </c>
      <c r="E275" s="19">
        <v>55</v>
      </c>
      <c r="F275" s="19">
        <v>57</v>
      </c>
      <c r="G275" s="19">
        <v>59</v>
      </c>
      <c r="H275" s="19">
        <v>61</v>
      </c>
      <c r="I275" s="19">
        <v>63</v>
      </c>
      <c r="J275" s="20" t="s">
        <v>2</v>
      </c>
      <c r="K275" s="3"/>
      <c r="L275" s="3"/>
    </row>
    <row r="276" spans="1:12" x14ac:dyDescent="0.25">
      <c r="A276" s="3" t="s">
        <v>132</v>
      </c>
      <c r="B276" s="21" t="str" cm="1">
        <f t="array" ref="B276">БУКВЫ(MID($A276,3,12))</f>
        <v>281110176</v>
      </c>
      <c r="C276" s="21" t="str">
        <f>MID($A277,1,FIND("Per",A277)-1)</f>
        <v xml:space="preserve">Bucket Delave Organic Cotton </v>
      </c>
      <c r="D276" s="21" t="str">
        <f>_xlfn.LET(_xlpm.Searching,"OSFA",_xlpm.inStr,IFERROR(FIND(_xlpm.Searching,$A278)&gt;=1,FALSE),IF(AND(_xlpm.inStr,LEN(A278)&lt;=6),A279,""))</f>
        <v/>
      </c>
      <c r="E276" s="21" t="str">
        <f>_xlfn.LET(_xlpm.Searching,"55",_xlpm.inStr,IFERROR(FIND(_xlpm.Searching,$A278)&gt;=1,FALSE),IF(AND(_xlpm.inStr,LEN(A278)&lt;=6),A279,""))</f>
        <v/>
      </c>
      <c r="F276" s="21" t="str">
        <f>_xlfn.LET(_xlpm.Searching,"57",_xlpm.inStr,IFERROR(FIND(_xlpm.Searching,$A278)&gt;=1,FALSE),IF(AND(_xlpm.inStr,LEN(A278)&lt;=6),$A279,""))&amp;F277</f>
        <v>6</v>
      </c>
      <c r="G276" s="21" t="str">
        <f>_xlfn.LET(_xlpm.Searching,"59",_xlpm.inStr,IFERROR(FIND(_xlpm.Searching,$A278)&gt;=1,FALSE),IF(AND(_xlpm.inStr,LEN(A278)&lt;=6),$A279,""))&amp;G277&amp;G278</f>
        <v>9</v>
      </c>
      <c r="H276" s="21" t="str">
        <f>_xlfn.LET(_xlpm.Searching,"61",_xlpm.inStr,IFERROR(FIND(_xlpm.Searching,$A278)&gt;=1,FALSE),IF(AND(_xlpm.inStr,LEN(A278)&lt;=6),$A279,""))&amp;H277&amp;H278&amp;H279</f>
        <v>11</v>
      </c>
      <c r="I276" s="21" t="str">
        <f>_xlfn.LET(_xlpm.Searching,"63",_xlpm.inStr,IFERROR(FIND(_xlpm.Searching,$A278)&gt;=1,FALSE),IF(AND(_xlpm.inStr,LEN(A278)&lt;=6),$A279,""))&amp;I277&amp;I278&amp;I279&amp;I280</f>
        <v>6</v>
      </c>
      <c r="J276" s="22">
        <f>MID(TRIM(RIGHT(A276,10)),1,LEN(TRIM(RIGHT(A276,10)))-3)*0.8</f>
        <v>21.52</v>
      </c>
      <c r="K276" s="3"/>
      <c r="L276" s="3"/>
    </row>
    <row r="277" spans="1:12" x14ac:dyDescent="0.25">
      <c r="A277" s="3" t="s">
        <v>133</v>
      </c>
      <c r="B277" s="21" t="str">
        <f>B276</f>
        <v>281110176</v>
      </c>
      <c r="C277" s="21" t="str">
        <f>C276</f>
        <v xml:space="preserve">Bucket Delave Organic Cotton </v>
      </c>
      <c r="D277" s="23"/>
      <c r="E277" s="23"/>
      <c r="F277" s="21" t="str">
        <f>_xlfn.LET(_xlpm.Searching,"57",_xlpm.inStr,IFERROR(FIND(_xlpm.Searching,$A280)&gt;=1,FALSE),IF(AND(_xlpm.inStr,LEN(A280)&lt;=6),$A281,""))</f>
        <v/>
      </c>
      <c r="G277" s="21">
        <f>_xlfn.LET(_xlpm.Searching,"59",_xlpm.inStr,IFERROR(FIND(_xlpm.Searching,$A280)&gt;=1,FALSE),IF(AND(_xlpm.inStr,LEN(A280)&lt;=6),$A281,""))</f>
        <v>9</v>
      </c>
      <c r="H277" s="21" t="str">
        <f>_xlfn.LET(_xlpm.Searching,"61",_xlpm.inStr,IFERROR(FIND(_xlpm.Searching,$A280)&gt;=1,FALSE),IF(AND(_xlpm.inStr,LEN(A280)&lt;=6),$A281,""))</f>
        <v/>
      </c>
      <c r="I277" s="21" t="str">
        <f>_xlfn.LET(_xlpm.Searching,"63",_xlpm.inStr,IFERROR(FIND(_xlpm.Searching,$A280)&gt;=1,FALSE),IF(AND(_xlpm.inStr,LEN(A280)&lt;=6),$A281,""))</f>
        <v/>
      </c>
      <c r="J277" s="22"/>
      <c r="K277" s="3"/>
      <c r="L277" s="3"/>
    </row>
    <row r="278" spans="1:12" x14ac:dyDescent="0.25">
      <c r="A278" s="3" t="s">
        <v>30</v>
      </c>
      <c r="B278" s="21" t="str">
        <f t="shared" ref="B278:C280" si="18">B277</f>
        <v>281110176</v>
      </c>
      <c r="C278" s="21" t="str">
        <f t="shared" si="18"/>
        <v xml:space="preserve">Bucket Delave Organic Cotton </v>
      </c>
      <c r="D278" s="23"/>
      <c r="E278" s="23"/>
      <c r="F278" s="23"/>
      <c r="G278" s="21" t="str">
        <f>_xlfn.LET(_xlpm.Searching,"59",_xlpm.inStr,IFERROR(FIND(_xlpm.Searching,$A282)&gt;=1,FALSE),IF(AND(_xlpm.inStr,LEN(A282)&lt;=6),$A283,""))</f>
        <v/>
      </c>
      <c r="H278" s="21">
        <f>_xlfn.LET(_xlpm.Searching,"61",_xlpm.inStr,IFERROR(FIND(_xlpm.Searching,$A282)&gt;=1,FALSE),IF(AND(_xlpm.inStr,LEN(A282)&lt;=6),$A283,""))</f>
        <v>11</v>
      </c>
      <c r="I278" s="21" t="str">
        <f>_xlfn.LET(_xlpm.Searching,"63",_xlpm.inStr,IFERROR(FIND(_xlpm.Searching,$A282)&gt;=1,FALSE),IF(AND(_xlpm.inStr,LEN(A282)&lt;=6),$A283,""))</f>
        <v/>
      </c>
      <c r="J278" s="22"/>
      <c r="K278" s="3"/>
      <c r="L278" s="3"/>
    </row>
    <row r="279" spans="1:12" x14ac:dyDescent="0.25">
      <c r="A279" s="3">
        <v>6</v>
      </c>
      <c r="B279" s="21" t="str">
        <f t="shared" si="18"/>
        <v>281110176</v>
      </c>
      <c r="C279" s="21" t="str">
        <f t="shared" si="18"/>
        <v xml:space="preserve">Bucket Delave Organic Cotton </v>
      </c>
      <c r="D279" s="23"/>
      <c r="E279" s="23"/>
      <c r="F279" s="23"/>
      <c r="G279" s="23"/>
      <c r="H279" s="21" t="str">
        <f>_xlfn.LET(_xlpm.Searching,"61",_xlpm.inStr,IFERROR(FIND(_xlpm.Searching,$A284)&gt;=1,FALSE),IF(AND(_xlpm.inStr,LEN(A284)&lt;=6),$A285,""))</f>
        <v/>
      </c>
      <c r="I279" s="21">
        <f>_xlfn.LET(_xlpm.Searching,"63",_xlpm.inStr,IFERROR(FIND(_xlpm.Searching,$A284)&gt;=1,FALSE),IF(AND(_xlpm.inStr,LEN(A284)&lt;=6),$A285,""))</f>
        <v>6</v>
      </c>
      <c r="J279" s="22"/>
      <c r="K279" s="3"/>
      <c r="L279" s="3"/>
    </row>
    <row r="280" spans="1:12" x14ac:dyDescent="0.25">
      <c r="A280" s="3" t="s">
        <v>29</v>
      </c>
      <c r="B280" s="21" t="str">
        <f t="shared" si="18"/>
        <v>281110176</v>
      </c>
      <c r="C280" s="21" t="str">
        <f t="shared" si="18"/>
        <v xml:space="preserve">Bucket Delave Organic Cotton </v>
      </c>
      <c r="D280" s="23"/>
      <c r="E280" s="23"/>
      <c r="F280" s="23"/>
      <c r="G280" s="23"/>
      <c r="H280" s="23"/>
      <c r="I280" s="21" t="str">
        <f>_xlfn.LET(_xlpm.Searching,"63",_xlpm.inStr,IFERROR(FIND(_xlpm.Searching,$A286)&gt;=1,FALSE),IF(AND(_xlpm.inStr,LEN(A286)&lt;=6),$A287,""))</f>
        <v/>
      </c>
      <c r="J280" s="22"/>
      <c r="K280" s="3"/>
      <c r="L280" s="3"/>
    </row>
    <row r="281" spans="1:12" x14ac:dyDescent="0.25">
      <c r="A281" s="3">
        <v>9</v>
      </c>
      <c r="B281" s="3"/>
      <c r="C281" s="3"/>
      <c r="D281" s="3"/>
      <c r="E281" s="3"/>
      <c r="F281" s="3"/>
      <c r="G281" s="3"/>
      <c r="H281" s="3"/>
      <c r="I281" s="3"/>
      <c r="J281" s="4"/>
      <c r="K281" s="3"/>
      <c r="L281" s="3"/>
    </row>
    <row r="282" spans="1:12" x14ac:dyDescent="0.25">
      <c r="A282" s="3" t="s">
        <v>66</v>
      </c>
      <c r="B282" s="3"/>
      <c r="C282" s="3"/>
      <c r="D282" s="3"/>
      <c r="E282" s="3"/>
      <c r="F282" s="3"/>
      <c r="G282" s="3"/>
      <c r="H282" s="3"/>
      <c r="I282" s="3"/>
      <c r="J282" s="4"/>
      <c r="K282" s="3"/>
      <c r="L282" s="3"/>
    </row>
    <row r="283" spans="1:12" x14ac:dyDescent="0.25">
      <c r="A283" s="3">
        <v>11</v>
      </c>
      <c r="B283" s="3"/>
      <c r="C283" s="3"/>
      <c r="D283" s="3"/>
      <c r="E283" s="3"/>
      <c r="F283" s="3"/>
      <c r="G283" s="3"/>
      <c r="H283" s="3"/>
      <c r="I283" s="3"/>
      <c r="J283" s="4"/>
      <c r="K283" s="3"/>
      <c r="L283" s="3"/>
    </row>
    <row r="284" spans="1:12" x14ac:dyDescent="0.25">
      <c r="A284" s="3" t="s">
        <v>73</v>
      </c>
      <c r="B284" s="3"/>
      <c r="C284" s="3"/>
      <c r="D284" s="3"/>
      <c r="E284" s="3"/>
      <c r="F284" s="3"/>
      <c r="G284" s="3"/>
      <c r="H284" s="3"/>
      <c r="I284" s="3"/>
      <c r="J284" s="4"/>
      <c r="K284" s="3"/>
      <c r="L284" s="3"/>
    </row>
    <row r="285" spans="1:12" x14ac:dyDescent="0.25">
      <c r="A285" s="3">
        <v>6</v>
      </c>
      <c r="B285" s="3"/>
      <c r="C285" s="3"/>
      <c r="D285" s="3"/>
      <c r="E285" s="3"/>
      <c r="F285" s="3"/>
      <c r="G285" s="3"/>
      <c r="H285" s="3"/>
      <c r="I285" s="3"/>
      <c r="J285" s="4"/>
      <c r="K285" s="3"/>
      <c r="L285" s="3"/>
    </row>
    <row r="286" spans="1:12" x14ac:dyDescent="0.25">
      <c r="A286" s="3" t="s">
        <v>134</v>
      </c>
      <c r="B286" s="3"/>
      <c r="C286" s="3"/>
      <c r="D286" s="3"/>
      <c r="E286" s="3"/>
      <c r="F286" s="3"/>
      <c r="G286" s="3"/>
      <c r="H286" s="3"/>
      <c r="I286" s="3"/>
      <c r="J286" s="4"/>
      <c r="K286" s="3"/>
      <c r="L286" s="3"/>
    </row>
    <row r="287" spans="1:12" x14ac:dyDescent="0.25">
      <c r="A287" s="3" t="s">
        <v>135</v>
      </c>
      <c r="B287" s="3"/>
      <c r="C287" s="3"/>
      <c r="D287" s="3"/>
      <c r="E287" s="3"/>
      <c r="F287" s="3"/>
      <c r="G287" s="3"/>
      <c r="H287" s="3"/>
      <c r="I287" s="3"/>
      <c r="J287" s="4"/>
      <c r="K287" s="3"/>
      <c r="L287" s="3"/>
    </row>
    <row r="288" spans="1:12" x14ac:dyDescent="0.25">
      <c r="A288" s="3" t="s">
        <v>136</v>
      </c>
      <c r="B288" s="19" t="s">
        <v>1</v>
      </c>
      <c r="C288" s="19" t="s">
        <v>56</v>
      </c>
      <c r="D288" s="19" t="s">
        <v>0</v>
      </c>
      <c r="E288" s="19">
        <v>55</v>
      </c>
      <c r="F288" s="19">
        <v>57</v>
      </c>
      <c r="G288" s="19">
        <v>59</v>
      </c>
      <c r="H288" s="19">
        <v>61</v>
      </c>
      <c r="I288" s="19">
        <v>63</v>
      </c>
      <c r="J288" s="20" t="s">
        <v>2</v>
      </c>
      <c r="K288" s="3"/>
      <c r="L288" s="3"/>
    </row>
    <row r="289" spans="1:12" x14ac:dyDescent="0.25">
      <c r="A289" s="3" t="s">
        <v>137</v>
      </c>
      <c r="B289" s="21" t="str" cm="1">
        <f t="array" ref="B289">БУКВЫ(MID($A289,3,12))</f>
        <v>254110971</v>
      </c>
      <c r="C289" s="21" t="str">
        <f>MID($A290,1,FIND("Per",A290)-1)</f>
        <v xml:space="preserve">Traveller Cotton </v>
      </c>
      <c r="D289" s="21" t="str">
        <f>_xlfn.LET(_xlpm.Searching,"OSFA",_xlpm.inStr,IFERROR(FIND(_xlpm.Searching,$A291)&gt;=1,FALSE),IF(AND(_xlpm.inStr,LEN(A291)&lt;=6),A292,""))</f>
        <v/>
      </c>
      <c r="E289" s="21" t="str">
        <f>_xlfn.LET(_xlpm.Searching,"55",_xlpm.inStr,IFERROR(FIND(_xlpm.Searching,$A291)&gt;=1,FALSE),IF(AND(_xlpm.inStr,LEN(A291)&lt;=6),A292,""))</f>
        <v/>
      </c>
      <c r="F289" s="21" t="str">
        <f>_xlfn.LET(_xlpm.Searching,"57",_xlpm.inStr,IFERROR(FIND(_xlpm.Searching,$A291)&gt;=1,FALSE),IF(AND(_xlpm.inStr,LEN(A291)&lt;=6),$A292,""))&amp;F290</f>
        <v/>
      </c>
      <c r="G289" s="21" t="str">
        <f>_xlfn.LET(_xlpm.Searching,"59",_xlpm.inStr,IFERROR(FIND(_xlpm.Searching,$A291)&gt;=1,FALSE),IF(AND(_xlpm.inStr,LEN(A291)&lt;=6),$A292,""))&amp;G290&amp;G291</f>
        <v/>
      </c>
      <c r="H289" s="21" t="str">
        <f>_xlfn.LET(_xlpm.Searching,"61",_xlpm.inStr,IFERROR(FIND(_xlpm.Searching,$A291)&gt;=1,FALSE),IF(AND(_xlpm.inStr,LEN(A291)&lt;=6),$A292,""))&amp;H290&amp;H291&amp;H292</f>
        <v>4</v>
      </c>
      <c r="I289" s="21" t="str">
        <f>_xlfn.LET(_xlpm.Searching,"63",_xlpm.inStr,IFERROR(FIND(_xlpm.Searching,$A291)&gt;=1,FALSE),IF(AND(_xlpm.inStr,LEN(A291)&lt;=6),$A292,""))&amp;I290&amp;I291&amp;I292&amp;I293</f>
        <v>4</v>
      </c>
      <c r="J289" s="22">
        <f>MID(TRIM(RIGHT(A289,10)),1,LEN(TRIM(RIGHT(A289,10)))-3)*0.8</f>
        <v>18.32</v>
      </c>
      <c r="K289" s="3"/>
      <c r="L289" s="3"/>
    </row>
    <row r="290" spans="1:12" x14ac:dyDescent="0.25">
      <c r="A290" s="3" t="s">
        <v>138</v>
      </c>
      <c r="B290" s="21" t="str">
        <f>B289</f>
        <v>254110971</v>
      </c>
      <c r="C290" s="21" t="str">
        <f>C289</f>
        <v xml:space="preserve">Traveller Cotton </v>
      </c>
      <c r="D290" s="23"/>
      <c r="E290" s="23"/>
      <c r="F290" s="21" t="str">
        <f>_xlfn.LET(_xlpm.Searching,"57",_xlpm.inStr,IFERROR(FIND(_xlpm.Searching,$A293)&gt;=1,FALSE),IF(AND(_xlpm.inStr,LEN(A293)&lt;=6),$A294,""))</f>
        <v/>
      </c>
      <c r="G290" s="21" t="str">
        <f>_xlfn.LET(_xlpm.Searching,"59",_xlpm.inStr,IFERROR(FIND(_xlpm.Searching,$A293)&gt;=1,FALSE),IF(AND(_xlpm.inStr,LEN(A293)&lt;=6),$A294,""))</f>
        <v/>
      </c>
      <c r="H290" s="21" t="str">
        <f>_xlfn.LET(_xlpm.Searching,"61",_xlpm.inStr,IFERROR(FIND(_xlpm.Searching,$A293)&gt;=1,FALSE),IF(AND(_xlpm.inStr,LEN(A293)&lt;=6),$A294,""))</f>
        <v/>
      </c>
      <c r="I290" s="21">
        <f>_xlfn.LET(_xlpm.Searching,"63",_xlpm.inStr,IFERROR(FIND(_xlpm.Searching,$A293)&gt;=1,FALSE),IF(AND(_xlpm.inStr,LEN(A293)&lt;=6),$A294,""))</f>
        <v>4</v>
      </c>
      <c r="J290" s="22"/>
      <c r="K290" s="3"/>
      <c r="L290" s="3"/>
    </row>
    <row r="291" spans="1:12" x14ac:dyDescent="0.25">
      <c r="A291" s="3" t="s">
        <v>66</v>
      </c>
      <c r="B291" s="21" t="str">
        <f t="shared" ref="B291:C293" si="19">B290</f>
        <v>254110971</v>
      </c>
      <c r="C291" s="21" t="str">
        <f t="shared" si="19"/>
        <v xml:space="preserve">Traveller Cotton </v>
      </c>
      <c r="D291" s="23"/>
      <c r="E291" s="23"/>
      <c r="F291" s="23"/>
      <c r="G291" s="21" t="str">
        <f>_xlfn.LET(_xlpm.Searching,"59",_xlpm.inStr,IFERROR(FIND(_xlpm.Searching,$A295)&gt;=1,FALSE),IF(AND(_xlpm.inStr,LEN(A295)&lt;=6),$A296,""))</f>
        <v/>
      </c>
      <c r="H291" s="21" t="str">
        <f>_xlfn.LET(_xlpm.Searching,"61",_xlpm.inStr,IFERROR(FIND(_xlpm.Searching,$A295)&gt;=1,FALSE),IF(AND(_xlpm.inStr,LEN(A295)&lt;=6),$A296,""))</f>
        <v/>
      </c>
      <c r="I291" s="21" t="str">
        <f>_xlfn.LET(_xlpm.Searching,"63",_xlpm.inStr,IFERROR(FIND(_xlpm.Searching,$A295)&gt;=1,FALSE),IF(AND(_xlpm.inStr,LEN(A295)&lt;=6),$A296,""))</f>
        <v/>
      </c>
      <c r="J291" s="22"/>
      <c r="K291" s="3"/>
      <c r="L291" s="3"/>
    </row>
    <row r="292" spans="1:12" x14ac:dyDescent="0.25">
      <c r="A292" s="3">
        <v>4</v>
      </c>
      <c r="B292" s="21" t="str">
        <f t="shared" si="19"/>
        <v>254110971</v>
      </c>
      <c r="C292" s="21" t="str">
        <f t="shared" si="19"/>
        <v xml:space="preserve">Traveller Cotton </v>
      </c>
      <c r="D292" s="23"/>
      <c r="E292" s="23"/>
      <c r="F292" s="23"/>
      <c r="G292" s="23"/>
      <c r="H292" s="21" t="str">
        <f>_xlfn.LET(_xlpm.Searching,"61",_xlpm.inStr,IFERROR(FIND(_xlpm.Searching,$A297)&gt;=1,FALSE),IF(AND(_xlpm.inStr,LEN(A297)&lt;=6),$A298,""))</f>
        <v/>
      </c>
      <c r="I292" s="21" t="str">
        <f>_xlfn.LET(_xlpm.Searching,"63",_xlpm.inStr,IFERROR(FIND(_xlpm.Searching,$A297)&gt;=1,FALSE),IF(AND(_xlpm.inStr,LEN(A297)&lt;=6),$A298,""))</f>
        <v/>
      </c>
      <c r="J292" s="22"/>
      <c r="K292" s="3"/>
      <c r="L292" s="3"/>
    </row>
    <row r="293" spans="1:12" x14ac:dyDescent="0.25">
      <c r="A293" s="3" t="s">
        <v>73</v>
      </c>
      <c r="B293" s="21" t="str">
        <f t="shared" si="19"/>
        <v>254110971</v>
      </c>
      <c r="C293" s="21" t="str">
        <f t="shared" si="19"/>
        <v xml:space="preserve">Traveller Cotton </v>
      </c>
      <c r="D293" s="23"/>
      <c r="E293" s="23"/>
      <c r="F293" s="23"/>
      <c r="G293" s="23"/>
      <c r="H293" s="23"/>
      <c r="I293" s="21" t="str">
        <f>_xlfn.LET(_xlpm.Searching,"63",_xlpm.inStr,IFERROR(FIND(_xlpm.Searching,$A299)&gt;=1,FALSE),IF(AND(_xlpm.inStr,LEN(A299)&lt;=6),$A300,""))</f>
        <v/>
      </c>
      <c r="J293" s="22"/>
      <c r="K293" s="3"/>
      <c r="L293" s="3"/>
    </row>
    <row r="294" spans="1:12" x14ac:dyDescent="0.25">
      <c r="A294" s="3">
        <v>4</v>
      </c>
      <c r="B294" s="3"/>
      <c r="C294" s="3"/>
      <c r="D294" s="3"/>
      <c r="E294" s="3"/>
      <c r="F294" s="3"/>
      <c r="G294" s="3"/>
      <c r="H294" s="3"/>
      <c r="I294" s="3"/>
      <c r="J294" s="4"/>
      <c r="K294" s="3"/>
      <c r="L294" s="3"/>
    </row>
    <row r="295" spans="1:12" x14ac:dyDescent="0.25">
      <c r="A295" s="3" t="s">
        <v>126</v>
      </c>
      <c r="B295" s="3"/>
      <c r="C295" s="3"/>
      <c r="D295" s="3"/>
      <c r="E295" s="3"/>
      <c r="F295" s="3"/>
      <c r="G295" s="3"/>
      <c r="H295" s="3"/>
      <c r="I295" s="3"/>
      <c r="J295" s="4"/>
      <c r="K295" s="3"/>
      <c r="L295" s="3"/>
    </row>
    <row r="296" spans="1:12" x14ac:dyDescent="0.25">
      <c r="A296" s="3" t="s">
        <v>139</v>
      </c>
      <c r="B296" s="3"/>
      <c r="C296" s="3"/>
      <c r="D296" s="3"/>
      <c r="E296" s="3"/>
      <c r="F296" s="3"/>
      <c r="G296" s="3"/>
      <c r="H296" s="3"/>
      <c r="I296" s="3"/>
      <c r="J296" s="4"/>
      <c r="K296" s="3"/>
      <c r="L296" s="3"/>
    </row>
    <row r="297" spans="1:12" x14ac:dyDescent="0.25">
      <c r="A297" s="3" t="s">
        <v>140</v>
      </c>
      <c r="B297" s="19" t="s">
        <v>1</v>
      </c>
      <c r="C297" s="19" t="s">
        <v>56</v>
      </c>
      <c r="D297" s="19" t="s">
        <v>0</v>
      </c>
      <c r="E297" s="19">
        <v>55</v>
      </c>
      <c r="F297" s="19">
        <v>57</v>
      </c>
      <c r="G297" s="19">
        <v>59</v>
      </c>
      <c r="H297" s="19">
        <v>61</v>
      </c>
      <c r="I297" s="19">
        <v>63</v>
      </c>
      <c r="J297" s="20" t="s">
        <v>2</v>
      </c>
      <c r="K297" s="3"/>
      <c r="L297" s="3"/>
    </row>
    <row r="298" spans="1:12" x14ac:dyDescent="0.25">
      <c r="A298" s="3" t="s">
        <v>141</v>
      </c>
      <c r="B298" s="21" t="str" cm="1">
        <f t="array" ref="B298">БУКВЫ(MID($A298,3,12))</f>
        <v>684580215</v>
      </c>
      <c r="C298" s="21" t="str">
        <f>MID($A299,1,FIND("Per",A299)-1)</f>
        <v xml:space="preserve">Hatteras Outdoor WR </v>
      </c>
      <c r="D298" s="21" t="str">
        <f>_xlfn.LET(_xlpm.Searching,"OSFA",_xlpm.inStr,IFERROR(FIND(_xlpm.Searching,$A300)&gt;=1,FALSE),IF(AND(_xlpm.inStr,LEN(A300)&lt;=6),A301,""))</f>
        <v/>
      </c>
      <c r="E298" s="21" t="str">
        <f>_xlfn.LET(_xlpm.Searching,"55",_xlpm.inStr,IFERROR(FIND(_xlpm.Searching,$A300)&gt;=1,FALSE),IF(AND(_xlpm.inStr,LEN(A300)&lt;=6),A301,""))</f>
        <v/>
      </c>
      <c r="F298" s="21" t="str">
        <f>_xlfn.LET(_xlpm.Searching,"57",_xlpm.inStr,IFERROR(FIND(_xlpm.Searching,$A300)&gt;=1,FALSE),IF(AND(_xlpm.inStr,LEN(A300)&lt;=6),$A301,""))&amp;F299</f>
        <v>2</v>
      </c>
      <c r="G298" s="21" t="str">
        <f>_xlfn.LET(_xlpm.Searching,"59",_xlpm.inStr,IFERROR(FIND(_xlpm.Searching,$A300)&gt;=1,FALSE),IF(AND(_xlpm.inStr,LEN(A300)&lt;=6),$A301,""))&amp;G299&amp;G300</f>
        <v/>
      </c>
      <c r="H298" s="21" t="str">
        <f>_xlfn.LET(_xlpm.Searching,"61",_xlpm.inStr,IFERROR(FIND(_xlpm.Searching,$A300)&gt;=1,FALSE),IF(AND(_xlpm.inStr,LEN(A300)&lt;=6),$A301,""))&amp;H299&amp;H300&amp;H301</f>
        <v/>
      </c>
      <c r="I298" s="21" t="str">
        <f>_xlfn.LET(_xlpm.Searching,"63",_xlpm.inStr,IFERROR(FIND(_xlpm.Searching,$A300)&gt;=1,FALSE),IF(AND(_xlpm.inStr,LEN(A300)&lt;=6),$A301,""))&amp;I299&amp;I300&amp;I301&amp;I302</f>
        <v/>
      </c>
      <c r="J298" s="22">
        <f>MID(TRIM(RIGHT(A298,10)),1,LEN(TRIM(RIGHT(A298,10)))-3)*0.8</f>
        <v>27.12</v>
      </c>
      <c r="K298" s="3"/>
      <c r="L298" s="3"/>
    </row>
    <row r="299" spans="1:12" x14ac:dyDescent="0.25">
      <c r="A299" s="3" t="s">
        <v>142</v>
      </c>
      <c r="B299" s="21" t="str">
        <f>B298</f>
        <v>684580215</v>
      </c>
      <c r="C299" s="21" t="str">
        <f>C298</f>
        <v xml:space="preserve">Hatteras Outdoor WR </v>
      </c>
      <c r="D299" s="23"/>
      <c r="E299" s="23"/>
      <c r="F299" s="21" t="str">
        <f>_xlfn.LET(_xlpm.Searching,"57",_xlpm.inStr,IFERROR(FIND(_xlpm.Searching,$A302)&gt;=1,FALSE),IF(AND(_xlpm.inStr,LEN(A302)&lt;=6),$A303,""))</f>
        <v/>
      </c>
      <c r="G299" s="21" t="str">
        <f>_xlfn.LET(_xlpm.Searching,"59",_xlpm.inStr,IFERROR(FIND(_xlpm.Searching,$A302)&gt;=1,FALSE),IF(AND(_xlpm.inStr,LEN(A302)&lt;=6),$A303,""))</f>
        <v/>
      </c>
      <c r="H299" s="21" t="str">
        <f>_xlfn.LET(_xlpm.Searching,"61",_xlpm.inStr,IFERROR(FIND(_xlpm.Searching,$A302)&gt;=1,FALSE),IF(AND(_xlpm.inStr,LEN(A302)&lt;=6),$A303,""))</f>
        <v/>
      </c>
      <c r="I299" s="21" t="str">
        <f>_xlfn.LET(_xlpm.Searching,"63",_xlpm.inStr,IFERROR(FIND(_xlpm.Searching,$A302)&gt;=1,FALSE),IF(AND(_xlpm.inStr,LEN(A302)&lt;=6),$A303,""))</f>
        <v/>
      </c>
      <c r="J299" s="22"/>
      <c r="K299" s="3"/>
      <c r="L299" s="3"/>
    </row>
    <row r="300" spans="1:12" x14ac:dyDescent="0.25">
      <c r="A300" s="3" t="s">
        <v>30</v>
      </c>
      <c r="B300" s="21" t="str">
        <f t="shared" ref="B300:C302" si="20">B299</f>
        <v>684580215</v>
      </c>
      <c r="C300" s="21" t="str">
        <f t="shared" si="20"/>
        <v xml:space="preserve">Hatteras Outdoor WR </v>
      </c>
      <c r="D300" s="23"/>
      <c r="E300" s="23"/>
      <c r="F300" s="23"/>
      <c r="G300" s="21" t="str">
        <f>_xlfn.LET(_xlpm.Searching,"59",_xlpm.inStr,IFERROR(FIND(_xlpm.Searching,$A304)&gt;=1,FALSE),IF(AND(_xlpm.inStr,LEN(A304)&lt;=6),$A305,""))</f>
        <v/>
      </c>
      <c r="H300" s="21" t="str">
        <f>_xlfn.LET(_xlpm.Searching,"61",_xlpm.inStr,IFERROR(FIND(_xlpm.Searching,$A304)&gt;=1,FALSE),IF(AND(_xlpm.inStr,LEN(A304)&lt;=6),$A305,""))</f>
        <v/>
      </c>
      <c r="I300" s="21" t="str">
        <f>_xlfn.LET(_xlpm.Searching,"63",_xlpm.inStr,IFERROR(FIND(_xlpm.Searching,$A304)&gt;=1,FALSE),IF(AND(_xlpm.inStr,LEN(A304)&lt;=6),$A305,""))</f>
        <v/>
      </c>
      <c r="J300" s="22"/>
      <c r="K300" s="3"/>
      <c r="L300" s="3"/>
    </row>
    <row r="301" spans="1:12" x14ac:dyDescent="0.25">
      <c r="A301" s="3">
        <v>2</v>
      </c>
      <c r="B301" s="21" t="str">
        <f t="shared" si="20"/>
        <v>684580215</v>
      </c>
      <c r="C301" s="21" t="str">
        <f t="shared" si="20"/>
        <v xml:space="preserve">Hatteras Outdoor WR </v>
      </c>
      <c r="D301" s="23"/>
      <c r="E301" s="23"/>
      <c r="F301" s="23"/>
      <c r="G301" s="23"/>
      <c r="H301" s="21" t="str">
        <f>_xlfn.LET(_xlpm.Searching,"61",_xlpm.inStr,IFERROR(FIND(_xlpm.Searching,$A306)&gt;=1,FALSE),IF(AND(_xlpm.inStr,LEN(A306)&lt;=6),$A307,""))</f>
        <v/>
      </c>
      <c r="I301" s="21" t="str">
        <f>_xlfn.LET(_xlpm.Searching,"63",_xlpm.inStr,IFERROR(FIND(_xlpm.Searching,$A306)&gt;=1,FALSE),IF(AND(_xlpm.inStr,LEN(A306)&lt;=6),$A307,""))</f>
        <v/>
      </c>
      <c r="J301" s="22"/>
      <c r="K301" s="3"/>
      <c r="L301" s="3"/>
    </row>
    <row r="302" spans="1:12" x14ac:dyDescent="0.25">
      <c r="A302" s="3" t="s">
        <v>46</v>
      </c>
      <c r="B302" s="21" t="str">
        <f t="shared" si="20"/>
        <v>684580215</v>
      </c>
      <c r="C302" s="21" t="str">
        <f t="shared" si="20"/>
        <v xml:space="preserve">Hatteras Outdoor WR </v>
      </c>
      <c r="D302" s="23"/>
      <c r="E302" s="23"/>
      <c r="F302" s="23"/>
      <c r="G302" s="23"/>
      <c r="H302" s="23"/>
      <c r="I302" s="21" t="str">
        <f>_xlfn.LET(_xlpm.Searching,"63",_xlpm.inStr,IFERROR(FIND(_xlpm.Searching,$A308)&gt;=1,FALSE),IF(AND(_xlpm.inStr,LEN(A308)&lt;=6),$A309,""))</f>
        <v/>
      </c>
      <c r="J302" s="22"/>
      <c r="K302" s="3"/>
      <c r="L302" s="3"/>
    </row>
    <row r="303" spans="1:12" x14ac:dyDescent="0.25">
      <c r="A303" s="3" t="s">
        <v>143</v>
      </c>
      <c r="B303" s="3"/>
      <c r="C303" s="3"/>
      <c r="D303" s="3"/>
      <c r="E303" s="3"/>
      <c r="F303" s="3"/>
      <c r="G303" s="3"/>
      <c r="H303" s="3"/>
      <c r="I303" s="3"/>
      <c r="J303" s="4"/>
      <c r="K303" s="3"/>
      <c r="L303" s="3"/>
    </row>
    <row r="304" spans="1:12" x14ac:dyDescent="0.25">
      <c r="A304" s="3" t="s">
        <v>144</v>
      </c>
      <c r="B304" s="19" t="s">
        <v>1</v>
      </c>
      <c r="C304" s="19" t="s">
        <v>56</v>
      </c>
      <c r="D304" s="19" t="s">
        <v>0</v>
      </c>
      <c r="E304" s="19">
        <v>55</v>
      </c>
      <c r="F304" s="19">
        <v>57</v>
      </c>
      <c r="G304" s="19">
        <v>59</v>
      </c>
      <c r="H304" s="19">
        <v>61</v>
      </c>
      <c r="I304" s="19">
        <v>63</v>
      </c>
      <c r="J304" s="20" t="s">
        <v>2</v>
      </c>
      <c r="K304" s="3"/>
      <c r="L304" s="3"/>
    </row>
    <row r="305" spans="1:12" x14ac:dyDescent="0.25">
      <c r="A305" s="3" t="s">
        <v>145</v>
      </c>
      <c r="B305" s="21" t="str" cm="1">
        <f t="array" ref="B305">БУКВЫ(MID($A305,3,12))</f>
        <v>778580215</v>
      </c>
      <c r="C305" s="21" t="str">
        <f>MID($A306,1,FIND("Per",A306)-1)</f>
        <v xml:space="preserve">Baseball Cap Outdoor </v>
      </c>
      <c r="D305" s="21">
        <f>_xlfn.LET(_xlpm.Searching,"OSFA",_xlpm.inStr,IFERROR(FIND(_xlpm.Searching,$A307)&gt;=1,FALSE),IF(AND(_xlpm.inStr,LEN(A307)&lt;=6),A308,""))</f>
        <v>17</v>
      </c>
      <c r="E305" s="21" t="str">
        <f>_xlfn.LET(_xlpm.Searching,"55",_xlpm.inStr,IFERROR(FIND(_xlpm.Searching,$A307)&gt;=1,FALSE),IF(AND(_xlpm.inStr,LEN(A307)&lt;=6),A308,""))</f>
        <v/>
      </c>
      <c r="F305" s="21" t="str">
        <f>_xlfn.LET(_xlpm.Searching,"57",_xlpm.inStr,IFERROR(FIND(_xlpm.Searching,$A307)&gt;=1,FALSE),IF(AND(_xlpm.inStr,LEN(A307)&lt;=6),$A308,""))&amp;F306</f>
        <v/>
      </c>
      <c r="G305" s="21" t="str">
        <f>_xlfn.LET(_xlpm.Searching,"59",_xlpm.inStr,IFERROR(FIND(_xlpm.Searching,$A307)&gt;=1,FALSE),IF(AND(_xlpm.inStr,LEN(A307)&lt;=6),$A308,""))&amp;G306&amp;G307</f>
        <v/>
      </c>
      <c r="H305" s="21" t="str">
        <f>_xlfn.LET(_xlpm.Searching,"61",_xlpm.inStr,IFERROR(FIND(_xlpm.Searching,$A307)&gt;=1,FALSE),IF(AND(_xlpm.inStr,LEN(A307)&lt;=6),$A308,""))&amp;H306&amp;H307&amp;H308</f>
        <v/>
      </c>
      <c r="I305" s="21" t="str">
        <f>_xlfn.LET(_xlpm.Searching,"63",_xlpm.inStr,IFERROR(FIND(_xlpm.Searching,$A307)&gt;=1,FALSE),IF(AND(_xlpm.inStr,LEN(A307)&lt;=6),$A308,""))&amp;I306&amp;I307&amp;I308&amp;I309</f>
        <v/>
      </c>
      <c r="J305" s="22">
        <f>MID(TRIM(RIGHT(A305,10)),1,LEN(TRIM(RIGHT(A305,10)))-3)*0.8</f>
        <v>11.920000000000002</v>
      </c>
      <c r="K305" s="3"/>
      <c r="L305" s="3"/>
    </row>
    <row r="306" spans="1:12" x14ac:dyDescent="0.25">
      <c r="A306" s="3" t="s">
        <v>146</v>
      </c>
      <c r="B306" s="21" t="str">
        <f>B305</f>
        <v>778580215</v>
      </c>
      <c r="C306" s="21" t="str">
        <f>C305</f>
        <v xml:space="preserve">Baseball Cap Outdoor </v>
      </c>
      <c r="D306" s="23"/>
      <c r="E306" s="23"/>
      <c r="F306" s="21" t="str">
        <f>_xlfn.LET(_xlpm.Searching,"57",_xlpm.inStr,IFERROR(FIND(_xlpm.Searching,$A309)&gt;=1,FALSE),IF(AND(_xlpm.inStr,LEN(A309)&lt;=6),$A310,""))</f>
        <v/>
      </c>
      <c r="G306" s="21" t="str">
        <f>_xlfn.LET(_xlpm.Searching,"59",_xlpm.inStr,IFERROR(FIND(_xlpm.Searching,$A309)&gt;=1,FALSE),IF(AND(_xlpm.inStr,LEN(A309)&lt;=6),$A310,""))</f>
        <v/>
      </c>
      <c r="H306" s="21" t="str">
        <f>_xlfn.LET(_xlpm.Searching,"61",_xlpm.inStr,IFERROR(FIND(_xlpm.Searching,$A309)&gt;=1,FALSE),IF(AND(_xlpm.inStr,LEN(A309)&lt;=6),$A310,""))</f>
        <v/>
      </c>
      <c r="I306" s="21" t="str">
        <f>_xlfn.LET(_xlpm.Searching,"63",_xlpm.inStr,IFERROR(FIND(_xlpm.Searching,$A309)&gt;=1,FALSE),IF(AND(_xlpm.inStr,LEN(A309)&lt;=6),$A310,""))</f>
        <v/>
      </c>
      <c r="J306" s="22"/>
      <c r="K306" s="3"/>
      <c r="L306" s="3"/>
    </row>
    <row r="307" spans="1:12" x14ac:dyDescent="0.25">
      <c r="A307" s="3" t="s">
        <v>0</v>
      </c>
      <c r="B307" s="21" t="str">
        <f t="shared" ref="B307:C309" si="21">B306</f>
        <v>778580215</v>
      </c>
      <c r="C307" s="21" t="str">
        <f t="shared" si="21"/>
        <v xml:space="preserve">Baseball Cap Outdoor </v>
      </c>
      <c r="D307" s="23"/>
      <c r="E307" s="23"/>
      <c r="F307" s="23"/>
      <c r="G307" s="21" t="str">
        <f>_xlfn.LET(_xlpm.Searching,"59",_xlpm.inStr,IFERROR(FIND(_xlpm.Searching,$A311)&gt;=1,FALSE),IF(AND(_xlpm.inStr,LEN(A311)&lt;=6),$A312,""))</f>
        <v/>
      </c>
      <c r="H307" s="21" t="str">
        <f>_xlfn.LET(_xlpm.Searching,"61",_xlpm.inStr,IFERROR(FIND(_xlpm.Searching,$A311)&gt;=1,FALSE),IF(AND(_xlpm.inStr,LEN(A311)&lt;=6),$A312,""))</f>
        <v/>
      </c>
      <c r="I307" s="21" t="str">
        <f>_xlfn.LET(_xlpm.Searching,"63",_xlpm.inStr,IFERROR(FIND(_xlpm.Searching,$A311)&gt;=1,FALSE),IF(AND(_xlpm.inStr,LEN(A311)&lt;=6),$A312,""))</f>
        <v/>
      </c>
      <c r="J307" s="22"/>
      <c r="K307" s="3"/>
      <c r="L307" s="3"/>
    </row>
    <row r="308" spans="1:12" x14ac:dyDescent="0.25">
      <c r="A308" s="3">
        <v>17</v>
      </c>
      <c r="B308" s="21" t="str">
        <f t="shared" si="21"/>
        <v>778580215</v>
      </c>
      <c r="C308" s="21" t="str">
        <f t="shared" si="21"/>
        <v xml:space="preserve">Baseball Cap Outdoor </v>
      </c>
      <c r="D308" s="23"/>
      <c r="E308" s="23"/>
      <c r="F308" s="23"/>
      <c r="G308" s="23"/>
      <c r="H308" s="21" t="str">
        <f>_xlfn.LET(_xlpm.Searching,"61",_xlpm.inStr,IFERROR(FIND(_xlpm.Searching,$A313)&gt;=1,FALSE),IF(AND(_xlpm.inStr,LEN(A313)&lt;=6),$A314,""))</f>
        <v/>
      </c>
      <c r="I308" s="21" t="str">
        <f>_xlfn.LET(_xlpm.Searching,"63",_xlpm.inStr,IFERROR(FIND(_xlpm.Searching,$A313)&gt;=1,FALSE),IF(AND(_xlpm.inStr,LEN(A313)&lt;=6),$A314,""))</f>
        <v/>
      </c>
      <c r="J308" s="22"/>
      <c r="K308" s="3"/>
      <c r="L308" s="3"/>
    </row>
    <row r="309" spans="1:12" x14ac:dyDescent="0.25">
      <c r="A309" s="3" t="s">
        <v>82</v>
      </c>
      <c r="B309" s="21" t="str">
        <f t="shared" si="21"/>
        <v>778580215</v>
      </c>
      <c r="C309" s="21" t="str">
        <f t="shared" si="21"/>
        <v xml:space="preserve">Baseball Cap Outdoor </v>
      </c>
      <c r="D309" s="23"/>
      <c r="E309" s="23"/>
      <c r="F309" s="23"/>
      <c r="G309" s="23"/>
      <c r="H309" s="23"/>
      <c r="I309" s="21" t="str">
        <f>_xlfn.LET(_xlpm.Searching,"63",_xlpm.inStr,IFERROR(FIND(_xlpm.Searching,$A315)&gt;=1,FALSE),IF(AND(_xlpm.inStr,LEN(A315)&lt;=6),$A316,""))</f>
        <v/>
      </c>
      <c r="J309" s="22"/>
      <c r="K309" s="3"/>
      <c r="L309" s="3"/>
    </row>
    <row r="310" spans="1:12" x14ac:dyDescent="0.25">
      <c r="A310" s="3" t="s">
        <v>147</v>
      </c>
      <c r="B310" s="3"/>
      <c r="C310" s="3"/>
      <c r="D310" s="3"/>
      <c r="E310" s="3"/>
      <c r="F310" s="3"/>
      <c r="G310" s="3"/>
      <c r="H310" s="3"/>
      <c r="I310" s="3"/>
      <c r="J310" s="4"/>
      <c r="K310" s="3"/>
      <c r="L310" s="3"/>
    </row>
    <row r="311" spans="1:12" x14ac:dyDescent="0.25">
      <c r="A311" s="3" t="s">
        <v>148</v>
      </c>
      <c r="B311" s="3"/>
      <c r="C311" s="3"/>
      <c r="D311" s="3"/>
      <c r="E311" s="3"/>
      <c r="F311" s="3"/>
      <c r="G311" s="3"/>
      <c r="H311" s="3"/>
      <c r="I311" s="3"/>
      <c r="J311" s="4"/>
      <c r="K311" s="3"/>
      <c r="L311" s="3"/>
    </row>
    <row r="312" spans="1:12" x14ac:dyDescent="0.25">
      <c r="A312" s="3" t="s">
        <v>17</v>
      </c>
      <c r="B312" s="3"/>
      <c r="C312" s="3"/>
      <c r="D312" s="3"/>
      <c r="E312" s="3"/>
      <c r="F312" s="3"/>
      <c r="G312" s="3"/>
      <c r="H312" s="3"/>
      <c r="I312" s="3"/>
      <c r="J312" s="4"/>
      <c r="K312" s="3"/>
      <c r="L312" s="3"/>
    </row>
    <row r="313" spans="1:12" x14ac:dyDescent="0.25">
      <c r="A313" s="3" t="s">
        <v>31</v>
      </c>
      <c r="B313" s="3"/>
      <c r="C313" s="3"/>
      <c r="D313" s="3"/>
      <c r="E313" s="3"/>
      <c r="F313" s="3"/>
      <c r="G313" s="3"/>
      <c r="H313" s="3"/>
      <c r="I313" s="3"/>
      <c r="J313" s="4"/>
      <c r="K313" s="3"/>
      <c r="L313" s="3"/>
    </row>
    <row r="314" spans="1:12" x14ac:dyDescent="0.25">
      <c r="A314" s="3" t="s">
        <v>32</v>
      </c>
      <c r="B314" s="3"/>
      <c r="C314" s="3"/>
      <c r="D314" s="3"/>
      <c r="E314" s="3"/>
      <c r="F314" s="3"/>
      <c r="G314" s="3"/>
      <c r="H314" s="3"/>
      <c r="I314" s="3"/>
      <c r="J314" s="4"/>
      <c r="K314" s="3"/>
      <c r="L314" s="3"/>
    </row>
    <row r="315" spans="1:12" x14ac:dyDescent="0.25">
      <c r="A315" s="3" t="s">
        <v>33</v>
      </c>
      <c r="B315" s="3"/>
      <c r="C315" s="3"/>
      <c r="D315" s="3"/>
      <c r="E315" s="3"/>
      <c r="F315" s="3"/>
      <c r="G315" s="3"/>
      <c r="H315" s="3"/>
      <c r="I315" s="3"/>
      <c r="J315" s="4"/>
      <c r="K315" s="3"/>
      <c r="L315" s="3"/>
    </row>
    <row r="316" spans="1:12" x14ac:dyDescent="0.25">
      <c r="A316" s="3" t="s">
        <v>34</v>
      </c>
      <c r="B316" s="3"/>
      <c r="C316" s="3"/>
      <c r="D316" s="3"/>
      <c r="E316" s="3"/>
      <c r="F316" s="3"/>
      <c r="G316" s="3"/>
      <c r="H316" s="3"/>
      <c r="I316" s="3"/>
      <c r="J316" s="4"/>
      <c r="K316" s="3"/>
      <c r="L316" s="3"/>
    </row>
    <row r="317" spans="1:12" x14ac:dyDescent="0.25">
      <c r="A317" s="3" t="s">
        <v>35</v>
      </c>
      <c r="B317" s="3"/>
      <c r="C317" s="3"/>
      <c r="D317" s="3"/>
      <c r="E317" s="3"/>
      <c r="F317" s="3"/>
      <c r="G317" s="3"/>
      <c r="H317" s="3"/>
      <c r="I317" s="3"/>
      <c r="J317" s="4"/>
      <c r="K317" s="3"/>
      <c r="L317" s="3"/>
    </row>
    <row r="318" spans="1:12" x14ac:dyDescent="0.25">
      <c r="A318" s="3" t="s">
        <v>36</v>
      </c>
      <c r="B318" s="3"/>
      <c r="C318" s="3"/>
      <c r="D318" s="3"/>
      <c r="E318" s="3"/>
      <c r="F318" s="3"/>
      <c r="G318" s="3"/>
      <c r="H318" s="3"/>
      <c r="I318" s="3"/>
      <c r="J318" s="4"/>
      <c r="K318" s="3"/>
      <c r="L318" s="3"/>
    </row>
    <row r="319" spans="1:12" x14ac:dyDescent="0.25">
      <c r="A319" s="3" t="s">
        <v>37</v>
      </c>
      <c r="B319" s="3"/>
      <c r="C319" s="3"/>
      <c r="D319" s="3"/>
      <c r="E319" s="3"/>
      <c r="F319" s="3"/>
      <c r="G319" s="3"/>
      <c r="H319" s="3"/>
      <c r="I319" s="3"/>
      <c r="J319" s="4"/>
      <c r="K319" s="3"/>
      <c r="L319" s="3"/>
    </row>
    <row r="320" spans="1:12" x14ac:dyDescent="0.25">
      <c r="A320" s="3" t="s">
        <v>38</v>
      </c>
      <c r="B320" s="3"/>
      <c r="C320" s="3"/>
      <c r="D320" s="3"/>
      <c r="E320" s="3"/>
      <c r="F320" s="3"/>
      <c r="G320" s="3"/>
      <c r="H320" s="3"/>
      <c r="I320" s="3"/>
      <c r="J320" s="4"/>
      <c r="K320" s="3"/>
      <c r="L320" s="3"/>
    </row>
    <row r="321" spans="1:12" x14ac:dyDescent="0.25">
      <c r="A321" s="3" t="s">
        <v>39</v>
      </c>
      <c r="B321" s="3"/>
      <c r="C321" s="3"/>
      <c r="D321" s="3"/>
      <c r="E321" s="3"/>
      <c r="F321" s="3"/>
      <c r="G321" s="3"/>
      <c r="H321" s="3"/>
      <c r="I321" s="3"/>
      <c r="J321" s="4"/>
      <c r="K321" s="3"/>
      <c r="L321" s="3"/>
    </row>
    <row r="322" spans="1:12" x14ac:dyDescent="0.25">
      <c r="A322" s="3" t="s">
        <v>40</v>
      </c>
      <c r="B322" s="3"/>
      <c r="C322" s="3"/>
      <c r="D322" s="3"/>
      <c r="E322" s="3"/>
      <c r="F322" s="3"/>
      <c r="G322" s="3"/>
      <c r="H322" s="3"/>
      <c r="I322" s="3"/>
      <c r="J322" s="4"/>
      <c r="K322" s="3"/>
      <c r="L322" s="3"/>
    </row>
    <row r="323" spans="1:12" x14ac:dyDescent="0.25">
      <c r="A323" s="3" t="s">
        <v>41</v>
      </c>
      <c r="B323" s="3"/>
      <c r="C323" s="3"/>
      <c r="D323" s="3"/>
      <c r="E323" s="3"/>
      <c r="F323" s="3"/>
      <c r="G323" s="3"/>
      <c r="H323" s="3"/>
      <c r="I323" s="3"/>
      <c r="J323" s="4"/>
      <c r="K323" s="3"/>
      <c r="L323" s="3"/>
    </row>
    <row r="324" spans="1:12" x14ac:dyDescent="0.25">
      <c r="A324" s="3" t="s">
        <v>42</v>
      </c>
      <c r="B324" s="3"/>
      <c r="C324" s="3"/>
      <c r="D324" s="3"/>
      <c r="E324" s="3"/>
      <c r="F324" s="3"/>
      <c r="G324" s="3"/>
      <c r="H324" s="3"/>
      <c r="I324" s="3"/>
      <c r="J324" s="4"/>
      <c r="K324" s="3"/>
      <c r="L324" s="3"/>
    </row>
    <row r="325" spans="1:12" x14ac:dyDescent="0.25">
      <c r="A325" s="3" t="s">
        <v>43</v>
      </c>
      <c r="B325" s="3"/>
      <c r="C325" s="3"/>
      <c r="D325" s="3"/>
      <c r="E325" s="3"/>
      <c r="F325" s="3"/>
      <c r="G325" s="3"/>
      <c r="H325" s="3"/>
      <c r="I325" s="3"/>
      <c r="J325" s="4"/>
      <c r="K325" s="3"/>
      <c r="L325" s="3"/>
    </row>
    <row r="326" spans="1:12" x14ac:dyDescent="0.25">
      <c r="A326" s="3" t="s">
        <v>44</v>
      </c>
      <c r="B326" s="3"/>
      <c r="C326" s="3"/>
      <c r="D326" s="3"/>
      <c r="E326" s="3"/>
      <c r="F326" s="3"/>
      <c r="G326" s="3"/>
      <c r="H326" s="3"/>
      <c r="I326" s="3"/>
      <c r="J326" s="4"/>
      <c r="K326" s="3"/>
      <c r="L326" s="3"/>
    </row>
    <row r="327" spans="1:12" x14ac:dyDescent="0.25">
      <c r="A327" s="3" t="s">
        <v>57</v>
      </c>
      <c r="B327" s="3"/>
      <c r="C327" s="3"/>
      <c r="D327" s="3"/>
      <c r="E327" s="3"/>
      <c r="F327" s="3"/>
      <c r="G327" s="3"/>
      <c r="H327" s="3"/>
      <c r="I327" s="3"/>
      <c r="J327" s="4"/>
      <c r="K327" s="3"/>
      <c r="L327" s="3"/>
    </row>
    <row r="328" spans="1:12" x14ac:dyDescent="0.25">
      <c r="A328" s="3" t="s">
        <v>78</v>
      </c>
      <c r="B328" s="3"/>
      <c r="C328" s="3"/>
      <c r="D328" s="3"/>
      <c r="E328" s="3"/>
      <c r="F328" s="3"/>
      <c r="G328" s="3"/>
      <c r="H328" s="3"/>
      <c r="I328" s="3"/>
      <c r="J328" s="4"/>
      <c r="K328" s="3"/>
      <c r="L328" s="3"/>
    </row>
    <row r="329" spans="1:12" x14ac:dyDescent="0.25">
      <c r="A329" s="3" t="s">
        <v>149</v>
      </c>
      <c r="B329" s="3"/>
      <c r="C329" s="3"/>
      <c r="D329" s="3"/>
      <c r="E329" s="3"/>
      <c r="F329" s="3"/>
      <c r="G329" s="3"/>
      <c r="H329" s="3"/>
      <c r="I329" s="3"/>
      <c r="J329" s="4"/>
      <c r="K329" s="3"/>
      <c r="L329" s="3"/>
    </row>
    <row r="330" spans="1:12" x14ac:dyDescent="0.25">
      <c r="A330" s="3" t="s">
        <v>20</v>
      </c>
      <c r="B330" s="3"/>
      <c r="C330" s="3"/>
      <c r="D330" s="3"/>
      <c r="E330" s="3"/>
      <c r="F330" s="3"/>
      <c r="G330" s="3"/>
      <c r="H330" s="3"/>
      <c r="I330" s="3"/>
      <c r="J330" s="4"/>
      <c r="K330" s="3"/>
      <c r="L330" s="3"/>
    </row>
    <row r="331" spans="1:12" x14ac:dyDescent="0.25">
      <c r="A331" s="3" t="s">
        <v>21</v>
      </c>
      <c r="B331" s="3"/>
      <c r="C331" s="3"/>
      <c r="D331" s="3"/>
      <c r="E331" s="3"/>
      <c r="F331" s="3"/>
      <c r="G331" s="3"/>
      <c r="H331" s="3"/>
      <c r="I331" s="3"/>
      <c r="J331" s="4"/>
      <c r="K331" s="3"/>
      <c r="L331" s="3"/>
    </row>
    <row r="332" spans="1:12" x14ac:dyDescent="0.25">
      <c r="A332" s="3" t="s">
        <v>22</v>
      </c>
      <c r="B332" s="3"/>
      <c r="C332" s="3"/>
      <c r="D332" s="3"/>
      <c r="E332" s="3"/>
      <c r="F332" s="3"/>
      <c r="G332" s="3"/>
      <c r="H332" s="3"/>
      <c r="I332" s="3"/>
      <c r="J332" s="4"/>
      <c r="K332" s="3"/>
      <c r="L332" s="3"/>
    </row>
    <row r="333" spans="1:12" x14ac:dyDescent="0.25">
      <c r="A333" s="3" t="s">
        <v>23</v>
      </c>
      <c r="B333" s="3"/>
      <c r="C333" s="3"/>
      <c r="D333" s="3"/>
      <c r="E333" s="3"/>
      <c r="F333" s="3"/>
      <c r="G333" s="3"/>
      <c r="H333" s="3"/>
      <c r="I333" s="3"/>
      <c r="J333" s="4"/>
      <c r="K333" s="3"/>
      <c r="L333" s="3"/>
    </row>
    <row r="334" spans="1:12" x14ac:dyDescent="0.25">
      <c r="A334" s="3" t="s">
        <v>24</v>
      </c>
      <c r="B334" s="3"/>
      <c r="C334" s="3"/>
      <c r="D334" s="3"/>
      <c r="E334" s="3"/>
      <c r="F334" s="3"/>
      <c r="G334" s="3"/>
      <c r="H334" s="3"/>
      <c r="I334" s="3"/>
      <c r="J334" s="4"/>
      <c r="K334" s="3"/>
      <c r="L334" s="3"/>
    </row>
    <row r="335" spans="1:12" x14ac:dyDescent="0.25">
      <c r="A335" s="3" t="s">
        <v>25</v>
      </c>
      <c r="B335" s="3"/>
      <c r="C335" s="3"/>
      <c r="D335" s="3"/>
      <c r="E335" s="3"/>
      <c r="F335" s="3"/>
      <c r="G335" s="3"/>
      <c r="H335" s="3"/>
      <c r="I335" s="3"/>
      <c r="J335" s="4"/>
      <c r="K335" s="3"/>
      <c r="L335" s="3"/>
    </row>
    <row r="336" spans="1:12" x14ac:dyDescent="0.25">
      <c r="A336" s="3" t="s">
        <v>26</v>
      </c>
      <c r="B336" s="19" t="s">
        <v>1</v>
      </c>
      <c r="C336" s="19" t="s">
        <v>56</v>
      </c>
      <c r="D336" s="19" t="s">
        <v>0</v>
      </c>
      <c r="E336" s="19">
        <v>55</v>
      </c>
      <c r="F336" s="19">
        <v>57</v>
      </c>
      <c r="G336" s="19">
        <v>59</v>
      </c>
      <c r="H336" s="19">
        <v>61</v>
      </c>
      <c r="I336" s="19">
        <v>63</v>
      </c>
      <c r="J336" s="20" t="s">
        <v>2</v>
      </c>
      <c r="K336" s="3"/>
      <c r="L336" s="3"/>
    </row>
    <row r="337" spans="1:12" x14ac:dyDescent="0.25">
      <c r="A337" s="3" t="s">
        <v>150</v>
      </c>
      <c r="B337" s="21" t="str" cm="1">
        <f t="array" ref="B337">БУКВЫ(MID($A337,3,12))</f>
        <v>25418017</v>
      </c>
      <c r="C337" s="21" t="str">
        <f>MID($A338,1,FIND("Per",A338)-1)</f>
        <v xml:space="preserve">Traveller Cotton </v>
      </c>
      <c r="D337" s="21" t="str">
        <f>_xlfn.LET(_xlpm.Searching,"OSFA",_xlpm.inStr,IFERROR(FIND(_xlpm.Searching,$A339)&gt;=1,FALSE),IF(AND(_xlpm.inStr,LEN(A339)&lt;=6),A340,""))</f>
        <v/>
      </c>
      <c r="E337" s="21" t="str">
        <f>_xlfn.LET(_xlpm.Searching,"55",_xlpm.inStr,IFERROR(FIND(_xlpm.Searching,$A339)&gt;=1,FALSE),IF(AND(_xlpm.inStr,LEN(A339)&lt;=6),A340,""))</f>
        <v/>
      </c>
      <c r="F337" s="21" t="str">
        <f>_xlfn.LET(_xlpm.Searching,"57",_xlpm.inStr,IFERROR(FIND(_xlpm.Searching,$A339)&gt;=1,FALSE),IF(AND(_xlpm.inStr,LEN(A339)&lt;=6),$A340,""))&amp;F338</f>
        <v>2</v>
      </c>
      <c r="G337" s="21" t="str">
        <f>_xlfn.LET(_xlpm.Searching,"59",_xlpm.inStr,IFERROR(FIND(_xlpm.Searching,$A339)&gt;=1,FALSE),IF(AND(_xlpm.inStr,LEN(A339)&lt;=6),$A340,""))&amp;G338&amp;G339</f>
        <v>4</v>
      </c>
      <c r="H337" s="21" t="str">
        <f>_xlfn.LET(_xlpm.Searching,"61",_xlpm.inStr,IFERROR(FIND(_xlpm.Searching,$A339)&gt;=1,FALSE),IF(AND(_xlpm.inStr,LEN(A339)&lt;=6),$A340,""))&amp;H338&amp;H339&amp;H340</f>
        <v/>
      </c>
      <c r="I337" s="21" t="str">
        <f>_xlfn.LET(_xlpm.Searching,"63",_xlpm.inStr,IFERROR(FIND(_xlpm.Searching,$A339)&gt;=1,FALSE),IF(AND(_xlpm.inStr,LEN(A339)&lt;=6),$A340,""))&amp;I338&amp;I339&amp;I340&amp;I341</f>
        <v/>
      </c>
      <c r="J337" s="22">
        <f>MID(TRIM(RIGHT(A337,10)),1,LEN(TRIM(RIGHT(A337,10)))-3)*0.8</f>
        <v>30.32</v>
      </c>
      <c r="K337" s="3"/>
      <c r="L337" s="3"/>
    </row>
    <row r="338" spans="1:12" x14ac:dyDescent="0.25">
      <c r="A338" s="3" t="s">
        <v>138</v>
      </c>
      <c r="B338" s="21" t="str">
        <f>B337</f>
        <v>25418017</v>
      </c>
      <c r="C338" s="21" t="str">
        <f>C337</f>
        <v xml:space="preserve">Traveller Cotton </v>
      </c>
      <c r="D338" s="23"/>
      <c r="E338" s="23"/>
      <c r="F338" s="21" t="str">
        <f>_xlfn.LET(_xlpm.Searching,"57",_xlpm.inStr,IFERROR(FIND(_xlpm.Searching,$A341)&gt;=1,FALSE),IF(AND(_xlpm.inStr,LEN(A341)&lt;=6),$A342,""))</f>
        <v/>
      </c>
      <c r="G338" s="21">
        <f>_xlfn.LET(_xlpm.Searching,"59",_xlpm.inStr,IFERROR(FIND(_xlpm.Searching,$A341)&gt;=1,FALSE),IF(AND(_xlpm.inStr,LEN(A341)&lt;=6),$A342,""))</f>
        <v>4</v>
      </c>
      <c r="H338" s="21" t="str">
        <f>_xlfn.LET(_xlpm.Searching,"61",_xlpm.inStr,IFERROR(FIND(_xlpm.Searching,$A341)&gt;=1,FALSE),IF(AND(_xlpm.inStr,LEN(A341)&lt;=6),$A342,""))</f>
        <v/>
      </c>
      <c r="I338" s="21" t="str">
        <f>_xlfn.LET(_xlpm.Searching,"63",_xlpm.inStr,IFERROR(FIND(_xlpm.Searching,$A341)&gt;=1,FALSE),IF(AND(_xlpm.inStr,LEN(A341)&lt;=6),$A342,""))</f>
        <v/>
      </c>
      <c r="J338" s="22"/>
      <c r="K338" s="3"/>
      <c r="L338" s="3"/>
    </row>
    <row r="339" spans="1:12" x14ac:dyDescent="0.25">
      <c r="A339" s="3" t="s">
        <v>30</v>
      </c>
      <c r="B339" s="21" t="str">
        <f t="shared" ref="B339:C341" si="22">B338</f>
        <v>25418017</v>
      </c>
      <c r="C339" s="21" t="str">
        <f t="shared" si="22"/>
        <v xml:space="preserve">Traveller Cotton </v>
      </c>
      <c r="D339" s="23"/>
      <c r="E339" s="23"/>
      <c r="F339" s="23"/>
      <c r="G339" s="21" t="str">
        <f>_xlfn.LET(_xlpm.Searching,"59",_xlpm.inStr,IFERROR(FIND(_xlpm.Searching,$A343)&gt;=1,FALSE),IF(AND(_xlpm.inStr,LEN(A343)&lt;=6),$A344,""))</f>
        <v/>
      </c>
      <c r="H339" s="21" t="str">
        <f>_xlfn.LET(_xlpm.Searching,"61",_xlpm.inStr,IFERROR(FIND(_xlpm.Searching,$A343)&gt;=1,FALSE),IF(AND(_xlpm.inStr,LEN(A343)&lt;=6),$A344,""))</f>
        <v/>
      </c>
      <c r="I339" s="21" t="str">
        <f>_xlfn.LET(_xlpm.Searching,"63",_xlpm.inStr,IFERROR(FIND(_xlpm.Searching,$A343)&gt;=1,FALSE),IF(AND(_xlpm.inStr,LEN(A343)&lt;=6),$A344,""))</f>
        <v/>
      </c>
      <c r="J339" s="22"/>
      <c r="K339" s="3"/>
      <c r="L339" s="3"/>
    </row>
    <row r="340" spans="1:12" x14ac:dyDescent="0.25">
      <c r="A340" s="3">
        <v>2</v>
      </c>
      <c r="B340" s="21" t="str">
        <f t="shared" si="22"/>
        <v>25418017</v>
      </c>
      <c r="C340" s="21" t="str">
        <f t="shared" si="22"/>
        <v xml:space="preserve">Traveller Cotton </v>
      </c>
      <c r="D340" s="23"/>
      <c r="E340" s="23"/>
      <c r="F340" s="23"/>
      <c r="G340" s="23"/>
      <c r="H340" s="21" t="str">
        <f>_xlfn.LET(_xlpm.Searching,"61",_xlpm.inStr,IFERROR(FIND(_xlpm.Searching,$A345)&gt;=1,FALSE),IF(AND(_xlpm.inStr,LEN(A345)&lt;=6),$A346,""))</f>
        <v/>
      </c>
      <c r="I340" s="21" t="str">
        <f>_xlfn.LET(_xlpm.Searching,"63",_xlpm.inStr,IFERROR(FIND(_xlpm.Searching,$A345)&gt;=1,FALSE),IF(AND(_xlpm.inStr,LEN(A345)&lt;=6),$A346,""))</f>
        <v/>
      </c>
      <c r="J340" s="22"/>
      <c r="K340" s="3"/>
      <c r="L340" s="3"/>
    </row>
    <row r="341" spans="1:12" x14ac:dyDescent="0.25">
      <c r="A341" s="3" t="s">
        <v>29</v>
      </c>
      <c r="B341" s="21" t="str">
        <f t="shared" si="22"/>
        <v>25418017</v>
      </c>
      <c r="C341" s="21" t="str">
        <f t="shared" si="22"/>
        <v xml:space="preserve">Traveller Cotton </v>
      </c>
      <c r="D341" s="23"/>
      <c r="E341" s="23"/>
      <c r="F341" s="23"/>
      <c r="G341" s="23"/>
      <c r="H341" s="23"/>
      <c r="I341" s="21" t="str">
        <f>_xlfn.LET(_xlpm.Searching,"63",_xlpm.inStr,IFERROR(FIND(_xlpm.Searching,$A347)&gt;=1,FALSE),IF(AND(_xlpm.inStr,LEN(A347)&lt;=6),$A348,""))</f>
        <v/>
      </c>
      <c r="J341" s="22"/>
      <c r="K341" s="3"/>
      <c r="L341" s="3"/>
    </row>
    <row r="342" spans="1:12" x14ac:dyDescent="0.25">
      <c r="A342" s="3">
        <v>4</v>
      </c>
      <c r="B342" s="3"/>
      <c r="C342" s="3"/>
      <c r="D342" s="3"/>
      <c r="E342" s="3"/>
      <c r="F342" s="3"/>
      <c r="G342" s="3"/>
      <c r="H342" s="3"/>
      <c r="I342" s="3"/>
      <c r="J342" s="4"/>
      <c r="K342" s="3"/>
      <c r="L342" s="3"/>
    </row>
    <row r="343" spans="1:12" x14ac:dyDescent="0.25">
      <c r="A343" s="3" t="s">
        <v>151</v>
      </c>
      <c r="B343" s="3"/>
      <c r="C343" s="3"/>
      <c r="D343" s="3"/>
      <c r="E343" s="3"/>
      <c r="F343" s="3"/>
      <c r="G343" s="3"/>
      <c r="H343" s="3"/>
      <c r="I343" s="3"/>
      <c r="J343" s="4"/>
      <c r="K343" s="3"/>
      <c r="L343" s="3"/>
    </row>
    <row r="344" spans="1:12" x14ac:dyDescent="0.25">
      <c r="A344" s="3" t="s">
        <v>152</v>
      </c>
      <c r="B344" s="3"/>
      <c r="C344" s="3"/>
      <c r="D344" s="3"/>
      <c r="E344" s="3"/>
      <c r="F344" s="3"/>
      <c r="G344" s="3"/>
      <c r="H344" s="3"/>
      <c r="I344" s="3"/>
      <c r="J344" s="4"/>
      <c r="K344" s="3"/>
      <c r="L344" s="3"/>
    </row>
    <row r="345" spans="1:12" x14ac:dyDescent="0.25">
      <c r="A345" s="3" t="s">
        <v>153</v>
      </c>
      <c r="B345" s="19" t="s">
        <v>1</v>
      </c>
      <c r="C345" s="19" t="s">
        <v>56</v>
      </c>
      <c r="D345" s="19" t="s">
        <v>0</v>
      </c>
      <c r="E345" s="19">
        <v>55</v>
      </c>
      <c r="F345" s="19">
        <v>57</v>
      </c>
      <c r="G345" s="19">
        <v>59</v>
      </c>
      <c r="H345" s="19">
        <v>61</v>
      </c>
      <c r="I345" s="19">
        <v>63</v>
      </c>
      <c r="J345" s="20" t="s">
        <v>2</v>
      </c>
      <c r="K345" s="3"/>
      <c r="L345" s="3"/>
    </row>
    <row r="346" spans="1:12" x14ac:dyDescent="0.25">
      <c r="A346" s="3" t="s">
        <v>154</v>
      </c>
      <c r="B346" s="21" t="str" cm="1">
        <f t="array" ref="B346">БУКВЫ(MID($A346,3,12))</f>
        <v>241850271</v>
      </c>
      <c r="C346" s="21" t="str">
        <f>MID($A347,1,FIND("Per",A347)-1)</f>
        <v xml:space="preserve">Traveller Toyo </v>
      </c>
      <c r="D346" s="21" t="str">
        <f>_xlfn.LET(_xlpm.Searching,"OSFA",_xlpm.inStr,IFERROR(FIND(_xlpm.Searching,$A348)&gt;=1,FALSE),IF(AND(_xlpm.inStr,LEN(A348)&lt;=6),A349,""))</f>
        <v/>
      </c>
      <c r="E346" s="21" t="str">
        <f>_xlfn.LET(_xlpm.Searching,"55",_xlpm.inStr,IFERROR(FIND(_xlpm.Searching,$A348)&gt;=1,FALSE),IF(AND(_xlpm.inStr,LEN(A348)&lt;=6),A349,""))</f>
        <v/>
      </c>
      <c r="F346" s="21" t="str">
        <f>_xlfn.LET(_xlpm.Searching,"57",_xlpm.inStr,IFERROR(FIND(_xlpm.Searching,$A348)&gt;=1,FALSE),IF(AND(_xlpm.inStr,LEN(A348)&lt;=6),$A349,""))&amp;F347</f>
        <v/>
      </c>
      <c r="G346" s="21" t="str">
        <f>_xlfn.LET(_xlpm.Searching,"59",_xlpm.inStr,IFERROR(FIND(_xlpm.Searching,$A348)&gt;=1,FALSE),IF(AND(_xlpm.inStr,LEN(A348)&lt;=6),$A349,""))&amp;G347&amp;G348</f>
        <v>4</v>
      </c>
      <c r="H346" s="21" t="str">
        <f>_xlfn.LET(_xlpm.Searching,"61",_xlpm.inStr,IFERROR(FIND(_xlpm.Searching,$A348)&gt;=1,FALSE),IF(AND(_xlpm.inStr,LEN(A348)&lt;=6),$A349,""))&amp;H347&amp;H348&amp;H349</f>
        <v/>
      </c>
      <c r="I346" s="21" t="str">
        <f>_xlfn.LET(_xlpm.Searching,"63",_xlpm.inStr,IFERROR(FIND(_xlpm.Searching,$A348)&gt;=1,FALSE),IF(AND(_xlpm.inStr,LEN(A348)&lt;=6),$A349,""))&amp;I347&amp;I348&amp;I349&amp;I350</f>
        <v/>
      </c>
      <c r="J346" s="22">
        <f>MID(TRIM(RIGHT(A346,10)),1,LEN(TRIM(RIGHT(A346,10)))-3)*0.8</f>
        <v>27.12</v>
      </c>
      <c r="K346" s="3"/>
      <c r="L346" s="3"/>
    </row>
    <row r="347" spans="1:12" x14ac:dyDescent="0.25">
      <c r="A347" s="3" t="s">
        <v>155</v>
      </c>
      <c r="B347" s="21" t="str">
        <f>B346</f>
        <v>241850271</v>
      </c>
      <c r="C347" s="21" t="str">
        <f>C346</f>
        <v xml:space="preserve">Traveller Toyo </v>
      </c>
      <c r="D347" s="23"/>
      <c r="E347" s="23"/>
      <c r="F347" s="21" t="str">
        <f>_xlfn.LET(_xlpm.Searching,"57",_xlpm.inStr,IFERROR(FIND(_xlpm.Searching,$A350)&gt;=1,FALSE),IF(AND(_xlpm.inStr,LEN(A350)&lt;=6),$A351,""))</f>
        <v/>
      </c>
      <c r="G347" s="21" t="str">
        <f>_xlfn.LET(_xlpm.Searching,"59",_xlpm.inStr,IFERROR(FIND(_xlpm.Searching,$A350)&gt;=1,FALSE),IF(AND(_xlpm.inStr,LEN(A350)&lt;=6),$A351,""))</f>
        <v/>
      </c>
      <c r="H347" s="21" t="str">
        <f>_xlfn.LET(_xlpm.Searching,"61",_xlpm.inStr,IFERROR(FIND(_xlpm.Searching,$A350)&gt;=1,FALSE),IF(AND(_xlpm.inStr,LEN(A350)&lt;=6),$A351,""))</f>
        <v/>
      </c>
      <c r="I347" s="21" t="str">
        <f>_xlfn.LET(_xlpm.Searching,"63",_xlpm.inStr,IFERROR(FIND(_xlpm.Searching,$A350)&gt;=1,FALSE),IF(AND(_xlpm.inStr,LEN(A350)&lt;=6),$A351,""))</f>
        <v/>
      </c>
      <c r="J347" s="22"/>
      <c r="K347" s="3"/>
      <c r="L347" s="3"/>
    </row>
    <row r="348" spans="1:12" x14ac:dyDescent="0.25">
      <c r="A348" s="3" t="s">
        <v>29</v>
      </c>
      <c r="B348" s="21" t="str">
        <f t="shared" ref="B348:C350" si="23">B347</f>
        <v>241850271</v>
      </c>
      <c r="C348" s="21" t="str">
        <f t="shared" si="23"/>
        <v xml:space="preserve">Traveller Toyo </v>
      </c>
      <c r="D348" s="23"/>
      <c r="E348" s="23"/>
      <c r="F348" s="23"/>
      <c r="G348" s="21" t="str">
        <f>_xlfn.LET(_xlpm.Searching,"59",_xlpm.inStr,IFERROR(FIND(_xlpm.Searching,$A352)&gt;=1,FALSE),IF(AND(_xlpm.inStr,LEN(A352)&lt;=6),$A353,""))</f>
        <v/>
      </c>
      <c r="H348" s="21" t="str">
        <f>_xlfn.LET(_xlpm.Searching,"61",_xlpm.inStr,IFERROR(FIND(_xlpm.Searching,$A352)&gt;=1,FALSE),IF(AND(_xlpm.inStr,LEN(A352)&lt;=6),$A353,""))</f>
        <v/>
      </c>
      <c r="I348" s="21" t="str">
        <f>_xlfn.LET(_xlpm.Searching,"63",_xlpm.inStr,IFERROR(FIND(_xlpm.Searching,$A352)&gt;=1,FALSE),IF(AND(_xlpm.inStr,LEN(A352)&lt;=6),$A353,""))</f>
        <v/>
      </c>
      <c r="J348" s="22"/>
      <c r="K348" s="3"/>
      <c r="L348" s="3"/>
    </row>
    <row r="349" spans="1:12" x14ac:dyDescent="0.25">
      <c r="A349" s="3">
        <v>4</v>
      </c>
      <c r="B349" s="21" t="str">
        <f t="shared" si="23"/>
        <v>241850271</v>
      </c>
      <c r="C349" s="21" t="str">
        <f t="shared" si="23"/>
        <v xml:space="preserve">Traveller Toyo </v>
      </c>
      <c r="D349" s="23"/>
      <c r="E349" s="23"/>
      <c r="F349" s="23"/>
      <c r="G349" s="23"/>
      <c r="H349" s="21" t="str">
        <f>_xlfn.LET(_xlpm.Searching,"61",_xlpm.inStr,IFERROR(FIND(_xlpm.Searching,$A354)&gt;=1,FALSE),IF(AND(_xlpm.inStr,LEN(A354)&lt;=6),$A355,""))</f>
        <v/>
      </c>
      <c r="I349" s="21" t="str">
        <f>_xlfn.LET(_xlpm.Searching,"63",_xlpm.inStr,IFERROR(FIND(_xlpm.Searching,$A354)&gt;=1,FALSE),IF(AND(_xlpm.inStr,LEN(A354)&lt;=6),$A355,""))</f>
        <v/>
      </c>
      <c r="J349" s="22"/>
      <c r="K349" s="3"/>
      <c r="L349" s="3"/>
    </row>
    <row r="350" spans="1:12" x14ac:dyDescent="0.25">
      <c r="A350" s="3" t="s">
        <v>156</v>
      </c>
      <c r="B350" s="21" t="str">
        <f t="shared" si="23"/>
        <v>241850271</v>
      </c>
      <c r="C350" s="21" t="str">
        <f t="shared" si="23"/>
        <v xml:space="preserve">Traveller Toyo </v>
      </c>
      <c r="D350" s="23"/>
      <c r="E350" s="23"/>
      <c r="F350" s="23"/>
      <c r="G350" s="23"/>
      <c r="H350" s="23"/>
      <c r="I350" s="21" t="str">
        <f>_xlfn.LET(_xlpm.Searching,"63",_xlpm.inStr,IFERROR(FIND(_xlpm.Searching,$A356)&gt;=1,FALSE),IF(AND(_xlpm.inStr,LEN(A356)&lt;=6),$A357,""))</f>
        <v/>
      </c>
      <c r="J350" s="22"/>
      <c r="K350" s="3"/>
      <c r="L350" s="3"/>
    </row>
    <row r="351" spans="1:12" ht="15.75" thickBot="1" x14ac:dyDescent="0.3">
      <c r="A351" s="3" t="s">
        <v>157</v>
      </c>
      <c r="B351" s="3"/>
      <c r="C351" s="3"/>
      <c r="D351" s="3"/>
      <c r="E351" s="3"/>
      <c r="F351" s="3"/>
      <c r="G351" s="3"/>
      <c r="H351" s="3"/>
      <c r="I351" s="3"/>
      <c r="J351" s="4"/>
      <c r="K351" s="3"/>
      <c r="L351" s="3"/>
    </row>
    <row r="352" spans="1:12" x14ac:dyDescent="0.25">
      <c r="A352" s="25" t="s">
        <v>158</v>
      </c>
      <c r="B352" s="26" t="s">
        <v>1</v>
      </c>
      <c r="C352" s="26" t="s">
        <v>56</v>
      </c>
      <c r="D352" s="26" t="s">
        <v>0</v>
      </c>
      <c r="E352" s="26">
        <v>55</v>
      </c>
      <c r="F352" s="26">
        <v>57</v>
      </c>
      <c r="G352" s="26">
        <v>59</v>
      </c>
      <c r="H352" s="26">
        <v>61</v>
      </c>
      <c r="I352" s="26">
        <v>63</v>
      </c>
      <c r="J352" s="27" t="s">
        <v>2</v>
      </c>
      <c r="K352" s="3"/>
      <c r="L352" s="3"/>
    </row>
    <row r="353" spans="1:12" x14ac:dyDescent="0.25">
      <c r="A353" s="28" t="s">
        <v>159</v>
      </c>
      <c r="B353" s="21" t="str" cm="1">
        <f t="array" ref="B353">БУКВЫ(MID($A353,3,12))</f>
        <v>254110971</v>
      </c>
      <c r="C353" s="21" t="str">
        <f>MID($A354,1,FIND("Per",A354)-1)</f>
        <v xml:space="preserve">Traveller Cotton </v>
      </c>
      <c r="D353" s="21" t="str">
        <f>_xlfn.LET(_xlpm.Searching,"OSFA",_xlpm.inStr,IFERROR(FIND(_xlpm.Searching,$A355)&gt;=1,FALSE),IF(AND(_xlpm.inStr,LEN(A355)&lt;=6),A356,""))</f>
        <v/>
      </c>
      <c r="E353" s="21" t="str">
        <f>_xlfn.LET(_xlpm.Searching,"55",_xlpm.inStr,IFERROR(FIND(_xlpm.Searching,$A355)&gt;=1,FALSE),IF(AND(_xlpm.inStr,LEN(A355)&lt;=6),A356,""))</f>
        <v/>
      </c>
      <c r="F353" s="21" t="str">
        <f>_xlfn.LET(_xlpm.Searching,"57",_xlpm.inStr,IFERROR(FIND(_xlpm.Searching,$A355)&gt;=1,FALSE),IF(AND(_xlpm.inStr,LEN(A355)&lt;=6),$A356,""))&amp;F354</f>
        <v>3</v>
      </c>
      <c r="G353" s="21" t="str">
        <f>_xlfn.LET(_xlpm.Searching,"59",_xlpm.inStr,IFERROR(FIND(_xlpm.Searching,$A355)&gt;=1,FALSE),IF(AND(_xlpm.inStr,LEN(A355)&lt;=6),$A356,""))&amp;G354&amp;G355</f>
        <v>3</v>
      </c>
      <c r="H353" s="21" t="str">
        <f>_xlfn.LET(_xlpm.Searching,"61",_xlpm.inStr,IFERROR(FIND(_xlpm.Searching,$A355)&gt;=1,FALSE),IF(AND(_xlpm.inStr,LEN(A355)&lt;=6),$A356,""))&amp;H354&amp;H355&amp;H356</f>
        <v/>
      </c>
      <c r="I353" s="21" t="str">
        <f>_xlfn.LET(_xlpm.Searching,"63",_xlpm.inStr,IFERROR(FIND(_xlpm.Searching,$A355)&gt;=1,FALSE),IF(AND(_xlpm.inStr,LEN(A355)&lt;=6),$A356,""))&amp;I354&amp;I355&amp;I356&amp;I357</f>
        <v/>
      </c>
      <c r="J353" s="29">
        <f>MID(TRIM(RIGHT(A353,10)),1,LEN(TRIM(RIGHT(A353,10)))-3)*0.8</f>
        <v>18.32</v>
      </c>
      <c r="K353" s="3"/>
      <c r="L353" s="3"/>
    </row>
    <row r="354" spans="1:12" x14ac:dyDescent="0.25">
      <c r="A354" s="28" t="s">
        <v>138</v>
      </c>
      <c r="B354" s="21" t="str">
        <f>B353</f>
        <v>254110971</v>
      </c>
      <c r="C354" s="21" t="str">
        <f>C353</f>
        <v xml:space="preserve">Traveller Cotton </v>
      </c>
      <c r="D354" s="23"/>
      <c r="E354" s="23"/>
      <c r="F354" s="21" t="str">
        <f>_xlfn.LET(_xlpm.Searching,"57",_xlpm.inStr,IFERROR(FIND(_xlpm.Searching,$A357)&gt;=1,FALSE),IF(AND(_xlpm.inStr,LEN(A357)&lt;=6),$A358,""))</f>
        <v/>
      </c>
      <c r="G354" s="21">
        <f>_xlfn.LET(_xlpm.Searching,"59",_xlpm.inStr,IFERROR(FIND(_xlpm.Searching,$A357)&gt;=1,FALSE),IF(AND(_xlpm.inStr,LEN(A357)&lt;=6),$A358,""))</f>
        <v>3</v>
      </c>
      <c r="H354" s="21" t="str">
        <f>_xlfn.LET(_xlpm.Searching,"61",_xlpm.inStr,IFERROR(FIND(_xlpm.Searching,$A357)&gt;=1,FALSE),IF(AND(_xlpm.inStr,LEN(A357)&lt;=6),$A358,""))</f>
        <v/>
      </c>
      <c r="I354" s="21" t="str">
        <f>_xlfn.LET(_xlpm.Searching,"63",_xlpm.inStr,IFERROR(FIND(_xlpm.Searching,$A357)&gt;=1,FALSE),IF(AND(_xlpm.inStr,LEN(A357)&lt;=6),$A358,""))</f>
        <v/>
      </c>
      <c r="J354" s="29"/>
      <c r="K354" s="3"/>
      <c r="L354" s="3"/>
    </row>
    <row r="355" spans="1:12" x14ac:dyDescent="0.25">
      <c r="A355" s="28" t="s">
        <v>30</v>
      </c>
      <c r="B355" s="21" t="str">
        <f t="shared" ref="B355:C357" si="24">B354</f>
        <v>254110971</v>
      </c>
      <c r="C355" s="21" t="str">
        <f t="shared" si="24"/>
        <v xml:space="preserve">Traveller Cotton </v>
      </c>
      <c r="D355" s="23"/>
      <c r="E355" s="23"/>
      <c r="F355" s="23"/>
      <c r="G355" s="21" t="str">
        <f>_xlfn.LET(_xlpm.Searching,"59",_xlpm.inStr,IFERROR(FIND(_xlpm.Searching,$A359)&gt;=1,FALSE),IF(AND(_xlpm.inStr,LEN(A359)&lt;=6),$A360,""))</f>
        <v/>
      </c>
      <c r="H355" s="21" t="str">
        <f>_xlfn.LET(_xlpm.Searching,"61",_xlpm.inStr,IFERROR(FIND(_xlpm.Searching,$A359)&gt;=1,FALSE),IF(AND(_xlpm.inStr,LEN(A359)&lt;=6),$A360,""))</f>
        <v/>
      </c>
      <c r="I355" s="21" t="str">
        <f>_xlfn.LET(_xlpm.Searching,"63",_xlpm.inStr,IFERROR(FIND(_xlpm.Searching,$A359)&gt;=1,FALSE),IF(AND(_xlpm.inStr,LEN(A359)&lt;=6),$A360,""))</f>
        <v/>
      </c>
      <c r="J355" s="29"/>
      <c r="K355" s="3"/>
      <c r="L355" s="3"/>
    </row>
    <row r="356" spans="1:12" x14ac:dyDescent="0.25">
      <c r="A356" s="28">
        <v>3</v>
      </c>
      <c r="B356" s="21" t="str">
        <f t="shared" si="24"/>
        <v>254110971</v>
      </c>
      <c r="C356" s="21" t="str">
        <f t="shared" si="24"/>
        <v xml:space="preserve">Traveller Cotton </v>
      </c>
      <c r="D356" s="23"/>
      <c r="E356" s="23"/>
      <c r="F356" s="23"/>
      <c r="G356" s="23"/>
      <c r="H356" s="21" t="str">
        <f>_xlfn.LET(_xlpm.Searching,"61",_xlpm.inStr,IFERROR(FIND(_xlpm.Searching,$A361)&gt;=1,FALSE),IF(AND(_xlpm.inStr,LEN(A361)&lt;=6),$A362,""))</f>
        <v/>
      </c>
      <c r="I356" s="21" t="str">
        <f>_xlfn.LET(_xlpm.Searching,"63",_xlpm.inStr,IFERROR(FIND(_xlpm.Searching,$A361)&gt;=1,FALSE),IF(AND(_xlpm.inStr,LEN(A361)&lt;=6),$A362,""))</f>
        <v/>
      </c>
      <c r="J356" s="29"/>
      <c r="K356" s="3"/>
      <c r="L356" s="3"/>
    </row>
    <row r="357" spans="1:12" ht="15.75" thickBot="1" x14ac:dyDescent="0.3">
      <c r="A357" s="30" t="s">
        <v>29</v>
      </c>
      <c r="B357" s="31" t="str">
        <f t="shared" si="24"/>
        <v>254110971</v>
      </c>
      <c r="C357" s="31" t="str">
        <f t="shared" si="24"/>
        <v xml:space="preserve">Traveller Cotton </v>
      </c>
      <c r="D357" s="32"/>
      <c r="E357" s="32"/>
      <c r="F357" s="32"/>
      <c r="G357" s="32"/>
      <c r="H357" s="32"/>
      <c r="I357" s="31" t="str">
        <f>_xlfn.LET(_xlpm.Searching,"63",_xlpm.inStr,IFERROR(FIND(_xlpm.Searching,$A363)&gt;=1,FALSE),IF(AND(_xlpm.inStr,LEN(A363)&lt;=6),$A364,""))</f>
        <v/>
      </c>
      <c r="J357" s="33"/>
      <c r="K357" s="3"/>
      <c r="L357" s="3"/>
    </row>
    <row r="358" spans="1:12" x14ac:dyDescent="0.25">
      <c r="A358" s="3">
        <v>3</v>
      </c>
      <c r="B358" s="3"/>
      <c r="C358" s="3"/>
      <c r="D358" s="3"/>
      <c r="E358" s="3"/>
      <c r="F358" s="3"/>
      <c r="G358" s="3"/>
      <c r="H358" s="3"/>
      <c r="I358" s="3"/>
      <c r="J358" s="4"/>
      <c r="K358" s="3"/>
      <c r="L358" s="3"/>
    </row>
    <row r="359" spans="1:12" x14ac:dyDescent="0.25">
      <c r="A359" s="3" t="s">
        <v>126</v>
      </c>
      <c r="B359" s="5"/>
      <c r="C359" s="5"/>
      <c r="D359" s="5"/>
      <c r="E359" s="5"/>
      <c r="F359" s="5"/>
      <c r="G359" s="5"/>
      <c r="H359" s="5"/>
      <c r="I359" s="5"/>
      <c r="J359" s="6"/>
      <c r="K359" s="3"/>
      <c r="L359" s="3"/>
    </row>
    <row r="360" spans="1:12" x14ac:dyDescent="0.25">
      <c r="A360" s="3" t="s">
        <v>160</v>
      </c>
      <c r="B360" s="3"/>
      <c r="C360" s="3"/>
      <c r="D360" s="3"/>
      <c r="E360" s="3"/>
      <c r="F360" s="3"/>
      <c r="G360" s="3"/>
      <c r="H360" s="3"/>
      <c r="I360" s="3"/>
      <c r="J360" s="4"/>
      <c r="K360" s="3"/>
      <c r="L360" s="3"/>
    </row>
    <row r="361" spans="1:12" x14ac:dyDescent="0.25">
      <c r="A361" s="3" t="s">
        <v>161</v>
      </c>
      <c r="B361" s="19" t="s">
        <v>1</v>
      </c>
      <c r="C361" s="19" t="s">
        <v>56</v>
      </c>
      <c r="D361" s="19" t="s">
        <v>0</v>
      </c>
      <c r="E361" s="19">
        <v>55</v>
      </c>
      <c r="F361" s="19">
        <v>57</v>
      </c>
      <c r="G361" s="19">
        <v>59</v>
      </c>
      <c r="H361" s="19">
        <v>61</v>
      </c>
      <c r="I361" s="19">
        <v>63</v>
      </c>
      <c r="J361" s="20" t="s">
        <v>2</v>
      </c>
      <c r="K361" s="3"/>
      <c r="L361" s="3"/>
    </row>
    <row r="362" spans="1:12" x14ac:dyDescent="0.25">
      <c r="A362" s="3" t="s">
        <v>162</v>
      </c>
      <c r="B362" s="21" t="str" cm="1">
        <f t="array" ref="B362">БУКВЫ(MID($A362,3,12))</f>
        <v>778510189</v>
      </c>
      <c r="C362" s="21" t="str">
        <f>MID($A363,1,FIND("Per",A363)-1)</f>
        <v xml:space="preserve">Baseball Cap Toothpick Rebel </v>
      </c>
      <c r="D362" s="21">
        <f>_xlfn.LET(_xlpm.Searching,"OSFA",_xlpm.inStr,IFERROR(FIND(_xlpm.Searching,$A364)&gt;=1,FALSE),IF(AND(_xlpm.inStr,LEN(A364)&lt;=6),A365,""))</f>
        <v>1</v>
      </c>
      <c r="E362" s="21" t="str">
        <f>_xlfn.LET(_xlpm.Searching,"55",_xlpm.inStr,IFERROR(FIND(_xlpm.Searching,$A364)&gt;=1,FALSE),IF(AND(_xlpm.inStr,LEN(A364)&lt;=6),A365,""))</f>
        <v/>
      </c>
      <c r="F362" s="21" t="str">
        <f>_xlfn.LET(_xlpm.Searching,"57",_xlpm.inStr,IFERROR(FIND(_xlpm.Searching,$A364)&gt;=1,FALSE),IF(AND(_xlpm.inStr,LEN(A364)&lt;=6),$A365,""))&amp;F363</f>
        <v/>
      </c>
      <c r="G362" s="21" t="str">
        <f>_xlfn.LET(_xlpm.Searching,"59",_xlpm.inStr,IFERROR(FIND(_xlpm.Searching,$A364)&gt;=1,FALSE),IF(AND(_xlpm.inStr,LEN(A364)&lt;=6),$A365,""))&amp;G363&amp;G364</f>
        <v/>
      </c>
      <c r="H362" s="21" t="str">
        <f>_xlfn.LET(_xlpm.Searching,"61",_xlpm.inStr,IFERROR(FIND(_xlpm.Searching,$A364)&gt;=1,FALSE),IF(AND(_xlpm.inStr,LEN(A364)&lt;=6),$A365,""))&amp;H363&amp;H364&amp;H365</f>
        <v/>
      </c>
      <c r="I362" s="21" t="str">
        <f>_xlfn.LET(_xlpm.Searching,"63",_xlpm.inStr,IFERROR(FIND(_xlpm.Searching,$A364)&gt;=1,FALSE),IF(AND(_xlpm.inStr,LEN(A364)&lt;=6),$A365,""))&amp;I363&amp;I364&amp;I365&amp;I366</f>
        <v/>
      </c>
      <c r="J362" s="22">
        <f>MID(TRIM(RIGHT(A362,10)),1,LEN(TRIM(RIGHT(A362,10)))-3)*0.8</f>
        <v>11.920000000000002</v>
      </c>
      <c r="K362" s="3"/>
      <c r="L362" s="3"/>
    </row>
    <row r="363" spans="1:12" x14ac:dyDescent="0.25">
      <c r="A363" s="3" t="s">
        <v>163</v>
      </c>
      <c r="B363" s="21" t="str">
        <f>B362</f>
        <v>778510189</v>
      </c>
      <c r="C363" s="21" t="str">
        <f>C362</f>
        <v xml:space="preserve">Baseball Cap Toothpick Rebel </v>
      </c>
      <c r="D363" s="23"/>
      <c r="E363" s="23"/>
      <c r="F363" s="21" t="str">
        <f>_xlfn.LET(_xlpm.Searching,"57",_xlpm.inStr,IFERROR(FIND(_xlpm.Searching,$A366)&gt;=1,FALSE),IF(AND(_xlpm.inStr,LEN(A366)&lt;=6),$A367,""))</f>
        <v/>
      </c>
      <c r="G363" s="21" t="str">
        <f>_xlfn.LET(_xlpm.Searching,"59",_xlpm.inStr,IFERROR(FIND(_xlpm.Searching,$A366)&gt;=1,FALSE),IF(AND(_xlpm.inStr,LEN(A366)&lt;=6),$A367,""))</f>
        <v/>
      </c>
      <c r="H363" s="21" t="str">
        <f>_xlfn.LET(_xlpm.Searching,"61",_xlpm.inStr,IFERROR(FIND(_xlpm.Searching,$A366)&gt;=1,FALSE),IF(AND(_xlpm.inStr,LEN(A366)&lt;=6),$A367,""))</f>
        <v/>
      </c>
      <c r="I363" s="21" t="str">
        <f>_xlfn.LET(_xlpm.Searching,"63",_xlpm.inStr,IFERROR(FIND(_xlpm.Searching,$A366)&gt;=1,FALSE),IF(AND(_xlpm.inStr,LEN(A366)&lt;=6),$A367,""))</f>
        <v/>
      </c>
      <c r="J363" s="22"/>
      <c r="K363" s="3"/>
      <c r="L363" s="3"/>
    </row>
    <row r="364" spans="1:12" x14ac:dyDescent="0.25">
      <c r="A364" s="3" t="s">
        <v>0</v>
      </c>
      <c r="B364" s="21" t="str">
        <f t="shared" ref="B364:C366" si="25">B363</f>
        <v>778510189</v>
      </c>
      <c r="C364" s="21" t="str">
        <f t="shared" si="25"/>
        <v xml:space="preserve">Baseball Cap Toothpick Rebel </v>
      </c>
      <c r="D364" s="23"/>
      <c r="E364" s="23"/>
      <c r="F364" s="23"/>
      <c r="G364" s="21" t="str">
        <f>_xlfn.LET(_xlpm.Searching,"59",_xlpm.inStr,IFERROR(FIND(_xlpm.Searching,$A368)&gt;=1,FALSE),IF(AND(_xlpm.inStr,LEN(A368)&lt;=6),$A369,""))</f>
        <v/>
      </c>
      <c r="H364" s="21" t="str">
        <f>_xlfn.LET(_xlpm.Searching,"61",_xlpm.inStr,IFERROR(FIND(_xlpm.Searching,$A368)&gt;=1,FALSE),IF(AND(_xlpm.inStr,LEN(A368)&lt;=6),$A369,""))</f>
        <v/>
      </c>
      <c r="I364" s="21" t="str">
        <f>_xlfn.LET(_xlpm.Searching,"63",_xlpm.inStr,IFERROR(FIND(_xlpm.Searching,$A368)&gt;=1,FALSE),IF(AND(_xlpm.inStr,LEN(A368)&lt;=6),$A369,""))</f>
        <v/>
      </c>
      <c r="J364" s="22"/>
      <c r="K364" s="3"/>
      <c r="L364" s="3"/>
    </row>
    <row r="365" spans="1:12" x14ac:dyDescent="0.25">
      <c r="A365" s="3">
        <v>1</v>
      </c>
      <c r="B365" s="21" t="str">
        <f t="shared" si="25"/>
        <v>778510189</v>
      </c>
      <c r="C365" s="21" t="str">
        <f t="shared" si="25"/>
        <v xml:space="preserve">Baseball Cap Toothpick Rebel </v>
      </c>
      <c r="D365" s="23"/>
      <c r="E365" s="23"/>
      <c r="F365" s="23"/>
      <c r="G365" s="23"/>
      <c r="H365" s="21" t="str">
        <f>_xlfn.LET(_xlpm.Searching,"61",_xlpm.inStr,IFERROR(FIND(_xlpm.Searching,$A370)&gt;=1,FALSE),IF(AND(_xlpm.inStr,LEN(A370)&lt;=6),$A371,""))</f>
        <v/>
      </c>
      <c r="I365" s="21" t="str">
        <f>_xlfn.LET(_xlpm.Searching,"63",_xlpm.inStr,IFERROR(FIND(_xlpm.Searching,$A370)&gt;=1,FALSE),IF(AND(_xlpm.inStr,LEN(A370)&lt;=6),$A371,""))</f>
        <v/>
      </c>
      <c r="J365" s="22"/>
      <c r="K365" s="3"/>
      <c r="L365" s="3"/>
    </row>
    <row r="366" spans="1:12" x14ac:dyDescent="0.25">
      <c r="A366" s="3" t="s">
        <v>164</v>
      </c>
      <c r="B366" s="21" t="str">
        <f t="shared" si="25"/>
        <v>778510189</v>
      </c>
      <c r="C366" s="21" t="str">
        <f t="shared" si="25"/>
        <v xml:space="preserve">Baseball Cap Toothpick Rebel </v>
      </c>
      <c r="D366" s="23"/>
      <c r="E366" s="23"/>
      <c r="F366" s="23"/>
      <c r="G366" s="23"/>
      <c r="H366" s="23"/>
      <c r="I366" s="21" t="str">
        <f>_xlfn.LET(_xlpm.Searching,"63",_xlpm.inStr,IFERROR(FIND(_xlpm.Searching,$A372)&gt;=1,FALSE),IF(AND(_xlpm.inStr,LEN(A372)&lt;=6),$A373,""))</f>
        <v/>
      </c>
      <c r="J366" s="22"/>
      <c r="K366" s="3"/>
      <c r="L366" s="3"/>
    </row>
    <row r="367" spans="1:12" x14ac:dyDescent="0.25">
      <c r="A367" s="3" t="s">
        <v>165</v>
      </c>
      <c r="B367" s="3"/>
      <c r="C367" s="3"/>
      <c r="D367" s="3"/>
      <c r="E367" s="3"/>
      <c r="F367" s="3"/>
      <c r="G367" s="3"/>
      <c r="H367" s="3"/>
      <c r="I367" s="3"/>
      <c r="J367" s="4"/>
      <c r="K367" s="3"/>
      <c r="L367" s="3"/>
    </row>
    <row r="368" spans="1:12" x14ac:dyDescent="0.25">
      <c r="A368" s="3" t="s">
        <v>166</v>
      </c>
      <c r="B368" s="19" t="s">
        <v>1</v>
      </c>
      <c r="C368" s="19" t="s">
        <v>56</v>
      </c>
      <c r="D368" s="19" t="s">
        <v>0</v>
      </c>
      <c r="E368" s="19">
        <v>55</v>
      </c>
      <c r="F368" s="19">
        <v>57</v>
      </c>
      <c r="G368" s="19">
        <v>59</v>
      </c>
      <c r="H368" s="19">
        <v>61</v>
      </c>
      <c r="I368" s="19">
        <v>63</v>
      </c>
      <c r="J368" s="20" t="s">
        <v>2</v>
      </c>
      <c r="K368" s="3"/>
      <c r="L368" s="3"/>
    </row>
    <row r="369" spans="1:12" x14ac:dyDescent="0.25">
      <c r="A369" s="3" t="s">
        <v>167</v>
      </c>
      <c r="B369" s="21" t="str" cm="1">
        <f t="array" ref="B369">БУКВЫ(MID($A369,3,12))</f>
        <v>24985027</v>
      </c>
      <c r="C369" s="21" t="str">
        <f>MID($A370,1,FIND("Per",A370)-1)</f>
        <v xml:space="preserve">Traveller Raffia </v>
      </c>
      <c r="D369" s="21" t="str">
        <f>_xlfn.LET(_xlpm.Searching,"OSFA",_xlpm.inStr,IFERROR(FIND(_xlpm.Searching,$A371)&gt;=1,FALSE),IF(AND(_xlpm.inStr,LEN(A371)&lt;=6),A372,""))</f>
        <v/>
      </c>
      <c r="E369" s="21" t="str">
        <f>_xlfn.LET(_xlpm.Searching,"55",_xlpm.inStr,IFERROR(FIND(_xlpm.Searching,$A371)&gt;=1,FALSE),IF(AND(_xlpm.inStr,LEN(A371)&lt;=6),A372,""))</f>
        <v/>
      </c>
      <c r="F369" s="21" t="str">
        <f>_xlfn.LET(_xlpm.Searching,"57",_xlpm.inStr,IFERROR(FIND(_xlpm.Searching,$A371)&gt;=1,FALSE),IF(AND(_xlpm.inStr,LEN(A371)&lt;=6),$A372,""))&amp;F370</f>
        <v>2</v>
      </c>
      <c r="G369" s="21" t="str">
        <f>_xlfn.LET(_xlpm.Searching,"59",_xlpm.inStr,IFERROR(FIND(_xlpm.Searching,$A371)&gt;=1,FALSE),IF(AND(_xlpm.inStr,LEN(A371)&lt;=6),$A372,""))&amp;G370&amp;G371</f>
        <v/>
      </c>
      <c r="H369" s="21" t="str">
        <f>_xlfn.LET(_xlpm.Searching,"61",_xlpm.inStr,IFERROR(FIND(_xlpm.Searching,$A371)&gt;=1,FALSE),IF(AND(_xlpm.inStr,LEN(A371)&lt;=6),$A372,""))&amp;H370&amp;H371&amp;H372</f>
        <v>2</v>
      </c>
      <c r="I369" s="21" t="str">
        <f>_xlfn.LET(_xlpm.Searching,"63",_xlpm.inStr,IFERROR(FIND(_xlpm.Searching,$A371)&gt;=1,FALSE),IF(AND(_xlpm.inStr,LEN(A371)&lt;=6),$A372,""))&amp;I370&amp;I371&amp;I372&amp;I373</f>
        <v>2</v>
      </c>
      <c r="J369" s="22">
        <f>MID(TRIM(RIGHT(A369,10)),1,LEN(TRIM(RIGHT(A369,10)))-3)*0.8</f>
        <v>23.92</v>
      </c>
      <c r="K369" s="3"/>
      <c r="L369" s="3"/>
    </row>
    <row r="370" spans="1:12" x14ac:dyDescent="0.25">
      <c r="A370" s="3" t="s">
        <v>168</v>
      </c>
      <c r="B370" s="21" t="str">
        <f>B369</f>
        <v>24985027</v>
      </c>
      <c r="C370" s="21" t="str">
        <f>C369</f>
        <v xml:space="preserve">Traveller Raffia </v>
      </c>
      <c r="D370" s="23"/>
      <c r="E370" s="23"/>
      <c r="F370" s="21" t="str">
        <f>_xlfn.LET(_xlpm.Searching,"57",_xlpm.inStr,IFERROR(FIND(_xlpm.Searching,$A373)&gt;=1,FALSE),IF(AND(_xlpm.inStr,LEN(A373)&lt;=6),$A374,""))</f>
        <v/>
      </c>
      <c r="G370" s="21" t="str">
        <f>_xlfn.LET(_xlpm.Searching,"59",_xlpm.inStr,IFERROR(FIND(_xlpm.Searching,$A373)&gt;=1,FALSE),IF(AND(_xlpm.inStr,LEN(A373)&lt;=6),$A374,""))</f>
        <v/>
      </c>
      <c r="H370" s="21">
        <f>_xlfn.LET(_xlpm.Searching,"61",_xlpm.inStr,IFERROR(FIND(_xlpm.Searching,$A373)&gt;=1,FALSE),IF(AND(_xlpm.inStr,LEN(A373)&lt;=6),$A374,""))</f>
        <v>2</v>
      </c>
      <c r="I370" s="21" t="str">
        <f>_xlfn.LET(_xlpm.Searching,"63",_xlpm.inStr,IFERROR(FIND(_xlpm.Searching,$A373)&gt;=1,FALSE),IF(AND(_xlpm.inStr,LEN(A373)&lt;=6),$A374,""))</f>
        <v/>
      </c>
      <c r="J370" s="22"/>
      <c r="K370" s="3"/>
      <c r="L370" s="3"/>
    </row>
    <row r="371" spans="1:12" x14ac:dyDescent="0.25">
      <c r="A371" s="3" t="s">
        <v>30</v>
      </c>
      <c r="B371" s="21" t="str">
        <f t="shared" ref="B371:C373" si="26">B370</f>
        <v>24985027</v>
      </c>
      <c r="C371" s="21" t="str">
        <f t="shared" si="26"/>
        <v xml:space="preserve">Traveller Raffia </v>
      </c>
      <c r="D371" s="23"/>
      <c r="E371" s="23"/>
      <c r="F371" s="23"/>
      <c r="G371" s="21" t="str">
        <f>_xlfn.LET(_xlpm.Searching,"59",_xlpm.inStr,IFERROR(FIND(_xlpm.Searching,$A375)&gt;=1,FALSE),IF(AND(_xlpm.inStr,LEN(A375)&lt;=6),$A376,""))</f>
        <v/>
      </c>
      <c r="H371" s="21" t="str">
        <f>_xlfn.LET(_xlpm.Searching,"61",_xlpm.inStr,IFERROR(FIND(_xlpm.Searching,$A375)&gt;=1,FALSE),IF(AND(_xlpm.inStr,LEN(A375)&lt;=6),$A376,""))</f>
        <v/>
      </c>
      <c r="I371" s="21">
        <f>_xlfn.LET(_xlpm.Searching,"63",_xlpm.inStr,IFERROR(FIND(_xlpm.Searching,$A375)&gt;=1,FALSE),IF(AND(_xlpm.inStr,LEN(A375)&lt;=6),$A376,""))</f>
        <v>2</v>
      </c>
      <c r="J371" s="22"/>
      <c r="K371" s="3"/>
      <c r="L371" s="3"/>
    </row>
    <row r="372" spans="1:12" x14ac:dyDescent="0.25">
      <c r="A372" s="3">
        <v>2</v>
      </c>
      <c r="B372" s="21" t="str">
        <f t="shared" si="26"/>
        <v>24985027</v>
      </c>
      <c r="C372" s="21" t="str">
        <f t="shared" si="26"/>
        <v xml:space="preserve">Traveller Raffia </v>
      </c>
      <c r="D372" s="23"/>
      <c r="E372" s="23"/>
      <c r="F372" s="23"/>
      <c r="G372" s="23"/>
      <c r="H372" s="21" t="str">
        <f>_xlfn.LET(_xlpm.Searching,"61",_xlpm.inStr,IFERROR(FIND(_xlpm.Searching,$A377)&gt;=1,FALSE),IF(AND(_xlpm.inStr,LEN(A377)&lt;=6),$A378,""))</f>
        <v/>
      </c>
      <c r="I372" s="21" t="str">
        <f>_xlfn.LET(_xlpm.Searching,"63",_xlpm.inStr,IFERROR(FIND(_xlpm.Searching,$A377)&gt;=1,FALSE),IF(AND(_xlpm.inStr,LEN(A377)&lt;=6),$A378,""))</f>
        <v/>
      </c>
      <c r="J372" s="22"/>
      <c r="K372" s="3"/>
      <c r="L372" s="3"/>
    </row>
    <row r="373" spans="1:12" x14ac:dyDescent="0.25">
      <c r="A373" s="3" t="s">
        <v>66</v>
      </c>
      <c r="B373" s="21" t="str">
        <f t="shared" si="26"/>
        <v>24985027</v>
      </c>
      <c r="C373" s="21" t="str">
        <f t="shared" si="26"/>
        <v xml:space="preserve">Traveller Raffia </v>
      </c>
      <c r="D373" s="23"/>
      <c r="E373" s="23"/>
      <c r="F373" s="23"/>
      <c r="G373" s="23"/>
      <c r="H373" s="23"/>
      <c r="I373" s="21" t="str">
        <f>_xlfn.LET(_xlpm.Searching,"63",_xlpm.inStr,IFERROR(FIND(_xlpm.Searching,$A379)&gt;=1,FALSE),IF(AND(_xlpm.inStr,LEN(A379)&lt;=6),$A380,""))</f>
        <v/>
      </c>
      <c r="J373" s="22"/>
      <c r="K373" s="3"/>
      <c r="L373" s="3"/>
    </row>
    <row r="374" spans="1:12" x14ac:dyDescent="0.25">
      <c r="A374" s="3">
        <v>2</v>
      </c>
      <c r="B374" s="3"/>
      <c r="C374" s="3"/>
      <c r="D374" s="3"/>
      <c r="E374" s="3"/>
      <c r="F374" s="3"/>
      <c r="G374" s="3"/>
      <c r="H374" s="3"/>
      <c r="I374" s="3"/>
      <c r="J374" s="4"/>
      <c r="K374" s="3"/>
      <c r="L374" s="3"/>
    </row>
    <row r="375" spans="1:12" x14ac:dyDescent="0.25">
      <c r="A375" s="3" t="s">
        <v>73</v>
      </c>
      <c r="B375" s="3"/>
      <c r="C375" s="3"/>
      <c r="D375" s="3"/>
      <c r="E375" s="3"/>
      <c r="F375" s="3"/>
      <c r="G375" s="3"/>
      <c r="H375" s="3"/>
      <c r="I375" s="3"/>
      <c r="J375" s="4"/>
      <c r="K375" s="3"/>
      <c r="L375" s="3"/>
    </row>
    <row r="376" spans="1:12" x14ac:dyDescent="0.25">
      <c r="A376" s="3">
        <v>2</v>
      </c>
      <c r="B376" s="3"/>
      <c r="C376" s="3"/>
      <c r="D376" s="3"/>
      <c r="E376" s="3"/>
      <c r="F376" s="3"/>
      <c r="G376" s="3"/>
      <c r="H376" s="3"/>
      <c r="I376" s="3"/>
      <c r="J376" s="4"/>
      <c r="K376" s="3"/>
      <c r="L376" s="3"/>
    </row>
    <row r="377" spans="1:12" x14ac:dyDescent="0.25">
      <c r="A377" s="3" t="s">
        <v>169</v>
      </c>
      <c r="B377" s="3"/>
      <c r="C377" s="3"/>
      <c r="D377" s="3"/>
      <c r="E377" s="3"/>
      <c r="F377" s="3"/>
      <c r="G377" s="3"/>
      <c r="H377" s="3"/>
      <c r="I377" s="3"/>
      <c r="J377" s="4"/>
      <c r="K377" s="3"/>
      <c r="L377" s="3"/>
    </row>
    <row r="378" spans="1:12" x14ac:dyDescent="0.25">
      <c r="A378" s="3" t="s">
        <v>170</v>
      </c>
      <c r="B378" s="3"/>
      <c r="C378" s="3"/>
      <c r="D378" s="3"/>
      <c r="E378" s="3"/>
      <c r="F378" s="3"/>
      <c r="G378" s="3"/>
      <c r="H378" s="3"/>
      <c r="I378" s="3"/>
      <c r="J378" s="4"/>
      <c r="K378" s="3"/>
      <c r="L378" s="3"/>
    </row>
    <row r="379" spans="1:12" x14ac:dyDescent="0.25">
      <c r="A379" s="3" t="s">
        <v>171</v>
      </c>
      <c r="B379" s="19" t="s">
        <v>1</v>
      </c>
      <c r="C379" s="19" t="s">
        <v>56</v>
      </c>
      <c r="D379" s="19" t="s">
        <v>0</v>
      </c>
      <c r="E379" s="19">
        <v>55</v>
      </c>
      <c r="F379" s="19">
        <v>57</v>
      </c>
      <c r="G379" s="19">
        <v>59</v>
      </c>
      <c r="H379" s="19">
        <v>61</v>
      </c>
      <c r="I379" s="19">
        <v>63</v>
      </c>
      <c r="J379" s="20" t="s">
        <v>2</v>
      </c>
      <c r="K379" s="3"/>
      <c r="L379" s="3"/>
    </row>
    <row r="380" spans="1:12" x14ac:dyDescent="0.25">
      <c r="A380" s="3" t="s">
        <v>172</v>
      </c>
      <c r="B380" s="21" t="str" cm="1">
        <f t="array" ref="B380">БУКВЫ(MID($A380,3,12))</f>
        <v>36985217</v>
      </c>
      <c r="C380" s="21" t="str">
        <f>MID($A381,1,FIND("Per",A381)-1)</f>
        <v xml:space="preserve">Western Raffia </v>
      </c>
      <c r="D380" s="21" t="str">
        <f>_xlfn.LET(_xlpm.Searching,"OSFA",_xlpm.inStr,IFERROR(FIND(_xlpm.Searching,$A382)&gt;=1,FALSE),IF(AND(_xlpm.inStr,LEN(A382)&lt;=6),A383,""))</f>
        <v/>
      </c>
      <c r="E380" s="21">
        <f>_xlfn.LET(_xlpm.Searching,"55",_xlpm.inStr,IFERROR(FIND(_xlpm.Searching,$A382)&gt;=1,FALSE),IF(AND(_xlpm.inStr,LEN(A382)&lt;=6),A383,""))</f>
        <v>2</v>
      </c>
      <c r="F380" s="21" t="str">
        <f>_xlfn.LET(_xlpm.Searching,"57",_xlpm.inStr,IFERROR(FIND(_xlpm.Searching,$A382)&gt;=1,FALSE),IF(AND(_xlpm.inStr,LEN(A382)&lt;=6),$A383,""))&amp;F381</f>
        <v>6</v>
      </c>
      <c r="G380" s="21" t="str">
        <f>_xlfn.LET(_xlpm.Searching,"59",_xlpm.inStr,IFERROR(FIND(_xlpm.Searching,$A382)&gt;=1,FALSE),IF(AND(_xlpm.inStr,LEN(A382)&lt;=6),$A383,""))&amp;G381&amp;G382</f>
        <v>8</v>
      </c>
      <c r="H380" s="21" t="str">
        <f>_xlfn.LET(_xlpm.Searching,"61",_xlpm.inStr,IFERROR(FIND(_xlpm.Searching,$A382)&gt;=1,FALSE),IF(AND(_xlpm.inStr,LEN(A382)&lt;=6),$A383,""))&amp;H381&amp;H382&amp;H383</f>
        <v>6</v>
      </c>
      <c r="I380" s="21" t="str">
        <f>_xlfn.LET(_xlpm.Searching,"63",_xlpm.inStr,IFERROR(FIND(_xlpm.Searching,$A382)&gt;=1,FALSE),IF(AND(_xlpm.inStr,LEN(A382)&lt;=6),$A383,""))&amp;I381&amp;I382&amp;I383&amp;I384</f>
        <v>3</v>
      </c>
      <c r="J380" s="22">
        <f>MID(TRIM(RIGHT(A380,10)),1,LEN(TRIM(RIGHT(A380,10)))-3)*0.8</f>
        <v>23.92</v>
      </c>
      <c r="K380" s="3"/>
      <c r="L380" s="3"/>
    </row>
    <row r="381" spans="1:12" x14ac:dyDescent="0.25">
      <c r="A381" s="3" t="s">
        <v>173</v>
      </c>
      <c r="B381" s="21" t="str">
        <f>B380</f>
        <v>36985217</v>
      </c>
      <c r="C381" s="21" t="str">
        <f>C380</f>
        <v xml:space="preserve">Western Raffia </v>
      </c>
      <c r="D381" s="23"/>
      <c r="E381" s="23"/>
      <c r="F381" s="21">
        <f>_xlfn.LET(_xlpm.Searching,"57",_xlpm.inStr,IFERROR(FIND(_xlpm.Searching,$A384)&gt;=1,FALSE),IF(AND(_xlpm.inStr,LEN(A384)&lt;=6),$A385,""))</f>
        <v>6</v>
      </c>
      <c r="G381" s="21" t="str">
        <f>_xlfn.LET(_xlpm.Searching,"59",_xlpm.inStr,IFERROR(FIND(_xlpm.Searching,$A384)&gt;=1,FALSE),IF(AND(_xlpm.inStr,LEN(A384)&lt;=6),$A385,""))</f>
        <v/>
      </c>
      <c r="H381" s="21" t="str">
        <f>_xlfn.LET(_xlpm.Searching,"61",_xlpm.inStr,IFERROR(FIND(_xlpm.Searching,$A384)&gt;=1,FALSE),IF(AND(_xlpm.inStr,LEN(A384)&lt;=6),$A385,""))</f>
        <v/>
      </c>
      <c r="I381" s="21" t="str">
        <f>_xlfn.LET(_xlpm.Searching,"63",_xlpm.inStr,IFERROR(FIND(_xlpm.Searching,$A384)&gt;=1,FALSE),IF(AND(_xlpm.inStr,LEN(A384)&lt;=6),$A385,""))</f>
        <v/>
      </c>
      <c r="J381" s="22"/>
      <c r="K381" s="3"/>
      <c r="L381" s="3"/>
    </row>
    <row r="382" spans="1:12" x14ac:dyDescent="0.25">
      <c r="A382" s="3" t="s">
        <v>72</v>
      </c>
      <c r="B382" s="21" t="str">
        <f t="shared" ref="B382:C384" si="27">B381</f>
        <v>36985217</v>
      </c>
      <c r="C382" s="21" t="str">
        <f t="shared" si="27"/>
        <v xml:space="preserve">Western Raffia </v>
      </c>
      <c r="D382" s="23"/>
      <c r="E382" s="23"/>
      <c r="F382" s="23"/>
      <c r="G382" s="21">
        <f>_xlfn.LET(_xlpm.Searching,"59",_xlpm.inStr,IFERROR(FIND(_xlpm.Searching,$A386)&gt;=1,FALSE),IF(AND(_xlpm.inStr,LEN(A386)&lt;=6),$A387,""))</f>
        <v>8</v>
      </c>
      <c r="H382" s="21" t="str">
        <f>_xlfn.LET(_xlpm.Searching,"61",_xlpm.inStr,IFERROR(FIND(_xlpm.Searching,$A386)&gt;=1,FALSE),IF(AND(_xlpm.inStr,LEN(A386)&lt;=6),$A387,""))</f>
        <v/>
      </c>
      <c r="I382" s="21" t="str">
        <f>_xlfn.LET(_xlpm.Searching,"63",_xlpm.inStr,IFERROR(FIND(_xlpm.Searching,$A386)&gt;=1,FALSE),IF(AND(_xlpm.inStr,LEN(A386)&lt;=6),$A387,""))</f>
        <v/>
      </c>
      <c r="J382" s="22"/>
      <c r="K382" s="3"/>
      <c r="L382" s="3"/>
    </row>
    <row r="383" spans="1:12" x14ac:dyDescent="0.25">
      <c r="A383" s="3">
        <v>2</v>
      </c>
      <c r="B383" s="21" t="str">
        <f t="shared" si="27"/>
        <v>36985217</v>
      </c>
      <c r="C383" s="21" t="str">
        <f t="shared" si="27"/>
        <v xml:space="preserve">Western Raffia </v>
      </c>
      <c r="D383" s="23"/>
      <c r="E383" s="23"/>
      <c r="F383" s="23"/>
      <c r="G383" s="23"/>
      <c r="H383" s="21">
        <f>_xlfn.LET(_xlpm.Searching,"61",_xlpm.inStr,IFERROR(FIND(_xlpm.Searching,$A388)&gt;=1,FALSE),IF(AND(_xlpm.inStr,LEN(A388)&lt;=6),$A389,""))</f>
        <v>6</v>
      </c>
      <c r="I383" s="21" t="str">
        <f>_xlfn.LET(_xlpm.Searching,"63",_xlpm.inStr,IFERROR(FIND(_xlpm.Searching,$A388)&gt;=1,FALSE),IF(AND(_xlpm.inStr,LEN(A388)&lt;=6),$A389,""))</f>
        <v/>
      </c>
      <c r="J383" s="22"/>
      <c r="K383" s="3"/>
      <c r="L383" s="3"/>
    </row>
    <row r="384" spans="1:12" x14ac:dyDescent="0.25">
      <c r="A384" s="3" t="s">
        <v>30</v>
      </c>
      <c r="B384" s="21" t="str">
        <f t="shared" si="27"/>
        <v>36985217</v>
      </c>
      <c r="C384" s="21" t="str">
        <f t="shared" si="27"/>
        <v xml:space="preserve">Western Raffia </v>
      </c>
      <c r="D384" s="23"/>
      <c r="E384" s="23"/>
      <c r="F384" s="23"/>
      <c r="G384" s="23"/>
      <c r="H384" s="23"/>
      <c r="I384" s="21">
        <f>_xlfn.LET(_xlpm.Searching,"63",_xlpm.inStr,IFERROR(FIND(_xlpm.Searching,$A390)&gt;=1,FALSE),IF(AND(_xlpm.inStr,LEN(A390)&lt;=6),$A391,""))</f>
        <v>3</v>
      </c>
      <c r="J384" s="22"/>
      <c r="K384" s="3"/>
      <c r="L384" s="3"/>
    </row>
    <row r="385" spans="1:12" x14ac:dyDescent="0.25">
      <c r="A385" s="3">
        <v>6</v>
      </c>
      <c r="B385" s="3"/>
      <c r="C385" s="3"/>
      <c r="D385" s="3"/>
      <c r="E385" s="3"/>
      <c r="F385" s="3"/>
      <c r="G385" s="3"/>
      <c r="H385" s="3"/>
      <c r="I385" s="3"/>
      <c r="J385" s="4"/>
      <c r="K385" s="3"/>
      <c r="L385" s="3"/>
    </row>
    <row r="386" spans="1:12" x14ac:dyDescent="0.25">
      <c r="A386" s="3" t="s">
        <v>29</v>
      </c>
      <c r="B386" s="3"/>
      <c r="C386" s="3"/>
      <c r="D386" s="3"/>
      <c r="E386" s="3"/>
      <c r="F386" s="3"/>
      <c r="G386" s="3"/>
      <c r="H386" s="3"/>
      <c r="I386" s="3"/>
      <c r="J386" s="4"/>
      <c r="K386" s="3"/>
      <c r="L386" s="3"/>
    </row>
    <row r="387" spans="1:12" x14ac:dyDescent="0.25">
      <c r="A387" s="3">
        <v>8</v>
      </c>
      <c r="B387" s="3"/>
      <c r="C387" s="3"/>
      <c r="D387" s="3"/>
      <c r="E387" s="3"/>
      <c r="F387" s="3"/>
      <c r="G387" s="3"/>
      <c r="H387" s="3"/>
      <c r="I387" s="3"/>
      <c r="J387" s="4"/>
      <c r="K387" s="3"/>
      <c r="L387" s="3"/>
    </row>
    <row r="388" spans="1:12" x14ac:dyDescent="0.25">
      <c r="A388" s="3" t="s">
        <v>66</v>
      </c>
      <c r="B388" s="3"/>
      <c r="C388" s="3"/>
      <c r="D388" s="3"/>
      <c r="E388" s="3"/>
      <c r="F388" s="3"/>
      <c r="G388" s="3"/>
      <c r="H388" s="3"/>
      <c r="I388" s="3"/>
      <c r="J388" s="4"/>
      <c r="K388" s="3"/>
      <c r="L388" s="3"/>
    </row>
    <row r="389" spans="1:12" x14ac:dyDescent="0.25">
      <c r="A389" s="3">
        <v>6</v>
      </c>
      <c r="B389" s="3"/>
      <c r="C389" s="3"/>
      <c r="D389" s="3"/>
      <c r="E389" s="3"/>
      <c r="F389" s="3"/>
      <c r="G389" s="3"/>
      <c r="H389" s="3"/>
      <c r="I389" s="3"/>
      <c r="J389" s="4"/>
      <c r="K389" s="3"/>
      <c r="L389" s="3"/>
    </row>
    <row r="390" spans="1:12" x14ac:dyDescent="0.25">
      <c r="A390" s="3" t="s">
        <v>73</v>
      </c>
      <c r="B390" s="3"/>
      <c r="C390" s="3"/>
      <c r="D390" s="3"/>
      <c r="E390" s="3"/>
      <c r="F390" s="3"/>
      <c r="G390" s="3"/>
      <c r="H390" s="3"/>
      <c r="I390" s="3"/>
      <c r="J390" s="4"/>
      <c r="K390" s="3"/>
      <c r="L390" s="3"/>
    </row>
    <row r="391" spans="1:12" x14ac:dyDescent="0.25">
      <c r="A391" s="3">
        <v>3</v>
      </c>
      <c r="B391" s="3"/>
      <c r="C391" s="3"/>
      <c r="D391" s="3"/>
      <c r="E391" s="3"/>
      <c r="F391" s="3"/>
      <c r="G391" s="3"/>
      <c r="H391" s="3"/>
      <c r="I391" s="3"/>
      <c r="J391" s="4"/>
      <c r="K391" s="3"/>
      <c r="L391" s="3"/>
    </row>
    <row r="392" spans="1:12" x14ac:dyDescent="0.25">
      <c r="A392" s="3" t="s">
        <v>174</v>
      </c>
      <c r="B392" s="3"/>
      <c r="C392" s="3"/>
      <c r="D392" s="3"/>
      <c r="E392" s="3"/>
      <c r="F392" s="3"/>
      <c r="G392" s="3"/>
      <c r="H392" s="3"/>
      <c r="I392" s="3"/>
      <c r="J392" s="4"/>
      <c r="K392" s="3"/>
      <c r="L392" s="3"/>
    </row>
    <row r="393" spans="1:12" x14ac:dyDescent="0.25">
      <c r="A393" s="3" t="s">
        <v>175</v>
      </c>
      <c r="B393" s="3"/>
      <c r="C393" s="3"/>
      <c r="D393" s="3"/>
      <c r="E393" s="3"/>
      <c r="F393" s="3"/>
      <c r="G393" s="3"/>
      <c r="H393" s="3"/>
      <c r="I393" s="3"/>
      <c r="J393" s="4"/>
      <c r="K393" s="3"/>
      <c r="L393" s="3"/>
    </row>
    <row r="394" spans="1:12" x14ac:dyDescent="0.25">
      <c r="A394" s="3" t="s">
        <v>176</v>
      </c>
      <c r="B394" s="3"/>
      <c r="C394" s="3"/>
      <c r="D394" s="3"/>
      <c r="E394" s="3"/>
      <c r="F394" s="3"/>
      <c r="G394" s="3"/>
      <c r="H394" s="3"/>
      <c r="I394" s="3"/>
      <c r="J394" s="4"/>
      <c r="K394" s="3"/>
      <c r="L394" s="3"/>
    </row>
    <row r="395" spans="1:12" x14ac:dyDescent="0.25">
      <c r="A395" s="3" t="s">
        <v>17</v>
      </c>
      <c r="B395" s="3"/>
      <c r="C395" s="3"/>
      <c r="D395" s="3"/>
      <c r="E395" s="3"/>
      <c r="F395" s="3"/>
      <c r="G395" s="3"/>
      <c r="H395" s="3"/>
      <c r="I395" s="3"/>
      <c r="J395" s="4"/>
      <c r="K395" s="3"/>
      <c r="L395" s="3"/>
    </row>
    <row r="396" spans="1:12" x14ac:dyDescent="0.25">
      <c r="A396" s="3" t="s">
        <v>31</v>
      </c>
      <c r="B396" s="3"/>
      <c r="C396" s="3"/>
      <c r="D396" s="3"/>
      <c r="E396" s="3"/>
      <c r="F396" s="3"/>
      <c r="G396" s="3"/>
      <c r="H396" s="3"/>
      <c r="I396" s="3"/>
      <c r="J396" s="4"/>
      <c r="K396" s="3"/>
      <c r="L396" s="3"/>
    </row>
    <row r="397" spans="1:12" x14ac:dyDescent="0.25">
      <c r="A397" s="3" t="s">
        <v>32</v>
      </c>
      <c r="B397" s="3"/>
      <c r="C397" s="3"/>
      <c r="D397" s="3"/>
      <c r="E397" s="3"/>
      <c r="F397" s="3"/>
      <c r="G397" s="3"/>
      <c r="H397" s="3"/>
      <c r="I397" s="3"/>
      <c r="J397" s="4"/>
      <c r="K397" s="3"/>
      <c r="L397" s="3"/>
    </row>
    <row r="398" spans="1:12" x14ac:dyDescent="0.25">
      <c r="A398" s="3" t="s">
        <v>33</v>
      </c>
      <c r="B398" s="3"/>
      <c r="C398" s="3"/>
      <c r="D398" s="3"/>
      <c r="E398" s="3"/>
      <c r="F398" s="3"/>
      <c r="G398" s="3"/>
      <c r="H398" s="3"/>
      <c r="I398" s="3"/>
      <c r="J398" s="4"/>
      <c r="K398" s="3"/>
      <c r="L398" s="3"/>
    </row>
    <row r="399" spans="1:12" x14ac:dyDescent="0.25">
      <c r="A399" s="3" t="s">
        <v>34</v>
      </c>
      <c r="B399" s="3"/>
      <c r="C399" s="3"/>
      <c r="D399" s="3"/>
      <c r="E399" s="3"/>
      <c r="F399" s="3"/>
      <c r="G399" s="3"/>
      <c r="H399" s="3"/>
      <c r="I399" s="3"/>
      <c r="J399" s="4"/>
      <c r="K399" s="3"/>
      <c r="L399" s="3"/>
    </row>
    <row r="400" spans="1:12" x14ac:dyDescent="0.25">
      <c r="A400" s="3" t="s">
        <v>35</v>
      </c>
      <c r="B400" s="3"/>
      <c r="C400" s="3"/>
      <c r="D400" s="3"/>
      <c r="E400" s="3"/>
      <c r="F400" s="3"/>
      <c r="G400" s="3"/>
      <c r="H400" s="3"/>
      <c r="I400" s="3"/>
      <c r="J400" s="4"/>
      <c r="K400" s="3"/>
      <c r="L400" s="3"/>
    </row>
    <row r="401" spans="1:12" x14ac:dyDescent="0.25">
      <c r="A401" s="3" t="s">
        <v>36</v>
      </c>
      <c r="B401" s="3"/>
      <c r="C401" s="3"/>
      <c r="D401" s="3"/>
      <c r="E401" s="3"/>
      <c r="F401" s="3"/>
      <c r="G401" s="3"/>
      <c r="H401" s="3"/>
      <c r="I401" s="3"/>
      <c r="J401" s="4"/>
      <c r="K401" s="3"/>
      <c r="L401" s="3"/>
    </row>
    <row r="402" spans="1:12" x14ac:dyDescent="0.25">
      <c r="A402" s="3" t="s">
        <v>37</v>
      </c>
      <c r="B402" s="3"/>
      <c r="C402" s="3"/>
      <c r="D402" s="3"/>
      <c r="E402" s="3"/>
      <c r="F402" s="3"/>
      <c r="G402" s="3"/>
      <c r="H402" s="3"/>
      <c r="I402" s="3"/>
      <c r="J402" s="4"/>
      <c r="K402" s="3"/>
      <c r="L402" s="3"/>
    </row>
    <row r="403" spans="1:12" x14ac:dyDescent="0.25">
      <c r="A403" s="3" t="s">
        <v>38</v>
      </c>
      <c r="B403" s="3"/>
      <c r="C403" s="3"/>
      <c r="D403" s="3"/>
      <c r="E403" s="3"/>
      <c r="F403" s="3"/>
      <c r="G403" s="3"/>
      <c r="H403" s="3"/>
      <c r="I403" s="3"/>
      <c r="J403" s="4"/>
      <c r="K403" s="3"/>
      <c r="L403" s="3"/>
    </row>
    <row r="404" spans="1:12" x14ac:dyDescent="0.25">
      <c r="A404" s="3" t="s">
        <v>39</v>
      </c>
      <c r="B404" s="3"/>
      <c r="C404" s="3"/>
      <c r="D404" s="3"/>
      <c r="E404" s="3"/>
      <c r="F404" s="3"/>
      <c r="G404" s="3"/>
      <c r="H404" s="3"/>
      <c r="I404" s="3"/>
      <c r="J404" s="4"/>
      <c r="K404" s="3"/>
      <c r="L404" s="3"/>
    </row>
    <row r="405" spans="1:12" x14ac:dyDescent="0.25">
      <c r="A405" s="3" t="s">
        <v>40</v>
      </c>
      <c r="B405" s="3"/>
      <c r="C405" s="3"/>
      <c r="D405" s="3"/>
      <c r="E405" s="3"/>
      <c r="F405" s="3"/>
      <c r="G405" s="3"/>
      <c r="H405" s="3"/>
      <c r="I405" s="3"/>
      <c r="J405" s="4"/>
      <c r="K405" s="3"/>
      <c r="L405" s="3"/>
    </row>
    <row r="406" spans="1:12" x14ac:dyDescent="0.25">
      <c r="A406" s="3" t="s">
        <v>41</v>
      </c>
      <c r="B406" s="3"/>
      <c r="C406" s="3"/>
      <c r="D406" s="3"/>
      <c r="E406" s="3"/>
      <c r="F406" s="3"/>
      <c r="G406" s="3"/>
      <c r="H406" s="3"/>
      <c r="I406" s="3"/>
      <c r="J406" s="4"/>
      <c r="K406" s="3"/>
      <c r="L406" s="3"/>
    </row>
    <row r="407" spans="1:12" x14ac:dyDescent="0.25">
      <c r="A407" s="3" t="s">
        <v>42</v>
      </c>
      <c r="B407" s="3"/>
      <c r="C407" s="3"/>
      <c r="D407" s="3"/>
      <c r="E407" s="3"/>
      <c r="F407" s="3"/>
      <c r="G407" s="3"/>
      <c r="H407" s="3"/>
      <c r="I407" s="3"/>
      <c r="J407" s="4"/>
      <c r="K407" s="3"/>
      <c r="L407" s="3"/>
    </row>
    <row r="408" spans="1:12" x14ac:dyDescent="0.25">
      <c r="A408" s="3" t="s">
        <v>43</v>
      </c>
      <c r="B408" s="3"/>
      <c r="C408" s="3"/>
      <c r="D408" s="3"/>
      <c r="E408" s="3"/>
      <c r="F408" s="3"/>
      <c r="G408" s="3"/>
      <c r="H408" s="3"/>
      <c r="I408" s="3"/>
      <c r="J408" s="4"/>
      <c r="K408" s="3"/>
      <c r="L408" s="3"/>
    </row>
    <row r="409" spans="1:12" x14ac:dyDescent="0.25">
      <c r="A409" s="3" t="s">
        <v>44</v>
      </c>
      <c r="B409" s="3"/>
      <c r="C409" s="3"/>
      <c r="D409" s="3"/>
      <c r="E409" s="3"/>
      <c r="F409" s="3"/>
      <c r="G409" s="3"/>
      <c r="H409" s="3"/>
      <c r="I409" s="3"/>
      <c r="J409" s="4"/>
      <c r="K409" s="3"/>
      <c r="L409" s="3"/>
    </row>
    <row r="410" spans="1:12" x14ac:dyDescent="0.25">
      <c r="A410" s="3" t="s">
        <v>57</v>
      </c>
      <c r="B410" s="3"/>
      <c r="C410" s="3"/>
      <c r="D410" s="3"/>
      <c r="E410" s="3"/>
      <c r="F410" s="3"/>
      <c r="G410" s="3"/>
      <c r="H410" s="3"/>
      <c r="I410" s="3"/>
      <c r="J410" s="4"/>
      <c r="K410" s="3"/>
      <c r="L410" s="3"/>
    </row>
    <row r="411" spans="1:12" x14ac:dyDescent="0.25">
      <c r="A411" s="3" t="s">
        <v>78</v>
      </c>
      <c r="B411" s="3"/>
      <c r="C411" s="3"/>
      <c r="D411" s="3"/>
      <c r="E411" s="3"/>
      <c r="F411" s="3"/>
      <c r="G411" s="3"/>
      <c r="H411" s="3"/>
      <c r="I411" s="3"/>
      <c r="J411" s="4"/>
      <c r="K411" s="3"/>
      <c r="L411" s="3"/>
    </row>
    <row r="412" spans="1:12" x14ac:dyDescent="0.25">
      <c r="A412" s="3" t="s">
        <v>177</v>
      </c>
      <c r="B412" s="5"/>
      <c r="C412" s="5"/>
      <c r="D412" s="5"/>
      <c r="E412" s="5"/>
      <c r="F412" s="5"/>
      <c r="G412" s="5"/>
      <c r="H412" s="5"/>
      <c r="I412" s="5"/>
      <c r="J412" s="6"/>
      <c r="K412" s="3"/>
      <c r="L412" s="3"/>
    </row>
    <row r="413" spans="1:12" x14ac:dyDescent="0.25">
      <c r="A413" t="s">
        <v>20</v>
      </c>
      <c r="B413" s="3"/>
      <c r="C413" s="3"/>
      <c r="D413" s="3"/>
      <c r="E413" s="3"/>
      <c r="F413" s="3"/>
      <c r="G413" s="3"/>
      <c r="H413" s="3"/>
      <c r="I413" s="3"/>
      <c r="J413" s="4"/>
      <c r="K413" s="3"/>
      <c r="L413" s="3"/>
    </row>
    <row r="414" spans="1:12" x14ac:dyDescent="0.25">
      <c r="A414" t="s">
        <v>21</v>
      </c>
      <c r="B414" s="3"/>
      <c r="C414" s="3"/>
      <c r="D414" s="3"/>
      <c r="E414" s="3"/>
      <c r="F414" s="3"/>
      <c r="G414" s="3"/>
      <c r="H414" s="3"/>
      <c r="I414" s="3"/>
      <c r="J414" s="4"/>
      <c r="K414" s="3"/>
      <c r="L414" s="3"/>
    </row>
    <row r="415" spans="1:12" x14ac:dyDescent="0.25">
      <c r="A415" t="s">
        <v>22</v>
      </c>
      <c r="B415" s="3"/>
      <c r="C415" s="3"/>
      <c r="D415" s="3"/>
      <c r="E415" s="3"/>
      <c r="F415" s="3"/>
      <c r="G415" s="3"/>
      <c r="H415" s="3"/>
      <c r="I415" s="3"/>
      <c r="J415" s="4"/>
      <c r="K415" s="3"/>
      <c r="L415" s="3"/>
    </row>
    <row r="416" spans="1:12" x14ac:dyDescent="0.25">
      <c r="A416" t="s">
        <v>23</v>
      </c>
      <c r="B416" s="3"/>
      <c r="C416" s="3"/>
      <c r="D416" s="3"/>
      <c r="E416" s="3"/>
      <c r="F416" s="3"/>
      <c r="G416" s="3"/>
      <c r="H416" s="3"/>
      <c r="I416" s="3"/>
      <c r="J416" s="4"/>
      <c r="K416" s="3"/>
      <c r="L416" s="3"/>
    </row>
    <row r="417" spans="1:12" x14ac:dyDescent="0.25">
      <c r="A417" t="s">
        <v>24</v>
      </c>
      <c r="B417" s="3"/>
      <c r="C417" s="3"/>
      <c r="D417" s="3"/>
      <c r="E417" s="3"/>
      <c r="F417" s="3"/>
      <c r="G417" s="3"/>
      <c r="H417" s="3"/>
      <c r="I417" s="3"/>
      <c r="J417" s="4"/>
      <c r="K417" s="3"/>
      <c r="L417" s="3"/>
    </row>
    <row r="418" spans="1:12" x14ac:dyDescent="0.25">
      <c r="A418" t="s">
        <v>25</v>
      </c>
      <c r="B418" s="3"/>
      <c r="C418" s="3"/>
      <c r="D418" s="3"/>
      <c r="E418" s="3"/>
      <c r="F418" s="3"/>
      <c r="G418" s="3"/>
      <c r="H418" s="3"/>
      <c r="I418" s="3"/>
      <c r="J418" s="4"/>
      <c r="K418" s="3"/>
      <c r="L418" s="3"/>
    </row>
    <row r="419" spans="1:12" x14ac:dyDescent="0.25">
      <c r="A419" t="s">
        <v>26</v>
      </c>
      <c r="B419" s="19" t="s">
        <v>1</v>
      </c>
      <c r="C419" s="19" t="s">
        <v>56</v>
      </c>
      <c r="D419" s="19" t="s">
        <v>0</v>
      </c>
      <c r="E419" s="19">
        <v>55</v>
      </c>
      <c r="F419" s="19">
        <v>57</v>
      </c>
      <c r="G419" s="19">
        <v>59</v>
      </c>
      <c r="H419" s="19">
        <v>61</v>
      </c>
      <c r="I419" s="19">
        <v>63</v>
      </c>
      <c r="J419" s="20" t="s">
        <v>2</v>
      </c>
      <c r="K419" s="3"/>
      <c r="L419" s="3"/>
    </row>
    <row r="420" spans="1:12" x14ac:dyDescent="0.25">
      <c r="A420" t="s">
        <v>178</v>
      </c>
      <c r="B420" s="21" t="str" cm="1">
        <f t="array" ref="B420">БУКВЫ(MID($A420,3,12))</f>
        <v>621390399</v>
      </c>
      <c r="C420" s="21" t="str">
        <f>MID($A421,1,FIND("Per",A421)-1)</f>
        <v xml:space="preserve">Kent Linen </v>
      </c>
      <c r="D420" s="21" t="str">
        <f>_xlfn.LET(_xlpm.Searching,"OSFA",_xlpm.inStr,IFERROR(FIND(_xlpm.Searching,$A422)&gt;=1,FALSE),IF(AND(_xlpm.inStr,LEN(A422)&lt;=6),A423,""))</f>
        <v/>
      </c>
      <c r="E420" s="21" t="str">
        <f>_xlfn.LET(_xlpm.Searching,"55",_xlpm.inStr,IFERROR(FIND(_xlpm.Searching,$A422)&gt;=1,FALSE),IF(AND(_xlpm.inStr,LEN(A422)&lt;=6),A423,""))</f>
        <v/>
      </c>
      <c r="F420" s="21" t="str">
        <f>_xlfn.LET(_xlpm.Searching,"57",_xlpm.inStr,IFERROR(FIND(_xlpm.Searching,$A422)&gt;=1,FALSE),IF(AND(_xlpm.inStr,LEN(A422)&lt;=6),$A423,""))&amp;F421</f>
        <v>2</v>
      </c>
      <c r="G420" s="21" t="str">
        <f>_xlfn.LET(_xlpm.Searching,"59",_xlpm.inStr,IFERROR(FIND(_xlpm.Searching,$A422)&gt;=1,FALSE),IF(AND(_xlpm.inStr,LEN(A422)&lt;=6),$A423,""))&amp;G421&amp;G422</f>
        <v>4</v>
      </c>
      <c r="H420" s="21" t="str">
        <f>_xlfn.LET(_xlpm.Searching,"61",_xlpm.inStr,IFERROR(FIND(_xlpm.Searching,$A422)&gt;=1,FALSE),IF(AND(_xlpm.inStr,LEN(A422)&lt;=6),$A423,""))&amp;H421&amp;H422&amp;H423</f>
        <v/>
      </c>
      <c r="I420" s="21" t="str">
        <f>_xlfn.LET(_xlpm.Searching,"63",_xlpm.inStr,IFERROR(FIND(_xlpm.Searching,$A422)&gt;=1,FALSE),IF(AND(_xlpm.inStr,LEN(A422)&lt;=6),$A423,""))&amp;I421&amp;I422&amp;I423&amp;I424</f>
        <v/>
      </c>
      <c r="J420" s="22">
        <f>MID(TRIM(RIGHT(A420,10)),1,LEN(TRIM(RIGHT(A420,10)))-3)*0.8</f>
        <v>30.32</v>
      </c>
      <c r="K420" s="3"/>
      <c r="L420" s="3"/>
    </row>
    <row r="421" spans="1:12" x14ac:dyDescent="0.25">
      <c r="A421" t="s">
        <v>179</v>
      </c>
      <c r="B421" s="21" t="str">
        <f>B420</f>
        <v>621390399</v>
      </c>
      <c r="C421" s="21" t="str">
        <f>C420</f>
        <v xml:space="preserve">Kent Linen </v>
      </c>
      <c r="D421" s="23"/>
      <c r="E421" s="23"/>
      <c r="F421" s="21" t="str">
        <f>_xlfn.LET(_xlpm.Searching,"57",_xlpm.inStr,IFERROR(FIND(_xlpm.Searching,$A424)&gt;=1,FALSE),IF(AND(_xlpm.inStr,LEN(A424)&lt;=6),$A425,""))</f>
        <v/>
      </c>
      <c r="G421" s="21">
        <f>_xlfn.LET(_xlpm.Searching,"59",_xlpm.inStr,IFERROR(FIND(_xlpm.Searching,$A424)&gt;=1,FALSE),IF(AND(_xlpm.inStr,LEN(A424)&lt;=6),$A425,""))</f>
        <v>4</v>
      </c>
      <c r="H421" s="21" t="str">
        <f>_xlfn.LET(_xlpm.Searching,"61",_xlpm.inStr,IFERROR(FIND(_xlpm.Searching,$A424)&gt;=1,FALSE),IF(AND(_xlpm.inStr,LEN(A424)&lt;=6),$A425,""))</f>
        <v/>
      </c>
      <c r="I421" s="21" t="str">
        <f>_xlfn.LET(_xlpm.Searching,"63",_xlpm.inStr,IFERROR(FIND(_xlpm.Searching,$A424)&gt;=1,FALSE),IF(AND(_xlpm.inStr,LEN(A424)&lt;=6),$A425,""))</f>
        <v/>
      </c>
      <c r="J421" s="22"/>
      <c r="K421" s="3"/>
      <c r="L421" s="3"/>
    </row>
    <row r="422" spans="1:12" x14ac:dyDescent="0.25">
      <c r="A422" t="s">
        <v>30</v>
      </c>
      <c r="B422" s="21" t="str">
        <f t="shared" ref="B422:C424" si="28">B421</f>
        <v>621390399</v>
      </c>
      <c r="C422" s="21" t="str">
        <f t="shared" si="28"/>
        <v xml:space="preserve">Kent Linen </v>
      </c>
      <c r="D422" s="23"/>
      <c r="E422" s="23"/>
      <c r="F422" s="23"/>
      <c r="G422" s="21" t="str">
        <f>_xlfn.LET(_xlpm.Searching,"59",_xlpm.inStr,IFERROR(FIND(_xlpm.Searching,$A426)&gt;=1,FALSE),IF(AND(_xlpm.inStr,LEN(A426)&lt;=6),$A427,""))</f>
        <v/>
      </c>
      <c r="H422" s="21" t="str">
        <f>_xlfn.LET(_xlpm.Searching,"61",_xlpm.inStr,IFERROR(FIND(_xlpm.Searching,$A426)&gt;=1,FALSE),IF(AND(_xlpm.inStr,LEN(A426)&lt;=6),$A427,""))</f>
        <v/>
      </c>
      <c r="I422" s="21" t="str">
        <f>_xlfn.LET(_xlpm.Searching,"63",_xlpm.inStr,IFERROR(FIND(_xlpm.Searching,$A426)&gt;=1,FALSE),IF(AND(_xlpm.inStr,LEN(A426)&lt;=6),$A427,""))</f>
        <v/>
      </c>
      <c r="J422" s="22"/>
      <c r="K422" s="3"/>
      <c r="L422" s="3"/>
    </row>
    <row r="423" spans="1:12" x14ac:dyDescent="0.25">
      <c r="A423">
        <v>2</v>
      </c>
      <c r="B423" s="21" t="str">
        <f t="shared" si="28"/>
        <v>621390399</v>
      </c>
      <c r="C423" s="21" t="str">
        <f t="shared" si="28"/>
        <v xml:space="preserve">Kent Linen </v>
      </c>
      <c r="D423" s="23"/>
      <c r="E423" s="23"/>
      <c r="F423" s="23"/>
      <c r="G423" s="23"/>
      <c r="H423" s="21" t="str">
        <f>_xlfn.LET(_xlpm.Searching,"61",_xlpm.inStr,IFERROR(FIND(_xlpm.Searching,$A428)&gt;=1,FALSE),IF(AND(_xlpm.inStr,LEN(A428)&lt;=6),$A429,""))</f>
        <v/>
      </c>
      <c r="I423" s="21" t="str">
        <f>_xlfn.LET(_xlpm.Searching,"63",_xlpm.inStr,IFERROR(FIND(_xlpm.Searching,$A428)&gt;=1,FALSE),IF(AND(_xlpm.inStr,LEN(A428)&lt;=6),$A429,""))</f>
        <v/>
      </c>
      <c r="J423" s="22"/>
      <c r="K423" s="3"/>
      <c r="L423" s="3"/>
    </row>
    <row r="424" spans="1:12" x14ac:dyDescent="0.25">
      <c r="A424" t="s">
        <v>29</v>
      </c>
      <c r="B424" s="21" t="str">
        <f t="shared" si="28"/>
        <v>621390399</v>
      </c>
      <c r="C424" s="21" t="str">
        <f t="shared" si="28"/>
        <v xml:space="preserve">Kent Linen </v>
      </c>
      <c r="D424" s="23"/>
      <c r="E424" s="23"/>
      <c r="F424" s="23"/>
      <c r="G424" s="23"/>
      <c r="H424" s="23"/>
      <c r="I424" s="21" t="str">
        <f>_xlfn.LET(_xlpm.Searching,"63",_xlpm.inStr,IFERROR(FIND(_xlpm.Searching,$A430)&gt;=1,FALSE),IF(AND(_xlpm.inStr,LEN(A430)&lt;=6),$A431,""))</f>
        <v/>
      </c>
      <c r="J424" s="22"/>
      <c r="K424" s="3"/>
      <c r="L424" s="3"/>
    </row>
    <row r="425" spans="1:12" x14ac:dyDescent="0.25">
      <c r="A425">
        <v>4</v>
      </c>
      <c r="B425" s="3"/>
      <c r="C425" s="3"/>
      <c r="D425" s="3"/>
      <c r="E425" s="3"/>
      <c r="F425" s="3"/>
      <c r="G425" s="3"/>
      <c r="H425" s="3"/>
      <c r="I425" s="3"/>
      <c r="J425" s="4"/>
      <c r="K425" s="3"/>
      <c r="L425" s="3"/>
    </row>
    <row r="426" spans="1:12" x14ac:dyDescent="0.25">
      <c r="A426" t="s">
        <v>180</v>
      </c>
      <c r="B426" s="5"/>
      <c r="C426" s="5"/>
      <c r="D426" s="5"/>
      <c r="E426" s="5"/>
      <c r="F426" s="5"/>
      <c r="G426" s="5"/>
      <c r="H426" s="5"/>
      <c r="I426" s="5"/>
      <c r="J426" s="6"/>
      <c r="K426" s="3"/>
      <c r="L426" s="3"/>
    </row>
    <row r="427" spans="1:12" x14ac:dyDescent="0.25">
      <c r="A427" t="s">
        <v>152</v>
      </c>
      <c r="B427" s="3"/>
      <c r="C427" s="3"/>
      <c r="D427" s="3"/>
      <c r="E427" s="3"/>
      <c r="F427" s="3"/>
      <c r="G427" s="3"/>
      <c r="H427" s="3"/>
      <c r="I427" s="3"/>
      <c r="J427" s="4"/>
      <c r="K427" s="3"/>
      <c r="L427" s="3"/>
    </row>
    <row r="428" spans="1:12" x14ac:dyDescent="0.25">
      <c r="A428" t="s">
        <v>153</v>
      </c>
      <c r="B428" s="19" t="s">
        <v>1</v>
      </c>
      <c r="C428" s="19" t="s">
        <v>56</v>
      </c>
      <c r="D428" s="19" t="s">
        <v>0</v>
      </c>
      <c r="E428" s="19">
        <v>55</v>
      </c>
      <c r="F428" s="19">
        <v>57</v>
      </c>
      <c r="G428" s="19">
        <v>59</v>
      </c>
      <c r="H428" s="19">
        <v>61</v>
      </c>
      <c r="I428" s="19">
        <v>63</v>
      </c>
      <c r="J428" s="20" t="s">
        <v>2</v>
      </c>
      <c r="K428" s="3"/>
      <c r="L428" s="3"/>
    </row>
    <row r="429" spans="1:12" x14ac:dyDescent="0.25">
      <c r="A429" t="s">
        <v>181</v>
      </c>
      <c r="B429" s="21" t="str" cm="1">
        <f t="array" ref="B429">БУКВЫ(MID($A429,3,12))</f>
        <v>661191299</v>
      </c>
      <c r="C429" s="21" t="str">
        <f>MID($A430,1,FIND("Per",A430)-1)</f>
        <v xml:space="preserve">Texas Cotton </v>
      </c>
      <c r="D429" s="21" t="str">
        <f>_xlfn.LET(_xlpm.Searching,"OSFA",_xlpm.inStr,IFERROR(FIND(_xlpm.Searching,$A431)&gt;=1,FALSE),IF(AND(_xlpm.inStr,LEN(A431)&lt;=6),A432,""))</f>
        <v/>
      </c>
      <c r="E429" s="21" t="str">
        <f>_xlfn.LET(_xlpm.Searching,"55",_xlpm.inStr,IFERROR(FIND(_xlpm.Searching,$A431)&gt;=1,FALSE),IF(AND(_xlpm.inStr,LEN(A431)&lt;=6),A432,""))</f>
        <v/>
      </c>
      <c r="F429" s="21" t="str">
        <f>_xlfn.LET(_xlpm.Searching,"57",_xlpm.inStr,IFERROR(FIND(_xlpm.Searching,$A431)&gt;=1,FALSE),IF(AND(_xlpm.inStr,LEN(A431)&lt;=6),$A432,""))&amp;F430</f>
        <v>2</v>
      </c>
      <c r="G429" s="21" t="str">
        <f>_xlfn.LET(_xlpm.Searching,"59",_xlpm.inStr,IFERROR(FIND(_xlpm.Searching,$A431)&gt;=1,FALSE),IF(AND(_xlpm.inStr,LEN(A431)&lt;=6),$A432,""))&amp;G430&amp;G431</f>
        <v>4</v>
      </c>
      <c r="H429" s="21" t="str">
        <f>_xlfn.LET(_xlpm.Searching,"61",_xlpm.inStr,IFERROR(FIND(_xlpm.Searching,$A431)&gt;=1,FALSE),IF(AND(_xlpm.inStr,LEN(A431)&lt;=6),$A432,""))&amp;H430&amp;H431&amp;H432</f>
        <v/>
      </c>
      <c r="I429" s="21" t="str">
        <f>_xlfn.LET(_xlpm.Searching,"63",_xlpm.inStr,IFERROR(FIND(_xlpm.Searching,$A431)&gt;=1,FALSE),IF(AND(_xlpm.inStr,LEN(A431)&lt;=6),$A432,""))&amp;I430&amp;I431&amp;I432&amp;I433</f>
        <v/>
      </c>
      <c r="J429" s="22">
        <f>MID(TRIM(RIGHT(A429,10)),1,LEN(TRIM(RIGHT(A429,10)))-3)*0.8</f>
        <v>21.52</v>
      </c>
      <c r="K429" s="3"/>
      <c r="L429" s="3"/>
    </row>
    <row r="430" spans="1:12" x14ac:dyDescent="0.25">
      <c r="A430" t="s">
        <v>45</v>
      </c>
      <c r="B430" s="21" t="str">
        <f>B429</f>
        <v>661191299</v>
      </c>
      <c r="C430" s="21" t="str">
        <f>C429</f>
        <v xml:space="preserve">Texas Cotton </v>
      </c>
      <c r="D430" s="23"/>
      <c r="E430" s="23"/>
      <c r="F430" s="21" t="str">
        <f>_xlfn.LET(_xlpm.Searching,"57",_xlpm.inStr,IFERROR(FIND(_xlpm.Searching,$A433)&gt;=1,FALSE),IF(AND(_xlpm.inStr,LEN(A433)&lt;=6),$A434,""))</f>
        <v/>
      </c>
      <c r="G430" s="21">
        <f>_xlfn.LET(_xlpm.Searching,"59",_xlpm.inStr,IFERROR(FIND(_xlpm.Searching,$A433)&gt;=1,FALSE),IF(AND(_xlpm.inStr,LEN(A433)&lt;=6),$A434,""))</f>
        <v>4</v>
      </c>
      <c r="H430" s="21" t="str">
        <f>_xlfn.LET(_xlpm.Searching,"61",_xlpm.inStr,IFERROR(FIND(_xlpm.Searching,$A433)&gt;=1,FALSE),IF(AND(_xlpm.inStr,LEN(A433)&lt;=6),$A434,""))</f>
        <v/>
      </c>
      <c r="I430" s="21" t="str">
        <f>_xlfn.LET(_xlpm.Searching,"63",_xlpm.inStr,IFERROR(FIND(_xlpm.Searching,$A433)&gt;=1,FALSE),IF(AND(_xlpm.inStr,LEN(A433)&lt;=6),$A434,""))</f>
        <v/>
      </c>
      <c r="J430" s="22"/>
      <c r="K430" s="3"/>
      <c r="L430" s="3"/>
    </row>
    <row r="431" spans="1:12" x14ac:dyDescent="0.25">
      <c r="A431" t="s">
        <v>30</v>
      </c>
      <c r="B431" s="21" t="str">
        <f t="shared" ref="B431:C433" si="29">B430</f>
        <v>661191299</v>
      </c>
      <c r="C431" s="21" t="str">
        <f t="shared" si="29"/>
        <v xml:space="preserve">Texas Cotton </v>
      </c>
      <c r="D431" s="23"/>
      <c r="E431" s="23"/>
      <c r="F431" s="23"/>
      <c r="G431" s="21" t="str">
        <f>_xlfn.LET(_xlpm.Searching,"59",_xlpm.inStr,IFERROR(FIND(_xlpm.Searching,$A435)&gt;=1,FALSE),IF(AND(_xlpm.inStr,LEN(A435)&lt;=6),$A436,""))</f>
        <v/>
      </c>
      <c r="H431" s="21" t="str">
        <f>_xlfn.LET(_xlpm.Searching,"61",_xlpm.inStr,IFERROR(FIND(_xlpm.Searching,$A435)&gt;=1,FALSE),IF(AND(_xlpm.inStr,LEN(A435)&lt;=6),$A436,""))</f>
        <v/>
      </c>
      <c r="I431" s="21" t="str">
        <f>_xlfn.LET(_xlpm.Searching,"63",_xlpm.inStr,IFERROR(FIND(_xlpm.Searching,$A435)&gt;=1,FALSE),IF(AND(_xlpm.inStr,LEN(A435)&lt;=6),$A436,""))</f>
        <v/>
      </c>
      <c r="J431" s="22"/>
      <c r="K431" s="3"/>
      <c r="L431" s="3"/>
    </row>
    <row r="432" spans="1:12" x14ac:dyDescent="0.25">
      <c r="A432">
        <v>2</v>
      </c>
      <c r="B432" s="21" t="str">
        <f t="shared" si="29"/>
        <v>661191299</v>
      </c>
      <c r="C432" s="21" t="str">
        <f t="shared" si="29"/>
        <v xml:space="preserve">Texas Cotton </v>
      </c>
      <c r="D432" s="23"/>
      <c r="E432" s="23"/>
      <c r="F432" s="23"/>
      <c r="G432" s="23"/>
      <c r="H432" s="21" t="str">
        <f>_xlfn.LET(_xlpm.Searching,"61",_xlpm.inStr,IFERROR(FIND(_xlpm.Searching,$A437)&gt;=1,FALSE),IF(AND(_xlpm.inStr,LEN(A437)&lt;=6),$A438,""))</f>
        <v/>
      </c>
      <c r="I432" s="21" t="str">
        <f>_xlfn.LET(_xlpm.Searching,"63",_xlpm.inStr,IFERROR(FIND(_xlpm.Searching,$A437)&gt;=1,FALSE),IF(AND(_xlpm.inStr,LEN(A437)&lt;=6),$A438,""))</f>
        <v/>
      </c>
      <c r="J432" s="22"/>
      <c r="K432" s="3"/>
      <c r="L432" s="3"/>
    </row>
    <row r="433" spans="1:12" x14ac:dyDescent="0.25">
      <c r="A433" t="s">
        <v>29</v>
      </c>
      <c r="B433" s="21" t="str">
        <f t="shared" si="29"/>
        <v>661191299</v>
      </c>
      <c r="C433" s="21" t="str">
        <f t="shared" si="29"/>
        <v xml:space="preserve">Texas Cotton </v>
      </c>
      <c r="D433" s="23"/>
      <c r="E433" s="23"/>
      <c r="F433" s="23"/>
      <c r="G433" s="23"/>
      <c r="H433" s="23"/>
      <c r="I433" s="21" t="str">
        <f>_xlfn.LET(_xlpm.Searching,"63",_xlpm.inStr,IFERROR(FIND(_xlpm.Searching,$A439)&gt;=1,FALSE),IF(AND(_xlpm.inStr,LEN(A439)&lt;=6),$A440,""))</f>
        <v/>
      </c>
      <c r="J433" s="22"/>
      <c r="K433" s="3"/>
      <c r="L433" s="3"/>
    </row>
    <row r="434" spans="1:12" x14ac:dyDescent="0.25">
      <c r="A434">
        <v>4</v>
      </c>
      <c r="B434" s="3"/>
      <c r="C434" s="3"/>
      <c r="D434" s="3"/>
      <c r="E434" s="3"/>
      <c r="F434" s="3"/>
      <c r="G434" s="3"/>
      <c r="H434" s="3"/>
      <c r="I434" s="3"/>
      <c r="J434" s="4"/>
      <c r="K434" s="3"/>
      <c r="L434" s="3"/>
    </row>
    <row r="435" spans="1:12" x14ac:dyDescent="0.25">
      <c r="A435" t="s">
        <v>182</v>
      </c>
      <c r="B435" s="3"/>
      <c r="C435" s="3"/>
      <c r="D435" s="3"/>
      <c r="E435" s="3"/>
      <c r="F435" s="3"/>
      <c r="G435" s="3"/>
      <c r="H435" s="3"/>
      <c r="I435" s="3"/>
      <c r="J435" s="4"/>
      <c r="K435" s="3"/>
      <c r="L435" s="3"/>
    </row>
    <row r="436" spans="1:12" x14ac:dyDescent="0.25">
      <c r="A436" t="s">
        <v>183</v>
      </c>
      <c r="B436" s="3"/>
      <c r="C436" s="3"/>
      <c r="D436" s="3"/>
      <c r="E436" s="3"/>
      <c r="F436" s="3"/>
      <c r="G436" s="3"/>
      <c r="H436" s="3"/>
      <c r="I436" s="3"/>
      <c r="J436" s="4"/>
      <c r="K436" s="3"/>
      <c r="L436" s="3"/>
    </row>
    <row r="437" spans="1:12" x14ac:dyDescent="0.25">
      <c r="A437" t="s">
        <v>184</v>
      </c>
      <c r="B437" s="19" t="s">
        <v>1</v>
      </c>
      <c r="C437" s="19" t="s">
        <v>56</v>
      </c>
      <c r="D437" s="19" t="s">
        <v>0</v>
      </c>
      <c r="E437" s="19">
        <v>55</v>
      </c>
      <c r="F437" s="19">
        <v>57</v>
      </c>
      <c r="G437" s="19">
        <v>59</v>
      </c>
      <c r="H437" s="19">
        <v>61</v>
      </c>
      <c r="I437" s="19">
        <v>63</v>
      </c>
      <c r="J437" s="20" t="s">
        <v>2</v>
      </c>
      <c r="K437" s="3"/>
      <c r="L437" s="3"/>
    </row>
    <row r="438" spans="1:12" x14ac:dyDescent="0.25">
      <c r="A438" t="s">
        <v>185</v>
      </c>
      <c r="B438" s="21" t="str" cm="1">
        <f t="array" ref="B438">БУКВЫ(MID($A438,3,12))</f>
        <v>77811221</v>
      </c>
      <c r="C438" s="21" t="str">
        <f>MID($A439,1,FIND("Per",A439)-1)</f>
        <v xml:space="preserve">Baseball Cap Diamond </v>
      </c>
      <c r="D438" s="21">
        <f>_xlfn.LET(_xlpm.Searching,"OSFA",_xlpm.inStr,IFERROR(FIND(_xlpm.Searching,$A440)&gt;=1,FALSE),IF(AND(_xlpm.inStr,LEN(A440)&lt;=6),A441,""))</f>
        <v>6</v>
      </c>
      <c r="E438" s="21" t="str">
        <f>_xlfn.LET(_xlpm.Searching,"55",_xlpm.inStr,IFERROR(FIND(_xlpm.Searching,$A440)&gt;=1,FALSE),IF(AND(_xlpm.inStr,LEN(A440)&lt;=6),A441,""))</f>
        <v/>
      </c>
      <c r="F438" s="21" t="str">
        <f>_xlfn.LET(_xlpm.Searching,"57",_xlpm.inStr,IFERROR(FIND(_xlpm.Searching,$A440)&gt;=1,FALSE),IF(AND(_xlpm.inStr,LEN(A440)&lt;=6),$A441,""))&amp;F439</f>
        <v/>
      </c>
      <c r="G438" s="21" t="str">
        <f>_xlfn.LET(_xlpm.Searching,"59",_xlpm.inStr,IFERROR(FIND(_xlpm.Searching,$A440)&gt;=1,FALSE),IF(AND(_xlpm.inStr,LEN(A440)&lt;=6),$A441,""))&amp;G439&amp;G440</f>
        <v/>
      </c>
      <c r="H438" s="21" t="str">
        <f>_xlfn.LET(_xlpm.Searching,"61",_xlpm.inStr,IFERROR(FIND(_xlpm.Searching,$A440)&gt;=1,FALSE),IF(AND(_xlpm.inStr,LEN(A440)&lt;=6),$A441,""))&amp;H439&amp;H440&amp;H441</f>
        <v/>
      </c>
      <c r="I438" s="21" t="str">
        <f>_xlfn.LET(_xlpm.Searching,"63",_xlpm.inStr,IFERROR(FIND(_xlpm.Searching,$A440)&gt;=1,FALSE),IF(AND(_xlpm.inStr,LEN(A440)&lt;=6),$A441,""))&amp;I439&amp;I440&amp;I441&amp;I442</f>
        <v/>
      </c>
      <c r="J438" s="22">
        <f>MID(TRIM(RIGHT(A438,10)),1,LEN(TRIM(RIGHT(A438,10)))-3)*0.8</f>
        <v>11.920000000000002</v>
      </c>
      <c r="K438" s="3"/>
      <c r="L438" s="3"/>
    </row>
    <row r="439" spans="1:12" x14ac:dyDescent="0.25">
      <c r="A439" t="s">
        <v>186</v>
      </c>
      <c r="B439" s="21" t="str">
        <f>B438</f>
        <v>77811221</v>
      </c>
      <c r="C439" s="21" t="str">
        <f>C438</f>
        <v xml:space="preserve">Baseball Cap Diamond </v>
      </c>
      <c r="D439" s="23"/>
      <c r="E439" s="23"/>
      <c r="F439" s="21" t="str">
        <f>_xlfn.LET(_xlpm.Searching,"57",_xlpm.inStr,IFERROR(FIND(_xlpm.Searching,$A442)&gt;=1,FALSE),IF(AND(_xlpm.inStr,LEN(A442)&lt;=6),$A443,""))</f>
        <v/>
      </c>
      <c r="G439" s="21" t="str">
        <f>_xlfn.LET(_xlpm.Searching,"59",_xlpm.inStr,IFERROR(FIND(_xlpm.Searching,$A442)&gt;=1,FALSE),IF(AND(_xlpm.inStr,LEN(A442)&lt;=6),$A443,""))</f>
        <v/>
      </c>
      <c r="H439" s="21" t="str">
        <f>_xlfn.LET(_xlpm.Searching,"61",_xlpm.inStr,IFERROR(FIND(_xlpm.Searching,$A442)&gt;=1,FALSE),IF(AND(_xlpm.inStr,LEN(A442)&lt;=6),$A443,""))</f>
        <v/>
      </c>
      <c r="I439" s="21" t="str">
        <f>_xlfn.LET(_xlpm.Searching,"63",_xlpm.inStr,IFERROR(FIND(_xlpm.Searching,$A442)&gt;=1,FALSE),IF(AND(_xlpm.inStr,LEN(A442)&lt;=6),$A443,""))</f>
        <v/>
      </c>
      <c r="J439" s="22"/>
      <c r="K439" s="3"/>
      <c r="L439" s="3"/>
    </row>
    <row r="440" spans="1:12" x14ac:dyDescent="0.25">
      <c r="A440" t="s">
        <v>0</v>
      </c>
      <c r="B440" s="21" t="str">
        <f t="shared" ref="B440:C442" si="30">B439</f>
        <v>77811221</v>
      </c>
      <c r="C440" s="21" t="str">
        <f t="shared" si="30"/>
        <v xml:space="preserve">Baseball Cap Diamond </v>
      </c>
      <c r="D440" s="23"/>
      <c r="E440" s="23"/>
      <c r="F440" s="23"/>
      <c r="G440" s="21" t="str">
        <f>_xlfn.LET(_xlpm.Searching,"59",_xlpm.inStr,IFERROR(FIND(_xlpm.Searching,$A444)&gt;=1,FALSE),IF(AND(_xlpm.inStr,LEN(A444)&lt;=6),$A445,""))</f>
        <v/>
      </c>
      <c r="H440" s="21" t="str">
        <f>_xlfn.LET(_xlpm.Searching,"61",_xlpm.inStr,IFERROR(FIND(_xlpm.Searching,$A444)&gt;=1,FALSE),IF(AND(_xlpm.inStr,LEN(A444)&lt;=6),$A445,""))</f>
        <v/>
      </c>
      <c r="I440" s="21" t="str">
        <f>_xlfn.LET(_xlpm.Searching,"63",_xlpm.inStr,IFERROR(FIND(_xlpm.Searching,$A444)&gt;=1,FALSE),IF(AND(_xlpm.inStr,LEN(A444)&lt;=6),$A445,""))</f>
        <v/>
      </c>
      <c r="J440" s="22"/>
      <c r="K440" s="3"/>
      <c r="L440" s="3"/>
    </row>
    <row r="441" spans="1:12" x14ac:dyDescent="0.25">
      <c r="A441">
        <v>6</v>
      </c>
      <c r="B441" s="21" t="str">
        <f t="shared" si="30"/>
        <v>77811221</v>
      </c>
      <c r="C441" s="21" t="str">
        <f t="shared" si="30"/>
        <v xml:space="preserve">Baseball Cap Diamond </v>
      </c>
      <c r="D441" s="23"/>
      <c r="E441" s="23"/>
      <c r="F441" s="23"/>
      <c r="G441" s="23"/>
      <c r="H441" s="21" t="str">
        <f>_xlfn.LET(_xlpm.Searching,"61",_xlpm.inStr,IFERROR(FIND(_xlpm.Searching,$A446)&gt;=1,FALSE),IF(AND(_xlpm.inStr,LEN(A446)&lt;=6),$A447,""))</f>
        <v/>
      </c>
      <c r="I441" s="21" t="str">
        <f>_xlfn.LET(_xlpm.Searching,"63",_xlpm.inStr,IFERROR(FIND(_xlpm.Searching,$A446)&gt;=1,FALSE),IF(AND(_xlpm.inStr,LEN(A446)&lt;=6),$A447,""))</f>
        <v/>
      </c>
      <c r="J441" s="22"/>
      <c r="K441" s="3"/>
      <c r="L441" s="3"/>
    </row>
    <row r="442" spans="1:12" x14ac:dyDescent="0.25">
      <c r="A442" t="s">
        <v>164</v>
      </c>
      <c r="B442" s="21" t="str">
        <f t="shared" si="30"/>
        <v>77811221</v>
      </c>
      <c r="C442" s="21" t="str">
        <f t="shared" si="30"/>
        <v xml:space="preserve">Baseball Cap Diamond </v>
      </c>
      <c r="D442" s="23"/>
      <c r="E442" s="23"/>
      <c r="F442" s="23"/>
      <c r="G442" s="23"/>
      <c r="H442" s="23"/>
      <c r="I442" s="21" t="str">
        <f>_xlfn.LET(_xlpm.Searching,"63",_xlpm.inStr,IFERROR(FIND(_xlpm.Searching,$A448)&gt;=1,FALSE),IF(AND(_xlpm.inStr,LEN(A448)&lt;=6),$A449,""))</f>
        <v/>
      </c>
      <c r="J442" s="22"/>
      <c r="K442" s="3"/>
      <c r="L442" s="3"/>
    </row>
    <row r="443" spans="1:12" x14ac:dyDescent="0.25">
      <c r="A443" t="s">
        <v>187</v>
      </c>
      <c r="B443" s="3"/>
      <c r="C443" s="3"/>
      <c r="D443" s="3"/>
      <c r="E443" s="3"/>
      <c r="F443" s="3"/>
      <c r="G443" s="3"/>
      <c r="H443" s="3"/>
      <c r="I443" s="3"/>
      <c r="J443" s="4"/>
      <c r="K443" s="3"/>
      <c r="L443" s="3"/>
    </row>
    <row r="444" spans="1:12" x14ac:dyDescent="0.25">
      <c r="A444" t="s">
        <v>188</v>
      </c>
      <c r="B444" s="19" t="s">
        <v>1</v>
      </c>
      <c r="C444" s="19" t="s">
        <v>56</v>
      </c>
      <c r="D444" s="19" t="s">
        <v>0</v>
      </c>
      <c r="E444" s="19">
        <v>55</v>
      </c>
      <c r="F444" s="19">
        <v>57</v>
      </c>
      <c r="G444" s="19">
        <v>59</v>
      </c>
      <c r="H444" s="19">
        <v>61</v>
      </c>
      <c r="I444" s="19">
        <v>63</v>
      </c>
      <c r="J444" s="20" t="s">
        <v>2</v>
      </c>
      <c r="K444" s="3"/>
      <c r="L444" s="3"/>
    </row>
    <row r="445" spans="1:12" x14ac:dyDescent="0.25">
      <c r="A445" t="s">
        <v>189</v>
      </c>
      <c r="B445" s="21" t="str" cm="1">
        <f t="array" ref="B445">БУКВЫ(MID($A445,3,12))</f>
        <v>74911072</v>
      </c>
      <c r="C445" s="21" t="str">
        <f>MID($A446,1,FIND("Per",A446)-1)</f>
        <v xml:space="preserve">Army Cap Denim </v>
      </c>
      <c r="D445" s="21" t="str">
        <f>_xlfn.LET(_xlpm.Searching,"OSFA",_xlpm.inStr,IFERROR(FIND(_xlpm.Searching,$A447)&gt;=1,FALSE),IF(AND(_xlpm.inStr,LEN(A447)&lt;=6),A448,""))</f>
        <v/>
      </c>
      <c r="E445" s="21">
        <f>_xlfn.LET(_xlpm.Searching,"55",_xlpm.inStr,IFERROR(FIND(_xlpm.Searching,$A447)&gt;=1,FALSE),IF(AND(_xlpm.inStr,LEN(A447)&lt;=6),A448,""))</f>
        <v>1</v>
      </c>
      <c r="F445" s="21" t="str">
        <f>_xlfn.LET(_xlpm.Searching,"57",_xlpm.inStr,IFERROR(FIND(_xlpm.Searching,$A447)&gt;=1,FALSE),IF(AND(_xlpm.inStr,LEN(A447)&lt;=6),$A448,""))&amp;F446</f>
        <v>4</v>
      </c>
      <c r="G445" s="21" t="str">
        <f>_xlfn.LET(_xlpm.Searching,"59",_xlpm.inStr,IFERROR(FIND(_xlpm.Searching,$A447)&gt;=1,FALSE),IF(AND(_xlpm.inStr,LEN(A447)&lt;=6),$A448,""))&amp;G446&amp;G447</f>
        <v>6</v>
      </c>
      <c r="H445" s="21" t="str">
        <f>_xlfn.LET(_xlpm.Searching,"61",_xlpm.inStr,IFERROR(FIND(_xlpm.Searching,$A447)&gt;=1,FALSE),IF(AND(_xlpm.inStr,LEN(A447)&lt;=6),$A448,""))&amp;H446&amp;H447&amp;H448</f>
        <v>4</v>
      </c>
      <c r="I445" s="21" t="str">
        <f>_xlfn.LET(_xlpm.Searching,"63",_xlpm.inStr,IFERROR(FIND(_xlpm.Searching,$A447)&gt;=1,FALSE),IF(AND(_xlpm.inStr,LEN(A447)&lt;=6),$A448,""))&amp;I446&amp;I447&amp;I448&amp;I449</f>
        <v>2</v>
      </c>
      <c r="J445" s="22">
        <f>MID(TRIM(RIGHT(A445,10)),1,LEN(TRIM(RIGHT(A445,10)))-3)*0.8</f>
        <v>18.32</v>
      </c>
      <c r="K445" s="3"/>
      <c r="L445" s="3"/>
    </row>
    <row r="446" spans="1:12" x14ac:dyDescent="0.25">
      <c r="A446" t="s">
        <v>190</v>
      </c>
      <c r="B446" s="21" t="str">
        <f>B445</f>
        <v>74911072</v>
      </c>
      <c r="C446" s="21" t="str">
        <f>C445</f>
        <v xml:space="preserve">Army Cap Denim </v>
      </c>
      <c r="D446" s="23"/>
      <c r="E446" s="23"/>
      <c r="F446" s="21">
        <f>_xlfn.LET(_xlpm.Searching,"57",_xlpm.inStr,IFERROR(FIND(_xlpm.Searching,$A449)&gt;=1,FALSE),IF(AND(_xlpm.inStr,LEN(A449)&lt;=6),$A450,""))</f>
        <v>4</v>
      </c>
      <c r="G446" s="21" t="str">
        <f>_xlfn.LET(_xlpm.Searching,"59",_xlpm.inStr,IFERROR(FIND(_xlpm.Searching,$A449)&gt;=1,FALSE),IF(AND(_xlpm.inStr,LEN(A449)&lt;=6),$A450,""))</f>
        <v/>
      </c>
      <c r="H446" s="21" t="str">
        <f>_xlfn.LET(_xlpm.Searching,"61",_xlpm.inStr,IFERROR(FIND(_xlpm.Searching,$A449)&gt;=1,FALSE),IF(AND(_xlpm.inStr,LEN(A449)&lt;=6),$A450,""))</f>
        <v/>
      </c>
      <c r="I446" s="21" t="str">
        <f>_xlfn.LET(_xlpm.Searching,"63",_xlpm.inStr,IFERROR(FIND(_xlpm.Searching,$A449)&gt;=1,FALSE),IF(AND(_xlpm.inStr,LEN(A449)&lt;=6),$A450,""))</f>
        <v/>
      </c>
      <c r="J446" s="22"/>
      <c r="K446" s="3"/>
      <c r="L446" s="3"/>
    </row>
    <row r="447" spans="1:12" x14ac:dyDescent="0.25">
      <c r="A447" t="s">
        <v>72</v>
      </c>
      <c r="B447" s="21" t="str">
        <f t="shared" ref="B447:C449" si="31">B446</f>
        <v>74911072</v>
      </c>
      <c r="C447" s="21" t="str">
        <f t="shared" si="31"/>
        <v xml:space="preserve">Army Cap Denim </v>
      </c>
      <c r="D447" s="23"/>
      <c r="E447" s="23"/>
      <c r="F447" s="23"/>
      <c r="G447" s="21">
        <f>_xlfn.LET(_xlpm.Searching,"59",_xlpm.inStr,IFERROR(FIND(_xlpm.Searching,$A451)&gt;=1,FALSE),IF(AND(_xlpm.inStr,LEN(A451)&lt;=6),$A452,""))</f>
        <v>6</v>
      </c>
      <c r="H447" s="21" t="str">
        <f>_xlfn.LET(_xlpm.Searching,"61",_xlpm.inStr,IFERROR(FIND(_xlpm.Searching,$A451)&gt;=1,FALSE),IF(AND(_xlpm.inStr,LEN(A451)&lt;=6),$A452,""))</f>
        <v/>
      </c>
      <c r="I447" s="21" t="str">
        <f>_xlfn.LET(_xlpm.Searching,"63",_xlpm.inStr,IFERROR(FIND(_xlpm.Searching,$A451)&gt;=1,FALSE),IF(AND(_xlpm.inStr,LEN(A451)&lt;=6),$A452,""))</f>
        <v/>
      </c>
      <c r="J447" s="22"/>
      <c r="K447" s="3"/>
      <c r="L447" s="3"/>
    </row>
    <row r="448" spans="1:12" x14ac:dyDescent="0.25">
      <c r="A448">
        <v>1</v>
      </c>
      <c r="B448" s="21" t="str">
        <f t="shared" si="31"/>
        <v>74911072</v>
      </c>
      <c r="C448" s="21" t="str">
        <f t="shared" si="31"/>
        <v xml:space="preserve">Army Cap Denim </v>
      </c>
      <c r="D448" s="23"/>
      <c r="E448" s="23"/>
      <c r="F448" s="23"/>
      <c r="G448" s="23"/>
      <c r="H448" s="21">
        <f>_xlfn.LET(_xlpm.Searching,"61",_xlpm.inStr,IFERROR(FIND(_xlpm.Searching,$A453)&gt;=1,FALSE),IF(AND(_xlpm.inStr,LEN(A453)&lt;=6),$A454,""))</f>
        <v>4</v>
      </c>
      <c r="I448" s="21" t="str">
        <f>_xlfn.LET(_xlpm.Searching,"63",_xlpm.inStr,IFERROR(FIND(_xlpm.Searching,$A453)&gt;=1,FALSE),IF(AND(_xlpm.inStr,LEN(A453)&lt;=6),$A454,""))</f>
        <v/>
      </c>
      <c r="J448" s="22"/>
      <c r="K448" s="3"/>
      <c r="L448" s="3"/>
    </row>
    <row r="449" spans="1:12" x14ac:dyDescent="0.25">
      <c r="A449" t="s">
        <v>30</v>
      </c>
      <c r="B449" s="21" t="str">
        <f t="shared" si="31"/>
        <v>74911072</v>
      </c>
      <c r="C449" s="21" t="str">
        <f t="shared" si="31"/>
        <v xml:space="preserve">Army Cap Denim </v>
      </c>
      <c r="D449" s="23"/>
      <c r="E449" s="23"/>
      <c r="F449" s="23"/>
      <c r="G449" s="23"/>
      <c r="H449" s="23"/>
      <c r="I449" s="21">
        <f>_xlfn.LET(_xlpm.Searching,"63",_xlpm.inStr,IFERROR(FIND(_xlpm.Searching,$A455)&gt;=1,FALSE),IF(AND(_xlpm.inStr,LEN(A455)&lt;=6),$A456,""))</f>
        <v>2</v>
      </c>
      <c r="J449" s="22"/>
      <c r="K449" s="3"/>
      <c r="L449" s="3"/>
    </row>
    <row r="450" spans="1:12" x14ac:dyDescent="0.25">
      <c r="A450">
        <v>4</v>
      </c>
      <c r="B450" s="3"/>
      <c r="C450" s="3"/>
      <c r="D450" s="3"/>
      <c r="E450" s="3"/>
      <c r="F450" s="3"/>
      <c r="G450" s="3"/>
      <c r="H450" s="3"/>
      <c r="I450" s="3"/>
      <c r="J450" s="4"/>
      <c r="K450" s="3"/>
      <c r="L450" s="3"/>
    </row>
    <row r="451" spans="1:12" x14ac:dyDescent="0.25">
      <c r="A451" t="s">
        <v>29</v>
      </c>
      <c r="B451" s="3"/>
      <c r="C451" s="3"/>
      <c r="D451" s="3"/>
      <c r="E451" s="3"/>
      <c r="F451" s="3"/>
      <c r="G451" s="3"/>
      <c r="H451" s="3"/>
      <c r="I451" s="3"/>
      <c r="J451" s="4"/>
      <c r="K451" s="3"/>
      <c r="L451" s="3"/>
    </row>
    <row r="452" spans="1:12" x14ac:dyDescent="0.25">
      <c r="A452">
        <v>6</v>
      </c>
      <c r="B452" s="3"/>
      <c r="C452" s="3"/>
      <c r="D452" s="3"/>
      <c r="E452" s="3"/>
      <c r="F452" s="3"/>
      <c r="G452" s="3"/>
      <c r="H452" s="3"/>
      <c r="I452" s="3"/>
      <c r="J452" s="4"/>
      <c r="K452" s="3"/>
      <c r="L452" s="3"/>
    </row>
    <row r="453" spans="1:12" x14ac:dyDescent="0.25">
      <c r="A453" t="s">
        <v>66</v>
      </c>
      <c r="B453" s="3"/>
      <c r="C453" s="3"/>
      <c r="D453" s="3"/>
      <c r="E453" s="3"/>
      <c r="F453" s="3"/>
      <c r="G453" s="3"/>
      <c r="H453" s="3"/>
      <c r="I453" s="3"/>
      <c r="J453" s="4"/>
      <c r="K453" s="3"/>
      <c r="L453" s="3"/>
    </row>
    <row r="454" spans="1:12" x14ac:dyDescent="0.25">
      <c r="A454">
        <v>4</v>
      </c>
      <c r="B454" s="3"/>
      <c r="C454" s="3"/>
      <c r="D454" s="3"/>
      <c r="E454" s="3"/>
      <c r="F454" s="3"/>
      <c r="G454" s="3"/>
      <c r="H454" s="3"/>
      <c r="I454" s="3"/>
      <c r="J454" s="4"/>
      <c r="K454" s="3"/>
      <c r="L454" s="3"/>
    </row>
    <row r="455" spans="1:12" x14ac:dyDescent="0.25">
      <c r="A455" t="s">
        <v>73</v>
      </c>
      <c r="B455" s="3"/>
      <c r="C455" s="3"/>
      <c r="D455" s="3"/>
      <c r="E455" s="3"/>
      <c r="F455" s="3"/>
      <c r="G455" s="3"/>
      <c r="H455" s="3"/>
      <c r="I455" s="3"/>
      <c r="J455" s="4"/>
      <c r="K455" s="3"/>
      <c r="L455" s="3"/>
    </row>
    <row r="456" spans="1:12" x14ac:dyDescent="0.25">
      <c r="A456">
        <v>2</v>
      </c>
      <c r="B456" s="3"/>
      <c r="C456" s="3"/>
      <c r="D456" s="3"/>
      <c r="E456" s="3"/>
      <c r="F456" s="3"/>
      <c r="G456" s="3"/>
      <c r="H456" s="3"/>
      <c r="I456" s="3"/>
      <c r="J456" s="4"/>
      <c r="K456" s="3"/>
      <c r="L456" s="3"/>
    </row>
    <row r="457" spans="1:12" x14ac:dyDescent="0.25">
      <c r="A457" t="s">
        <v>191</v>
      </c>
      <c r="B457" s="3"/>
      <c r="C457" s="3"/>
      <c r="D457" s="3"/>
      <c r="E457" s="3"/>
      <c r="F457" s="3"/>
      <c r="G457" s="3"/>
      <c r="H457" s="3"/>
      <c r="I457" s="3"/>
      <c r="J457" s="4"/>
      <c r="K457" s="3"/>
      <c r="L457" s="3"/>
    </row>
    <row r="458" spans="1:12" x14ac:dyDescent="0.25">
      <c r="A458" t="s">
        <v>192</v>
      </c>
      <c r="B458" s="3"/>
      <c r="C458" s="3"/>
      <c r="D458" s="3"/>
      <c r="E458" s="3"/>
      <c r="F458" s="3"/>
      <c r="G458" s="3"/>
      <c r="H458" s="3"/>
      <c r="I458" s="3"/>
      <c r="J458" s="4"/>
      <c r="K458" s="3"/>
      <c r="L458" s="3"/>
    </row>
    <row r="459" spans="1:12" x14ac:dyDescent="0.25">
      <c r="A459" t="s">
        <v>193</v>
      </c>
      <c r="B459" s="3"/>
      <c r="C459" s="3"/>
      <c r="D459" s="3"/>
      <c r="E459" s="3"/>
      <c r="F459" s="3"/>
      <c r="G459" s="3"/>
      <c r="H459" s="3"/>
      <c r="I459" s="3"/>
      <c r="J459" s="4"/>
      <c r="K459" s="3"/>
      <c r="L459" s="3"/>
    </row>
    <row r="460" spans="1:12" x14ac:dyDescent="0.25">
      <c r="A460" t="s">
        <v>194</v>
      </c>
      <c r="B460" s="3"/>
      <c r="C460" s="3"/>
      <c r="D460" s="3"/>
      <c r="E460" s="3"/>
      <c r="F460" s="3"/>
      <c r="G460" s="3"/>
      <c r="H460" s="3"/>
      <c r="I460" s="3"/>
      <c r="J460" s="4"/>
      <c r="K460" s="3"/>
      <c r="L460" s="3"/>
    </row>
    <row r="461" spans="1:12" x14ac:dyDescent="0.25">
      <c r="A461" t="s">
        <v>195</v>
      </c>
      <c r="B461" s="3"/>
      <c r="C461" s="3"/>
      <c r="D461" s="3"/>
      <c r="E461" s="3"/>
      <c r="F461" s="3"/>
      <c r="G461" s="3"/>
      <c r="H461" s="3"/>
      <c r="I461" s="3"/>
      <c r="J461" s="4"/>
      <c r="K461" s="3"/>
      <c r="L461" s="3"/>
    </row>
    <row r="462" spans="1:12" x14ac:dyDescent="0.25">
      <c r="A462" t="s">
        <v>47</v>
      </c>
      <c r="B462" s="3"/>
      <c r="C462" s="3"/>
      <c r="D462" s="3"/>
      <c r="E462" s="3"/>
      <c r="F462" s="3"/>
      <c r="G462" s="3"/>
      <c r="H462" s="3"/>
      <c r="I462" s="3"/>
      <c r="J462" s="4"/>
      <c r="K462" s="3"/>
      <c r="L462" s="3"/>
    </row>
    <row r="463" spans="1:12" x14ac:dyDescent="0.25">
      <c r="A463" t="s">
        <v>196</v>
      </c>
      <c r="B463" s="3"/>
      <c r="C463" s="3"/>
      <c r="D463" s="3"/>
      <c r="E463" s="3"/>
      <c r="F463" s="3"/>
      <c r="G463" s="3"/>
      <c r="H463" s="3"/>
      <c r="I463" s="3"/>
      <c r="J463" s="4"/>
      <c r="K463" s="3"/>
      <c r="L463" s="3"/>
    </row>
    <row r="464" spans="1:12" x14ac:dyDescent="0.25">
      <c r="A464" t="s">
        <v>48</v>
      </c>
      <c r="B464" s="3"/>
      <c r="C464" s="3"/>
      <c r="D464" s="3"/>
      <c r="E464" s="3"/>
      <c r="F464" s="3"/>
      <c r="G464" s="3"/>
      <c r="H464" s="3"/>
      <c r="I464" s="3"/>
      <c r="J464" s="4"/>
      <c r="K464" s="3"/>
      <c r="L464" s="3"/>
    </row>
    <row r="465" spans="1:12" x14ac:dyDescent="0.25">
      <c r="A465" t="s">
        <v>60</v>
      </c>
      <c r="B465" s="3"/>
      <c r="C465" s="3"/>
      <c r="D465" s="3"/>
      <c r="E465" s="3"/>
      <c r="F465" s="3"/>
      <c r="G465" s="3"/>
      <c r="H465" s="3"/>
      <c r="I465" s="3"/>
      <c r="J465" s="4"/>
      <c r="K465" s="3"/>
      <c r="L465" s="3"/>
    </row>
    <row r="466" spans="1:12" x14ac:dyDescent="0.25">
      <c r="A466" t="s">
        <v>49</v>
      </c>
      <c r="B466" s="3"/>
      <c r="C466" s="3"/>
      <c r="D466" s="3"/>
      <c r="E466" s="3"/>
      <c r="F466" s="3"/>
      <c r="G466" s="3"/>
      <c r="H466" s="3"/>
      <c r="I466" s="3"/>
      <c r="J466" s="4"/>
      <c r="K466" s="3"/>
      <c r="L466" s="3"/>
    </row>
    <row r="467" spans="1:12" x14ac:dyDescent="0.25">
      <c r="A467" t="s">
        <v>197</v>
      </c>
      <c r="B467" s="3"/>
      <c r="C467" s="3"/>
      <c r="D467" s="3"/>
      <c r="E467" s="3"/>
      <c r="F467" s="3"/>
      <c r="G467" s="3"/>
      <c r="H467" s="3"/>
      <c r="I467" s="3"/>
      <c r="J467" s="4"/>
      <c r="K467" s="3"/>
      <c r="L467" s="3"/>
    </row>
    <row r="468" spans="1:12" x14ac:dyDescent="0.25">
      <c r="A468" t="s">
        <v>198</v>
      </c>
      <c r="B468" s="3"/>
      <c r="C468" s="3"/>
      <c r="D468" s="3"/>
      <c r="E468" s="3"/>
      <c r="F468" s="3"/>
      <c r="G468" s="3"/>
      <c r="H468" s="3"/>
      <c r="I468" s="3"/>
      <c r="J468" s="4"/>
      <c r="K468" s="3"/>
      <c r="L468" s="3"/>
    </row>
    <row r="469" spans="1:12" x14ac:dyDescent="0.25">
      <c r="A469" t="s">
        <v>50</v>
      </c>
      <c r="B469" s="3"/>
      <c r="C469" s="3"/>
      <c r="D469" s="3"/>
      <c r="E469" s="3"/>
      <c r="F469" s="3"/>
      <c r="G469" s="3"/>
      <c r="H469" s="3"/>
      <c r="I469" s="3"/>
      <c r="J469" s="4"/>
      <c r="K469" s="3"/>
      <c r="L469" s="3"/>
    </row>
    <row r="470" spans="1:12" x14ac:dyDescent="0.25">
      <c r="A470" t="s">
        <v>51</v>
      </c>
      <c r="B470" s="3"/>
      <c r="C470" s="3"/>
      <c r="D470" s="3"/>
      <c r="E470" s="3"/>
      <c r="F470" s="3"/>
      <c r="G470" s="3"/>
      <c r="H470" s="3"/>
      <c r="I470" s="3"/>
      <c r="J470" s="4"/>
      <c r="K470" s="3"/>
      <c r="L470" s="3"/>
    </row>
    <row r="471" spans="1:12" x14ac:dyDescent="0.25">
      <c r="A471" t="s">
        <v>199</v>
      </c>
      <c r="B471" s="3"/>
      <c r="C471" s="3"/>
      <c r="D471" s="3"/>
      <c r="E471" s="3"/>
      <c r="F471" s="3"/>
      <c r="G471" s="3"/>
      <c r="H471" s="3"/>
      <c r="I471" s="3"/>
      <c r="J471" s="4"/>
      <c r="K471" s="3"/>
      <c r="L471" s="3"/>
    </row>
    <row r="472" spans="1:12" x14ac:dyDescent="0.25">
      <c r="A472" t="s">
        <v>52</v>
      </c>
      <c r="B472" s="3"/>
      <c r="C472" s="3"/>
      <c r="D472" s="3"/>
      <c r="E472" s="3"/>
      <c r="F472" s="3"/>
      <c r="G472" s="3"/>
      <c r="H472" s="3"/>
      <c r="I472" s="3"/>
      <c r="J472" s="4"/>
      <c r="K472" s="3"/>
      <c r="L472" s="3"/>
    </row>
    <row r="473" spans="1:12" x14ac:dyDescent="0.25">
      <c r="A473" t="s">
        <v>17</v>
      </c>
      <c r="B473" s="3"/>
      <c r="C473" s="3"/>
      <c r="D473" s="3"/>
      <c r="E473" s="3"/>
      <c r="F473" s="3"/>
      <c r="G473" s="3"/>
      <c r="H473" s="3"/>
      <c r="I473" s="3"/>
      <c r="J473" s="4"/>
      <c r="K473" s="3"/>
      <c r="L473" s="3"/>
    </row>
    <row r="474" spans="1:12" x14ac:dyDescent="0.25">
      <c r="A474" t="s">
        <v>31</v>
      </c>
      <c r="B474" s="3"/>
      <c r="C474" s="3"/>
      <c r="D474" s="3"/>
      <c r="E474" s="3"/>
      <c r="F474" s="3"/>
      <c r="G474" s="3"/>
      <c r="H474" s="3"/>
      <c r="I474" s="3"/>
      <c r="J474" s="4"/>
      <c r="K474" s="3"/>
      <c r="L474" s="3"/>
    </row>
    <row r="475" spans="1:12" x14ac:dyDescent="0.25">
      <c r="A475" t="s">
        <v>32</v>
      </c>
      <c r="B475" s="3"/>
      <c r="C475" s="3"/>
      <c r="D475" s="3"/>
      <c r="E475" s="3"/>
      <c r="F475" s="3"/>
      <c r="G475" s="3"/>
      <c r="H475" s="3"/>
      <c r="I475" s="3"/>
      <c r="J475" s="4"/>
      <c r="K475" s="3"/>
      <c r="L475" s="3"/>
    </row>
    <row r="476" spans="1:12" x14ac:dyDescent="0.25">
      <c r="A476" t="s">
        <v>33</v>
      </c>
      <c r="B476" s="3"/>
      <c r="C476" s="3"/>
      <c r="D476" s="3"/>
      <c r="E476" s="3"/>
      <c r="F476" s="3"/>
      <c r="G476" s="3"/>
      <c r="H476" s="3"/>
      <c r="I476" s="3"/>
      <c r="J476" s="4"/>
      <c r="K476" s="3"/>
      <c r="L476" s="3"/>
    </row>
    <row r="477" spans="1:12" x14ac:dyDescent="0.25">
      <c r="A477" t="s">
        <v>34</v>
      </c>
      <c r="B477" s="3"/>
      <c r="C477" s="3"/>
      <c r="D477" s="3"/>
      <c r="E477" s="3"/>
      <c r="F477" s="3"/>
      <c r="G477" s="3"/>
      <c r="H477" s="3"/>
      <c r="I477" s="3"/>
      <c r="J477" s="4"/>
      <c r="K477" s="3"/>
      <c r="L477" s="3"/>
    </row>
    <row r="478" spans="1:12" x14ac:dyDescent="0.25">
      <c r="A478" t="s">
        <v>35</v>
      </c>
      <c r="B478" s="3"/>
      <c r="C478" s="3"/>
      <c r="D478" s="3"/>
      <c r="E478" s="3"/>
      <c r="F478" s="3"/>
      <c r="G478" s="3"/>
      <c r="H478" s="3"/>
      <c r="I478" s="3"/>
      <c r="J478" s="4"/>
      <c r="K478" s="3"/>
      <c r="L478" s="3"/>
    </row>
    <row r="479" spans="1:12" x14ac:dyDescent="0.25">
      <c r="A479" t="s">
        <v>36</v>
      </c>
      <c r="B479" s="3"/>
      <c r="C479" s="3"/>
      <c r="D479" s="3"/>
      <c r="E479" s="3"/>
      <c r="F479" s="3"/>
      <c r="G479" s="3"/>
      <c r="H479" s="3"/>
      <c r="I479" s="3"/>
      <c r="J479" s="4"/>
      <c r="K479" s="3"/>
      <c r="L479" s="3"/>
    </row>
    <row r="480" spans="1:12" x14ac:dyDescent="0.25">
      <c r="A480" t="s">
        <v>37</v>
      </c>
      <c r="B480" s="3"/>
      <c r="C480" s="3"/>
      <c r="D480" s="3"/>
      <c r="E480" s="3"/>
      <c r="F480" s="3"/>
      <c r="G480" s="3"/>
      <c r="H480" s="3"/>
      <c r="I480" s="3"/>
      <c r="J480" s="4"/>
      <c r="K480" s="3"/>
      <c r="L480" s="3"/>
    </row>
    <row r="481" spans="1:12" x14ac:dyDescent="0.25">
      <c r="A481" t="s">
        <v>38</v>
      </c>
      <c r="B481" s="3"/>
      <c r="C481" s="3"/>
      <c r="D481" s="3"/>
      <c r="E481" s="3"/>
      <c r="F481" s="3"/>
      <c r="G481" s="3"/>
      <c r="H481" s="3"/>
      <c r="I481" s="3"/>
      <c r="J481" s="4"/>
      <c r="K481" s="3"/>
      <c r="L481" s="3"/>
    </row>
    <row r="482" spans="1:12" x14ac:dyDescent="0.25">
      <c r="A482" t="s">
        <v>39</v>
      </c>
      <c r="B482" s="3"/>
      <c r="C482" s="3"/>
      <c r="D482" s="3"/>
      <c r="E482" s="3"/>
      <c r="F482" s="3"/>
      <c r="G482" s="3"/>
      <c r="H482" s="3"/>
      <c r="I482" s="3"/>
      <c r="J482" s="4"/>
      <c r="K482" s="3"/>
      <c r="L482" s="3"/>
    </row>
    <row r="483" spans="1:12" x14ac:dyDescent="0.25">
      <c r="A483" t="s">
        <v>40</v>
      </c>
      <c r="B483" s="3"/>
      <c r="C483" s="3"/>
      <c r="D483" s="3"/>
      <c r="E483" s="3"/>
      <c r="F483" s="3"/>
      <c r="G483" s="3"/>
      <c r="H483" s="3"/>
      <c r="I483" s="3"/>
      <c r="J483" s="4"/>
      <c r="K483" s="3"/>
      <c r="L483" s="3"/>
    </row>
    <row r="484" spans="1:12" x14ac:dyDescent="0.25">
      <c r="A484" t="s">
        <v>41</v>
      </c>
      <c r="B484" s="3"/>
      <c r="C484" s="3"/>
      <c r="D484" s="3"/>
      <c r="E484" s="3"/>
      <c r="F484" s="3"/>
      <c r="G484" s="3"/>
      <c r="H484" s="3"/>
      <c r="I484" s="3"/>
      <c r="J484" s="4"/>
      <c r="K484" s="3"/>
      <c r="L484" s="3"/>
    </row>
    <row r="485" spans="1:12" x14ac:dyDescent="0.25">
      <c r="A485" t="s">
        <v>42</v>
      </c>
      <c r="B485" s="3"/>
      <c r="C485" s="3"/>
      <c r="D485" s="3"/>
      <c r="E485" s="3"/>
      <c r="F485" s="3"/>
      <c r="G485" s="3"/>
      <c r="H485" s="3"/>
      <c r="I485" s="3"/>
      <c r="J485" s="4"/>
      <c r="K485" s="3"/>
      <c r="L485" s="3"/>
    </row>
    <row r="486" spans="1:12" x14ac:dyDescent="0.25">
      <c r="A486" t="s">
        <v>43</v>
      </c>
      <c r="B486" s="3"/>
      <c r="C486" s="3"/>
      <c r="D486" s="3"/>
      <c r="E486" s="3"/>
      <c r="F486" s="3"/>
      <c r="G486" s="3"/>
      <c r="H486" s="3"/>
      <c r="I486" s="3"/>
      <c r="J486" s="4"/>
      <c r="K486" s="3"/>
      <c r="L486" s="3"/>
    </row>
    <row r="487" spans="1:12" x14ac:dyDescent="0.25">
      <c r="A487" t="s">
        <v>44</v>
      </c>
      <c r="B487" s="3"/>
      <c r="C487" s="3"/>
      <c r="D487" s="3"/>
      <c r="E487" s="3"/>
      <c r="F487" s="3"/>
      <c r="G487" s="3"/>
      <c r="H487" s="3"/>
      <c r="I487" s="3"/>
      <c r="J487" s="4"/>
      <c r="K487" s="3"/>
      <c r="L487" s="3"/>
    </row>
    <row r="488" spans="1:12" x14ac:dyDescent="0.25">
      <c r="A488" t="s">
        <v>57</v>
      </c>
    </row>
    <row r="489" spans="1:12" x14ac:dyDescent="0.25">
      <c r="A489" t="s">
        <v>78</v>
      </c>
    </row>
    <row r="490" spans="1:12" x14ac:dyDescent="0.25">
      <c r="A490" t="s">
        <v>200</v>
      </c>
    </row>
    <row r="491" spans="1:12" x14ac:dyDescent="0.25">
      <c r="A491" t="s">
        <v>20</v>
      </c>
    </row>
    <row r="492" spans="1:12" x14ac:dyDescent="0.25">
      <c r="A492" t="s">
        <v>21</v>
      </c>
    </row>
    <row r="493" spans="1:12" x14ac:dyDescent="0.25">
      <c r="A493" t="s">
        <v>22</v>
      </c>
    </row>
    <row r="494" spans="1:12" x14ac:dyDescent="0.25">
      <c r="A494" t="s">
        <v>23</v>
      </c>
    </row>
    <row r="495" spans="1:12" x14ac:dyDescent="0.25">
      <c r="A495" t="s">
        <v>24</v>
      </c>
    </row>
    <row r="496" spans="1:12" x14ac:dyDescent="0.25">
      <c r="A496" t="s">
        <v>25</v>
      </c>
    </row>
    <row r="497" spans="1:1" x14ac:dyDescent="0.25">
      <c r="A497" t="s">
        <v>26</v>
      </c>
    </row>
    <row r="498" spans="1:1" x14ac:dyDescent="0.25">
      <c r="A498" t="s">
        <v>53</v>
      </c>
    </row>
    <row r="499" spans="1:1" x14ac:dyDescent="0.25">
      <c r="A499" t="s">
        <v>54</v>
      </c>
    </row>
    <row r="500" spans="1:1" x14ac:dyDescent="0.25">
      <c r="A500" t="s">
        <v>17</v>
      </c>
    </row>
    <row r="501" spans="1:1" x14ac:dyDescent="0.25">
      <c r="A501" t="s">
        <v>31</v>
      </c>
    </row>
    <row r="502" spans="1:1" x14ac:dyDescent="0.25">
      <c r="A502" t="s">
        <v>32</v>
      </c>
    </row>
    <row r="503" spans="1:1" x14ac:dyDescent="0.25">
      <c r="A503" t="s">
        <v>33</v>
      </c>
    </row>
    <row r="504" spans="1:1" x14ac:dyDescent="0.25">
      <c r="A504" t="s">
        <v>34</v>
      </c>
    </row>
    <row r="505" spans="1:1" x14ac:dyDescent="0.25">
      <c r="A505" t="s">
        <v>35</v>
      </c>
    </row>
    <row r="506" spans="1:1" x14ac:dyDescent="0.25">
      <c r="A506" t="s">
        <v>36</v>
      </c>
    </row>
    <row r="507" spans="1:1" x14ac:dyDescent="0.25">
      <c r="A507" t="s">
        <v>37</v>
      </c>
    </row>
    <row r="508" spans="1:1" x14ac:dyDescent="0.25">
      <c r="A508" t="s">
        <v>38</v>
      </c>
    </row>
    <row r="509" spans="1:1" x14ac:dyDescent="0.25">
      <c r="A509" t="s">
        <v>39</v>
      </c>
    </row>
    <row r="510" spans="1:1" x14ac:dyDescent="0.25">
      <c r="A510" t="s">
        <v>40</v>
      </c>
    </row>
    <row r="511" spans="1:1" x14ac:dyDescent="0.25">
      <c r="A511" t="s">
        <v>41</v>
      </c>
    </row>
    <row r="512" spans="1:1" x14ac:dyDescent="0.25">
      <c r="A512" t="s">
        <v>42</v>
      </c>
    </row>
    <row r="513" spans="1:1" x14ac:dyDescent="0.25">
      <c r="A513" t="s">
        <v>43</v>
      </c>
    </row>
    <row r="514" spans="1:1" x14ac:dyDescent="0.25">
      <c r="A514" t="s">
        <v>44</v>
      </c>
    </row>
  </sheetData>
  <conditionalFormatting sqref="A1:A1048576">
    <cfRule type="expression" dxfId="1" priority="1">
      <formula>AND(FIND("Pc(s)",$A1)&gt;=1,FIND("EUR",$A1)&gt;=1)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EF211-2E51-489A-B2A8-A9E02C03DDD1}">
  <dimension ref="A1:M31"/>
  <sheetViews>
    <sheetView workbookViewId="0">
      <selection activeCell="L1" sqref="L1:M31"/>
    </sheetView>
  </sheetViews>
  <sheetFormatPr defaultRowHeight="15" x14ac:dyDescent="0.25"/>
  <cols>
    <col min="1" max="1" width="52.140625" bestFit="1" customWidth="1"/>
    <col min="11" max="11" width="3" bestFit="1" customWidth="1"/>
    <col min="12" max="12" width="12" bestFit="1" customWidth="1"/>
    <col min="13" max="13" width="3" bestFit="1" customWidth="1"/>
  </cols>
  <sheetData>
    <row r="1" spans="1:13" x14ac:dyDescent="0.25">
      <c r="A1" t="s">
        <v>64</v>
      </c>
      <c r="B1" t="s">
        <v>214</v>
      </c>
      <c r="C1" t="s">
        <v>215</v>
      </c>
      <c r="D1" t="s">
        <v>203</v>
      </c>
      <c r="E1" t="s">
        <v>203</v>
      </c>
      <c r="F1" t="s">
        <v>203</v>
      </c>
      <c r="G1" t="s">
        <v>204</v>
      </c>
      <c r="H1" t="s">
        <v>204</v>
      </c>
      <c r="I1" t="s">
        <v>203</v>
      </c>
      <c r="J1">
        <v>92</v>
      </c>
      <c r="K1">
        <v>1</v>
      </c>
      <c r="L1" t="s">
        <v>264</v>
      </c>
      <c r="M1">
        <v>2</v>
      </c>
    </row>
    <row r="2" spans="1:13" x14ac:dyDescent="0.25">
      <c r="A2" t="s">
        <v>70</v>
      </c>
      <c r="B2" t="s">
        <v>216</v>
      </c>
      <c r="C2" t="s">
        <v>217</v>
      </c>
      <c r="D2" t="s">
        <v>203</v>
      </c>
      <c r="E2">
        <v>3</v>
      </c>
      <c r="F2" t="s">
        <v>205</v>
      </c>
      <c r="G2" t="s">
        <v>206</v>
      </c>
      <c r="H2" t="s">
        <v>205</v>
      </c>
      <c r="I2" t="s">
        <v>207</v>
      </c>
      <c r="J2">
        <v>23.92</v>
      </c>
      <c r="K2">
        <v>10</v>
      </c>
      <c r="L2" t="s">
        <v>265</v>
      </c>
      <c r="M2">
        <v>29</v>
      </c>
    </row>
    <row r="3" spans="1:13" x14ac:dyDescent="0.25">
      <c r="A3" t="s">
        <v>77</v>
      </c>
      <c r="B3" t="s">
        <v>218</v>
      </c>
      <c r="C3" t="s">
        <v>219</v>
      </c>
      <c r="D3" t="s">
        <v>203</v>
      </c>
      <c r="E3" t="s">
        <v>203</v>
      </c>
      <c r="F3" t="s">
        <v>203</v>
      </c>
      <c r="G3" t="s">
        <v>208</v>
      </c>
      <c r="H3" t="s">
        <v>209</v>
      </c>
      <c r="I3" t="s">
        <v>203</v>
      </c>
      <c r="J3">
        <v>10.32</v>
      </c>
      <c r="K3">
        <v>11</v>
      </c>
      <c r="L3" t="s">
        <v>266</v>
      </c>
      <c r="M3">
        <v>6</v>
      </c>
    </row>
    <row r="4" spans="1:13" x14ac:dyDescent="0.25">
      <c r="A4" t="s">
        <v>80</v>
      </c>
      <c r="B4" t="s">
        <v>220</v>
      </c>
      <c r="C4" t="s">
        <v>221</v>
      </c>
      <c r="D4">
        <v>95</v>
      </c>
      <c r="E4" t="s">
        <v>203</v>
      </c>
      <c r="F4" t="s">
        <v>203</v>
      </c>
      <c r="G4" t="s">
        <v>203</v>
      </c>
      <c r="H4" t="s">
        <v>203</v>
      </c>
      <c r="I4" t="s">
        <v>203</v>
      </c>
      <c r="J4">
        <v>8.7200000000000006</v>
      </c>
      <c r="K4">
        <v>12</v>
      </c>
      <c r="L4" t="s">
        <v>267</v>
      </c>
      <c r="M4">
        <v>95</v>
      </c>
    </row>
    <row r="5" spans="1:13" x14ac:dyDescent="0.25">
      <c r="A5" t="s">
        <v>85</v>
      </c>
      <c r="B5" t="s">
        <v>222</v>
      </c>
      <c r="C5" t="s">
        <v>221</v>
      </c>
      <c r="D5">
        <v>45</v>
      </c>
      <c r="E5" t="s">
        <v>203</v>
      </c>
      <c r="F5" t="s">
        <v>203</v>
      </c>
      <c r="G5" t="s">
        <v>203</v>
      </c>
      <c r="H5" t="s">
        <v>203</v>
      </c>
      <c r="I5" t="s">
        <v>203</v>
      </c>
      <c r="J5">
        <v>8.7200000000000006</v>
      </c>
      <c r="K5">
        <v>13</v>
      </c>
      <c r="L5" t="s">
        <v>268</v>
      </c>
      <c r="M5">
        <v>45</v>
      </c>
    </row>
    <row r="6" spans="1:13" x14ac:dyDescent="0.25">
      <c r="A6" t="s">
        <v>88</v>
      </c>
      <c r="B6" t="s">
        <v>223</v>
      </c>
      <c r="C6" t="s">
        <v>221</v>
      </c>
      <c r="D6">
        <v>25</v>
      </c>
      <c r="E6" t="s">
        <v>203</v>
      </c>
      <c r="F6" t="s">
        <v>203</v>
      </c>
      <c r="G6" t="s">
        <v>203</v>
      </c>
      <c r="H6" t="s">
        <v>203</v>
      </c>
      <c r="I6" t="s">
        <v>203</v>
      </c>
      <c r="J6">
        <v>8.7200000000000006</v>
      </c>
      <c r="K6">
        <v>14</v>
      </c>
      <c r="L6" t="s">
        <v>269</v>
      </c>
      <c r="M6">
        <v>25</v>
      </c>
    </row>
    <row r="7" spans="1:13" x14ac:dyDescent="0.25">
      <c r="A7" t="s">
        <v>91</v>
      </c>
      <c r="B7" t="s">
        <v>224</v>
      </c>
      <c r="C7" t="s">
        <v>221</v>
      </c>
      <c r="D7">
        <v>75</v>
      </c>
      <c r="E7" t="s">
        <v>203</v>
      </c>
      <c r="F7" t="s">
        <v>203</v>
      </c>
      <c r="G7" t="s">
        <v>203</v>
      </c>
      <c r="H7" t="s">
        <v>203</v>
      </c>
      <c r="I7" t="s">
        <v>203</v>
      </c>
      <c r="J7">
        <v>8.7200000000000006</v>
      </c>
      <c r="K7">
        <v>15</v>
      </c>
      <c r="L7" t="s">
        <v>270</v>
      </c>
      <c r="M7">
        <v>75</v>
      </c>
    </row>
    <row r="8" spans="1:13" x14ac:dyDescent="0.25">
      <c r="A8" t="s">
        <v>94</v>
      </c>
      <c r="B8" t="s">
        <v>225</v>
      </c>
      <c r="C8" t="s">
        <v>221</v>
      </c>
      <c r="D8">
        <v>75</v>
      </c>
      <c r="E8" t="s">
        <v>203</v>
      </c>
      <c r="F8" t="s">
        <v>203</v>
      </c>
      <c r="G8" t="s">
        <v>203</v>
      </c>
      <c r="H8" t="s">
        <v>203</v>
      </c>
      <c r="I8" t="s">
        <v>203</v>
      </c>
      <c r="J8">
        <v>8.7200000000000006</v>
      </c>
      <c r="K8">
        <v>16</v>
      </c>
      <c r="L8" t="s">
        <v>271</v>
      </c>
      <c r="M8">
        <v>75</v>
      </c>
    </row>
    <row r="9" spans="1:13" x14ac:dyDescent="0.25">
      <c r="A9" t="s">
        <v>95</v>
      </c>
      <c r="B9" t="s">
        <v>226</v>
      </c>
      <c r="C9" t="s">
        <v>221</v>
      </c>
      <c r="D9">
        <v>72</v>
      </c>
      <c r="E9" t="s">
        <v>203</v>
      </c>
      <c r="F9" t="s">
        <v>203</v>
      </c>
      <c r="G9" t="s">
        <v>203</v>
      </c>
      <c r="H9" t="s">
        <v>203</v>
      </c>
      <c r="I9" t="s">
        <v>203</v>
      </c>
      <c r="J9">
        <v>8.7200000000000006</v>
      </c>
      <c r="K9">
        <v>17</v>
      </c>
      <c r="L9" t="s">
        <v>272</v>
      </c>
      <c r="M9">
        <v>72</v>
      </c>
    </row>
    <row r="10" spans="1:13" x14ac:dyDescent="0.25">
      <c r="A10" t="s">
        <v>99</v>
      </c>
      <c r="B10" t="s">
        <v>227</v>
      </c>
      <c r="C10" t="s">
        <v>221</v>
      </c>
      <c r="D10">
        <v>60</v>
      </c>
      <c r="E10" t="s">
        <v>203</v>
      </c>
      <c r="F10" t="s">
        <v>203</v>
      </c>
      <c r="G10" t="s">
        <v>203</v>
      </c>
      <c r="H10" t="s">
        <v>203</v>
      </c>
      <c r="I10" t="s">
        <v>203</v>
      </c>
      <c r="J10">
        <v>8.7200000000000006</v>
      </c>
      <c r="K10">
        <v>18</v>
      </c>
      <c r="L10" t="s">
        <v>273</v>
      </c>
      <c r="M10">
        <v>60</v>
      </c>
    </row>
    <row r="11" spans="1:13" x14ac:dyDescent="0.25">
      <c r="A11" t="s">
        <v>102</v>
      </c>
      <c r="B11" t="s">
        <v>228</v>
      </c>
      <c r="C11" t="s">
        <v>229</v>
      </c>
      <c r="D11" t="s">
        <v>203</v>
      </c>
      <c r="E11" t="s">
        <v>203</v>
      </c>
      <c r="F11" t="s">
        <v>204</v>
      </c>
      <c r="G11" t="s">
        <v>209</v>
      </c>
      <c r="H11" t="s">
        <v>203</v>
      </c>
      <c r="I11" t="s">
        <v>204</v>
      </c>
      <c r="J11">
        <v>23.92</v>
      </c>
      <c r="K11">
        <v>19</v>
      </c>
      <c r="L11" t="s">
        <v>274</v>
      </c>
      <c r="M11">
        <v>4</v>
      </c>
    </row>
    <row r="12" spans="1:13" x14ac:dyDescent="0.25">
      <c r="A12" t="s">
        <v>107</v>
      </c>
      <c r="B12" t="s">
        <v>230</v>
      </c>
      <c r="C12" t="s">
        <v>231</v>
      </c>
      <c r="D12" t="s">
        <v>203</v>
      </c>
      <c r="E12" t="s">
        <v>203</v>
      </c>
      <c r="F12" t="s">
        <v>203</v>
      </c>
      <c r="G12" t="s">
        <v>203</v>
      </c>
      <c r="H12" t="s">
        <v>204</v>
      </c>
      <c r="I12" t="s">
        <v>204</v>
      </c>
      <c r="J12">
        <v>45.6</v>
      </c>
      <c r="K12">
        <v>2</v>
      </c>
      <c r="L12" t="s">
        <v>275</v>
      </c>
      <c r="M12">
        <v>2</v>
      </c>
    </row>
    <row r="13" spans="1:13" x14ac:dyDescent="0.25">
      <c r="A13" t="s">
        <v>112</v>
      </c>
      <c r="B13" t="s">
        <v>232</v>
      </c>
      <c r="C13" t="s">
        <v>233</v>
      </c>
      <c r="D13" t="s">
        <v>203</v>
      </c>
      <c r="E13">
        <v>1</v>
      </c>
      <c r="F13" t="s">
        <v>210</v>
      </c>
      <c r="G13" t="s">
        <v>211</v>
      </c>
      <c r="H13" t="s">
        <v>210</v>
      </c>
      <c r="I13" t="s">
        <v>207</v>
      </c>
      <c r="J13">
        <v>23.92</v>
      </c>
      <c r="K13">
        <v>20</v>
      </c>
      <c r="L13" t="s">
        <v>276</v>
      </c>
      <c r="M13">
        <v>24</v>
      </c>
    </row>
    <row r="14" spans="1:13" x14ac:dyDescent="0.25">
      <c r="A14" t="s">
        <v>117</v>
      </c>
      <c r="B14" t="s">
        <v>234</v>
      </c>
      <c r="C14" t="s">
        <v>235</v>
      </c>
      <c r="D14" t="s">
        <v>203</v>
      </c>
      <c r="E14">
        <v>1</v>
      </c>
      <c r="F14" t="s">
        <v>212</v>
      </c>
      <c r="G14" t="s">
        <v>211</v>
      </c>
      <c r="H14" t="s">
        <v>212</v>
      </c>
      <c r="I14" t="s">
        <v>209</v>
      </c>
      <c r="J14">
        <v>21.52</v>
      </c>
      <c r="K14">
        <v>21</v>
      </c>
      <c r="L14" t="s">
        <v>277</v>
      </c>
      <c r="M14">
        <v>21</v>
      </c>
    </row>
    <row r="15" spans="1:13" x14ac:dyDescent="0.25">
      <c r="A15" t="s">
        <v>122</v>
      </c>
      <c r="B15" t="s">
        <v>236</v>
      </c>
      <c r="C15" t="s">
        <v>235</v>
      </c>
      <c r="D15" t="s">
        <v>203</v>
      </c>
      <c r="E15">
        <v>1</v>
      </c>
      <c r="F15" t="s">
        <v>212</v>
      </c>
      <c r="G15" t="s">
        <v>211</v>
      </c>
      <c r="H15" t="s">
        <v>212</v>
      </c>
      <c r="I15" t="s">
        <v>209</v>
      </c>
      <c r="J15">
        <v>21.52</v>
      </c>
      <c r="K15">
        <v>22</v>
      </c>
      <c r="L15" t="s">
        <v>278</v>
      </c>
      <c r="M15">
        <v>21</v>
      </c>
    </row>
    <row r="16" spans="1:13" x14ac:dyDescent="0.25">
      <c r="A16" t="s">
        <v>124</v>
      </c>
      <c r="B16" t="s">
        <v>237</v>
      </c>
      <c r="C16" t="s">
        <v>238</v>
      </c>
      <c r="D16" t="s">
        <v>203</v>
      </c>
      <c r="E16" t="s">
        <v>203</v>
      </c>
      <c r="F16" t="s">
        <v>203</v>
      </c>
      <c r="G16" t="s">
        <v>209</v>
      </c>
      <c r="H16" t="s">
        <v>203</v>
      </c>
      <c r="I16" t="s">
        <v>203</v>
      </c>
      <c r="J16">
        <v>21.52</v>
      </c>
      <c r="K16">
        <v>23</v>
      </c>
      <c r="L16" t="s">
        <v>279</v>
      </c>
      <c r="M16">
        <v>2</v>
      </c>
    </row>
    <row r="17" spans="1:13" x14ac:dyDescent="0.25">
      <c r="A17" t="s">
        <v>129</v>
      </c>
      <c r="B17" t="s">
        <v>239</v>
      </c>
      <c r="C17" t="s">
        <v>238</v>
      </c>
      <c r="D17" t="s">
        <v>203</v>
      </c>
      <c r="E17" t="s">
        <v>203</v>
      </c>
      <c r="F17" t="s">
        <v>207</v>
      </c>
      <c r="G17" t="s">
        <v>208</v>
      </c>
      <c r="H17" t="s">
        <v>207</v>
      </c>
      <c r="I17" t="s">
        <v>203</v>
      </c>
      <c r="J17">
        <v>21.52</v>
      </c>
      <c r="K17">
        <v>24</v>
      </c>
      <c r="L17" t="s">
        <v>280</v>
      </c>
      <c r="M17">
        <v>10</v>
      </c>
    </row>
    <row r="18" spans="1:13" x14ac:dyDescent="0.25">
      <c r="A18" t="s">
        <v>132</v>
      </c>
      <c r="B18" t="s">
        <v>240</v>
      </c>
      <c r="C18" t="s">
        <v>241</v>
      </c>
      <c r="D18" t="s">
        <v>203</v>
      </c>
      <c r="E18" t="s">
        <v>203</v>
      </c>
      <c r="F18" t="s">
        <v>210</v>
      </c>
      <c r="G18" t="s">
        <v>206</v>
      </c>
      <c r="H18" t="s">
        <v>213</v>
      </c>
      <c r="I18" t="s">
        <v>210</v>
      </c>
      <c r="J18">
        <v>21.52</v>
      </c>
      <c r="K18">
        <v>25</v>
      </c>
      <c r="L18" t="s">
        <v>281</v>
      </c>
      <c r="M18">
        <v>32</v>
      </c>
    </row>
    <row r="19" spans="1:13" x14ac:dyDescent="0.25">
      <c r="A19" t="s">
        <v>137</v>
      </c>
      <c r="B19" t="s">
        <v>242</v>
      </c>
      <c r="C19" t="s">
        <v>243</v>
      </c>
      <c r="D19" t="s">
        <v>203</v>
      </c>
      <c r="E19" t="s">
        <v>203</v>
      </c>
      <c r="F19" t="s">
        <v>203</v>
      </c>
      <c r="G19" t="s">
        <v>203</v>
      </c>
      <c r="H19" t="s">
        <v>208</v>
      </c>
      <c r="I19" t="s">
        <v>208</v>
      </c>
      <c r="J19">
        <v>18.32</v>
      </c>
      <c r="K19">
        <v>26</v>
      </c>
      <c r="L19" t="s">
        <v>282</v>
      </c>
      <c r="M19">
        <v>8</v>
      </c>
    </row>
    <row r="20" spans="1:13" x14ac:dyDescent="0.25">
      <c r="A20" t="s">
        <v>141</v>
      </c>
      <c r="B20" t="s">
        <v>244</v>
      </c>
      <c r="C20" t="s">
        <v>245</v>
      </c>
      <c r="D20" t="s">
        <v>203</v>
      </c>
      <c r="E20" t="s">
        <v>203</v>
      </c>
      <c r="F20" t="s">
        <v>209</v>
      </c>
      <c r="G20" t="s">
        <v>203</v>
      </c>
      <c r="H20" t="s">
        <v>203</v>
      </c>
      <c r="I20" t="s">
        <v>203</v>
      </c>
      <c r="J20">
        <v>27.12</v>
      </c>
      <c r="K20">
        <v>27</v>
      </c>
      <c r="L20" t="s">
        <v>283</v>
      </c>
      <c r="M20">
        <v>2</v>
      </c>
    </row>
    <row r="21" spans="1:13" x14ac:dyDescent="0.25">
      <c r="A21" t="s">
        <v>145</v>
      </c>
      <c r="B21" t="s">
        <v>246</v>
      </c>
      <c r="C21" t="s">
        <v>247</v>
      </c>
      <c r="D21">
        <v>17</v>
      </c>
      <c r="E21" t="s">
        <v>203</v>
      </c>
      <c r="F21" t="s">
        <v>203</v>
      </c>
      <c r="G21" t="s">
        <v>203</v>
      </c>
      <c r="H21" t="s">
        <v>203</v>
      </c>
      <c r="I21" t="s">
        <v>203</v>
      </c>
      <c r="J21">
        <v>11.920000000000002</v>
      </c>
      <c r="K21">
        <v>28</v>
      </c>
      <c r="L21" t="s">
        <v>284</v>
      </c>
      <c r="M21">
        <v>17</v>
      </c>
    </row>
    <row r="22" spans="1:13" x14ac:dyDescent="0.25">
      <c r="A22" t="s">
        <v>150</v>
      </c>
      <c r="B22" t="s">
        <v>248</v>
      </c>
      <c r="C22" t="s">
        <v>243</v>
      </c>
      <c r="D22" t="s">
        <v>203</v>
      </c>
      <c r="E22" t="s">
        <v>203</v>
      </c>
      <c r="F22" t="s">
        <v>209</v>
      </c>
      <c r="G22" t="s">
        <v>208</v>
      </c>
      <c r="H22" t="s">
        <v>203</v>
      </c>
      <c r="I22" t="s">
        <v>203</v>
      </c>
      <c r="J22">
        <v>30.32</v>
      </c>
      <c r="K22">
        <v>29</v>
      </c>
      <c r="L22" t="s">
        <v>285</v>
      </c>
      <c r="M22">
        <v>6</v>
      </c>
    </row>
    <row r="23" spans="1:13" x14ac:dyDescent="0.25">
      <c r="A23" t="s">
        <v>154</v>
      </c>
      <c r="B23" t="s">
        <v>249</v>
      </c>
      <c r="C23" t="s">
        <v>250</v>
      </c>
      <c r="D23" t="s">
        <v>203</v>
      </c>
      <c r="E23" t="s">
        <v>203</v>
      </c>
      <c r="F23" t="s">
        <v>203</v>
      </c>
      <c r="G23" t="s">
        <v>208</v>
      </c>
      <c r="H23" t="s">
        <v>203</v>
      </c>
      <c r="I23" t="s">
        <v>203</v>
      </c>
      <c r="J23">
        <v>27.12</v>
      </c>
      <c r="K23">
        <v>3</v>
      </c>
      <c r="L23" t="s">
        <v>286</v>
      </c>
      <c r="M23">
        <v>4</v>
      </c>
    </row>
    <row r="24" spans="1:13" x14ac:dyDescent="0.25">
      <c r="A24" t="s">
        <v>159</v>
      </c>
      <c r="B24" t="s">
        <v>242</v>
      </c>
      <c r="C24" t="s">
        <v>243</v>
      </c>
      <c r="D24" t="s">
        <v>203</v>
      </c>
      <c r="E24" t="s">
        <v>203</v>
      </c>
      <c r="F24" t="s">
        <v>207</v>
      </c>
      <c r="G24" t="s">
        <v>207</v>
      </c>
      <c r="H24" t="s">
        <v>203</v>
      </c>
      <c r="I24" t="s">
        <v>203</v>
      </c>
      <c r="J24">
        <v>18.32</v>
      </c>
      <c r="K24">
        <v>30</v>
      </c>
      <c r="L24" t="s">
        <v>282</v>
      </c>
      <c r="M24">
        <v>6</v>
      </c>
    </row>
    <row r="25" spans="1:13" x14ac:dyDescent="0.25">
      <c r="A25" t="s">
        <v>162</v>
      </c>
      <c r="B25" t="s">
        <v>251</v>
      </c>
      <c r="C25" t="s">
        <v>252</v>
      </c>
      <c r="D25">
        <v>1</v>
      </c>
      <c r="E25" t="s">
        <v>203</v>
      </c>
      <c r="F25" t="s">
        <v>203</v>
      </c>
      <c r="G25" t="s">
        <v>203</v>
      </c>
      <c r="H25" t="s">
        <v>203</v>
      </c>
      <c r="I25" t="s">
        <v>203</v>
      </c>
      <c r="J25">
        <v>11.920000000000002</v>
      </c>
      <c r="K25">
        <v>31</v>
      </c>
      <c r="L25" t="s">
        <v>287</v>
      </c>
      <c r="M25">
        <v>1</v>
      </c>
    </row>
    <row r="26" spans="1:13" x14ac:dyDescent="0.25">
      <c r="A26" t="s">
        <v>167</v>
      </c>
      <c r="B26" t="s">
        <v>253</v>
      </c>
      <c r="C26" t="s">
        <v>254</v>
      </c>
      <c r="D26" t="s">
        <v>203</v>
      </c>
      <c r="E26" t="s">
        <v>203</v>
      </c>
      <c r="F26" t="s">
        <v>209</v>
      </c>
      <c r="G26" t="s">
        <v>203</v>
      </c>
      <c r="H26" t="s">
        <v>209</v>
      </c>
      <c r="I26" t="s">
        <v>209</v>
      </c>
      <c r="J26">
        <v>23.92</v>
      </c>
      <c r="K26">
        <v>4</v>
      </c>
      <c r="L26" t="s">
        <v>288</v>
      </c>
      <c r="M26">
        <v>6</v>
      </c>
    </row>
    <row r="27" spans="1:13" x14ac:dyDescent="0.25">
      <c r="A27" t="s">
        <v>172</v>
      </c>
      <c r="B27" t="s">
        <v>255</v>
      </c>
      <c r="C27" t="s">
        <v>256</v>
      </c>
      <c r="D27" t="s">
        <v>203</v>
      </c>
      <c r="E27">
        <v>2</v>
      </c>
      <c r="F27" t="s">
        <v>210</v>
      </c>
      <c r="G27" t="s">
        <v>211</v>
      </c>
      <c r="H27" t="s">
        <v>210</v>
      </c>
      <c r="I27" t="s">
        <v>207</v>
      </c>
      <c r="J27">
        <v>23.92</v>
      </c>
      <c r="K27">
        <v>5</v>
      </c>
      <c r="L27" t="s">
        <v>289</v>
      </c>
      <c r="M27">
        <v>25</v>
      </c>
    </row>
    <row r="28" spans="1:13" x14ac:dyDescent="0.25">
      <c r="A28" t="s">
        <v>178</v>
      </c>
      <c r="B28" t="s">
        <v>257</v>
      </c>
      <c r="C28" t="s">
        <v>258</v>
      </c>
      <c r="D28" t="s">
        <v>203</v>
      </c>
      <c r="E28" t="s">
        <v>203</v>
      </c>
      <c r="F28" t="s">
        <v>209</v>
      </c>
      <c r="G28" t="s">
        <v>208</v>
      </c>
      <c r="H28" t="s">
        <v>203</v>
      </c>
      <c r="I28" t="s">
        <v>203</v>
      </c>
      <c r="J28">
        <v>30.32</v>
      </c>
      <c r="K28">
        <v>6</v>
      </c>
      <c r="L28" t="s">
        <v>290</v>
      </c>
      <c r="M28">
        <v>6</v>
      </c>
    </row>
    <row r="29" spans="1:13" x14ac:dyDescent="0.25">
      <c r="A29" t="s">
        <v>181</v>
      </c>
      <c r="B29" t="s">
        <v>259</v>
      </c>
      <c r="C29" t="s">
        <v>219</v>
      </c>
      <c r="D29" t="s">
        <v>203</v>
      </c>
      <c r="E29" t="s">
        <v>203</v>
      </c>
      <c r="F29" t="s">
        <v>209</v>
      </c>
      <c r="G29" t="s">
        <v>208</v>
      </c>
      <c r="H29" t="s">
        <v>203</v>
      </c>
      <c r="I29" t="s">
        <v>203</v>
      </c>
      <c r="J29">
        <v>21.52</v>
      </c>
      <c r="K29">
        <v>7</v>
      </c>
      <c r="L29" t="s">
        <v>291</v>
      </c>
      <c r="M29">
        <v>6</v>
      </c>
    </row>
    <row r="30" spans="1:13" x14ac:dyDescent="0.25">
      <c r="A30" t="s">
        <v>185</v>
      </c>
      <c r="B30" t="s">
        <v>260</v>
      </c>
      <c r="C30" t="s">
        <v>261</v>
      </c>
      <c r="D30">
        <v>6</v>
      </c>
      <c r="E30" t="s">
        <v>203</v>
      </c>
      <c r="F30" t="s">
        <v>203</v>
      </c>
      <c r="G30" t="s">
        <v>203</v>
      </c>
      <c r="H30" t="s">
        <v>203</v>
      </c>
      <c r="I30" t="s">
        <v>203</v>
      </c>
      <c r="J30">
        <v>11.920000000000002</v>
      </c>
      <c r="K30">
        <v>8</v>
      </c>
      <c r="L30" t="s">
        <v>292</v>
      </c>
      <c r="M30">
        <v>6</v>
      </c>
    </row>
    <row r="31" spans="1:13" x14ac:dyDescent="0.25">
      <c r="A31" t="s">
        <v>189</v>
      </c>
      <c r="B31" t="s">
        <v>262</v>
      </c>
      <c r="C31" t="s">
        <v>263</v>
      </c>
      <c r="D31" t="s">
        <v>203</v>
      </c>
      <c r="E31">
        <v>1</v>
      </c>
      <c r="F31" t="s">
        <v>208</v>
      </c>
      <c r="G31" t="s">
        <v>210</v>
      </c>
      <c r="H31" t="s">
        <v>208</v>
      </c>
      <c r="I31" t="s">
        <v>209</v>
      </c>
      <c r="J31">
        <v>18.32</v>
      </c>
      <c r="K31">
        <v>9</v>
      </c>
      <c r="L31" t="s">
        <v>293</v>
      </c>
      <c r="M31">
        <v>17</v>
      </c>
    </row>
  </sheetData>
  <sortState xmlns:xlrd2="http://schemas.microsoft.com/office/spreadsheetml/2017/richdata2" ref="A1:N31">
    <sortCondition ref="A1:A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U33"/>
  <sheetViews>
    <sheetView tabSelected="1" topLeftCell="A2" workbookViewId="0">
      <selection activeCell="J33" sqref="E3:J33"/>
    </sheetView>
  </sheetViews>
  <sheetFormatPr defaultRowHeight="15" x14ac:dyDescent="0.25"/>
  <cols>
    <col min="1" max="1" width="10.7109375" style="8" customWidth="1"/>
    <col min="2" max="3" width="10.7109375" style="14" customWidth="1"/>
    <col min="4" max="4" width="28.140625" style="8" bestFit="1" customWidth="1"/>
    <col min="5" max="10" width="10.7109375" style="14" customWidth="1"/>
    <col min="11" max="11" width="10.7109375" style="2" customWidth="1"/>
    <col min="12" max="12" width="10.7109375" customWidth="1"/>
    <col min="13" max="13" width="12" bestFit="1" customWidth="1"/>
    <col min="15" max="15" width="12" bestFit="1" customWidth="1"/>
    <col min="16" max="16" width="3" bestFit="1" customWidth="1"/>
  </cols>
  <sheetData>
    <row r="1" spans="1:21" s="1" customFormat="1" hidden="1" x14ac:dyDescent="0.25">
      <c r="A1" s="12" cm="1">
        <f t="array" ref="A1:A32">_xlfn.UNIQUE(Calculation!B:B,0,0)</f>
        <v>0</v>
      </c>
      <c r="B1" s="13"/>
      <c r="C1" s="13"/>
      <c r="D1" s="12"/>
      <c r="E1" s="13"/>
      <c r="F1" s="13"/>
      <c r="G1" s="13"/>
      <c r="H1" s="13"/>
      <c r="I1" s="13"/>
      <c r="J1" s="13"/>
      <c r="K1" s="10"/>
      <c r="L1" s="11"/>
    </row>
    <row r="2" spans="1:21" x14ac:dyDescent="0.25">
      <c r="A2" s="16" t="str">
        <v>Article</v>
      </c>
      <c r="B2" s="16" t="s">
        <v>201</v>
      </c>
      <c r="C2" s="16" t="s">
        <v>202</v>
      </c>
      <c r="D2" s="16" t="str">
        <f>_xlfn.XLOOKUP($A2,Calculation!$B:$B,Calculation!C:C,"ERR",0)</f>
        <v>Name</v>
      </c>
      <c r="E2" s="16" t="str">
        <f>_xlfn.XLOOKUP($A2,Calculation!$B:$B,Calculation!D:D,"ERR",0)</f>
        <v>OSFA</v>
      </c>
      <c r="F2" s="16">
        <f>IFERROR(VALUE(_xlfn.XLOOKUP($A2,Calculation!$B:$B,Calculation!E:E,"ERR",0)),"")</f>
        <v>55</v>
      </c>
      <c r="G2" s="16">
        <f>IFERROR(VALUE(_xlfn.XLOOKUP($A2,Calculation!$B:$B,Calculation!F:F,"ERR",0)),"")</f>
        <v>57</v>
      </c>
      <c r="H2" s="16">
        <f>_xlfn.XLOOKUP($A2,Calculation!$B:$B,Calculation!G:G,"ERR",0)</f>
        <v>59</v>
      </c>
      <c r="I2" s="16">
        <f>_xlfn.XLOOKUP($A2,Calculation!$B:$B,Calculation!H:H,"ERR",0)</f>
        <v>61</v>
      </c>
      <c r="J2" s="16">
        <f>_xlfn.XLOOKUP($A2,Calculation!$B:$B,Calculation!I:I,"ERR",0)</f>
        <v>63</v>
      </c>
      <c r="K2" s="17" t="str">
        <f>_xlfn.XLOOKUP($A2,Calculation!$B:$B,Calculation!J:J,"ERR",0)</f>
        <v>Price</v>
      </c>
      <c r="L2" s="18" t="s">
        <v>55</v>
      </c>
    </row>
    <row r="3" spans="1:21" s="3" customFormat="1" x14ac:dyDescent="0.25">
      <c r="A3" s="9" t="str">
        <v>24584017</v>
      </c>
      <c r="B3" s="15" t="str">
        <f t="shared" ref="B3:B32" si="0">LEFT(A3,7)</f>
        <v>2458401</v>
      </c>
      <c r="C3" s="15" t="str">
        <f t="shared" ref="C3:C32" si="1">MID(A3,8,99)</f>
        <v>7</v>
      </c>
      <c r="D3" s="14" t="str">
        <f>_xlfn.XLOOKUP($A3,Calculation!$B:$B,Calculation!C:C,"ERR",0)</f>
        <v xml:space="preserve">Traveller Panama 7/8 </v>
      </c>
      <c r="E3" s="14" t="str">
        <f>IFERROR(VALUE(_xlfn.XLOOKUP($A3,Calculation!$B:$B,Calculation!D:D,"ERR",0)),"")</f>
        <v/>
      </c>
      <c r="F3" s="14" t="str">
        <f>IFERROR(VALUE(_xlfn.XLOOKUP($A3,Calculation!$B:$B,Calculation!E:E,"ERR",0)),"")</f>
        <v/>
      </c>
      <c r="G3" s="14" t="str">
        <f>IFERROR(VALUE(_xlfn.XLOOKUP($A3,Calculation!$B:$B,Calculation!F:F,"ERR",0)),"")</f>
        <v/>
      </c>
      <c r="H3" s="15">
        <f>IFERROR(VALUE(_xlfn.XLOOKUP($A3,Calculation!$B:$B,Calculation!G:G,"ERR",0)),"")</f>
        <v>1</v>
      </c>
      <c r="I3" s="15">
        <f>IFERROR(VALUE(_xlfn.XLOOKUP($A3,Calculation!$B:$B,Calculation!H:H,"ERR",0)),"")</f>
        <v>1</v>
      </c>
      <c r="J3" s="15" t="str">
        <f>IFERROR(VALUE(_xlfn.XLOOKUP($A3,Calculation!$B:$B,Calculation!I:I,"ERR",0)),"")</f>
        <v/>
      </c>
      <c r="K3" s="7">
        <f>VALUE(_xlfn.XLOOKUP($A3,Calculation!$B:$B,Calculation!J:J,"ERR",0))</f>
        <v>92</v>
      </c>
      <c r="L3" s="4">
        <f>SUM(E3:J3)*K3</f>
        <v>184</v>
      </c>
      <c r="M3" s="3" t="s">
        <v>264</v>
      </c>
      <c r="O3" s="3" t="s">
        <v>264</v>
      </c>
      <c r="P3" s="3">
        <v>2</v>
      </c>
    </row>
    <row r="4" spans="1:21" x14ac:dyDescent="0.25">
      <c r="A4" s="8" t="str">
        <v>684390528</v>
      </c>
      <c r="B4" s="15" t="str">
        <f t="shared" si="0"/>
        <v>6843905</v>
      </c>
      <c r="C4" s="15" t="str">
        <f t="shared" si="1"/>
        <v>28</v>
      </c>
      <c r="D4" s="14" t="str">
        <f>_xlfn.XLOOKUP($A4,Calculation!$B:$B,Calculation!C:C,"ERR",0)</f>
        <v xml:space="preserve">Hatteras Patchwork </v>
      </c>
      <c r="E4" s="14" t="str">
        <f>IFERROR(VALUE(_xlfn.XLOOKUP($A4,Calculation!$B:$B,Calculation!D:D,"ERR",0)),"")</f>
        <v/>
      </c>
      <c r="F4" s="14">
        <f>IFERROR(VALUE(_xlfn.XLOOKUP($A4,Calculation!$B:$B,Calculation!E:E,"ERR",0)),"")</f>
        <v>3</v>
      </c>
      <c r="G4" s="14">
        <f>IFERROR(VALUE(_xlfn.XLOOKUP($A4,Calculation!$B:$B,Calculation!F:F,"ERR",0)),"")</f>
        <v>7</v>
      </c>
      <c r="H4" s="15">
        <f>IFERROR(VALUE(_xlfn.XLOOKUP($A4,Calculation!$B:$B,Calculation!G:G,"ERR",0)),"")</f>
        <v>9</v>
      </c>
      <c r="I4" s="15">
        <f>IFERROR(VALUE(_xlfn.XLOOKUP($A4,Calculation!$B:$B,Calculation!H:H,"ERR",0)),"")</f>
        <v>7</v>
      </c>
      <c r="J4" s="15">
        <f>IFERROR(VALUE(_xlfn.XLOOKUP($A4,Calculation!$B:$B,Calculation!I:I,"ERR",0)),"")</f>
        <v>3</v>
      </c>
      <c r="K4" s="7">
        <f>VALUE(_xlfn.XLOOKUP($A4,Calculation!$B:$B,Calculation!J:J,"ERR",0))</f>
        <v>23.92</v>
      </c>
      <c r="L4" s="4">
        <f t="shared" ref="L4:L30" si="2">SUM(E4:J4)*K4</f>
        <v>693.68000000000006</v>
      </c>
      <c r="M4" t="s">
        <v>265</v>
      </c>
      <c r="O4" t="s">
        <v>265</v>
      </c>
      <c r="P4">
        <v>29</v>
      </c>
      <c r="T4" s="3"/>
      <c r="U4" s="3"/>
    </row>
    <row r="5" spans="1:21" x14ac:dyDescent="0.25">
      <c r="A5" s="8" t="str">
        <v>661110523</v>
      </c>
      <c r="B5" s="15" t="str">
        <f t="shared" si="0"/>
        <v>6611105</v>
      </c>
      <c r="C5" s="15" t="str">
        <f t="shared" si="1"/>
        <v>23</v>
      </c>
      <c r="D5" s="14" t="str">
        <f>_xlfn.XLOOKUP($A5,Calculation!$B:$B,Calculation!C:C,"ERR",0)</f>
        <v xml:space="preserve">Texas Cotton </v>
      </c>
      <c r="E5" s="14" t="str">
        <f>IFERROR(VALUE(_xlfn.XLOOKUP($A5,Calculation!$B:$B,Calculation!D:D,"ERR",0)),"")</f>
        <v/>
      </c>
      <c r="F5" s="14" t="str">
        <f>IFERROR(VALUE(_xlfn.XLOOKUP($A5,Calculation!$B:$B,Calculation!E:E,"ERR",0)),"")</f>
        <v/>
      </c>
      <c r="G5" s="14" t="str">
        <f>IFERROR(VALUE(_xlfn.XLOOKUP($A5,Calculation!$B:$B,Calculation!F:F,"ERR",0)),"")</f>
        <v/>
      </c>
      <c r="H5" s="15">
        <f>IFERROR(VALUE(_xlfn.XLOOKUP($A5,Calculation!$B:$B,Calculation!G:G,"ERR",0)),"")</f>
        <v>4</v>
      </c>
      <c r="I5" s="15">
        <f>IFERROR(VALUE(_xlfn.XLOOKUP($A5,Calculation!$B:$B,Calculation!H:H,"ERR",0)),"")</f>
        <v>2</v>
      </c>
      <c r="J5" s="15" t="str">
        <f>IFERROR(VALUE(_xlfn.XLOOKUP($A5,Calculation!$B:$B,Calculation!I:I,"ERR",0)),"")</f>
        <v/>
      </c>
      <c r="K5" s="7">
        <f>VALUE(_xlfn.XLOOKUP($A5,Calculation!$B:$B,Calculation!J:J,"ERR",0))</f>
        <v>10.32</v>
      </c>
      <c r="L5" s="4">
        <f t="shared" si="2"/>
        <v>61.92</v>
      </c>
      <c r="M5" t="s">
        <v>266</v>
      </c>
      <c r="O5" t="s">
        <v>266</v>
      </c>
      <c r="P5">
        <v>6</v>
      </c>
      <c r="T5" s="3"/>
      <c r="U5" s="3"/>
    </row>
    <row r="6" spans="1:21" x14ac:dyDescent="0.25">
      <c r="A6" s="8" t="str">
        <v>77111011</v>
      </c>
      <c r="B6" s="15" t="str">
        <f t="shared" si="0"/>
        <v>7711101</v>
      </c>
      <c r="C6" s="15" t="str">
        <f t="shared" si="1"/>
        <v>1</v>
      </c>
      <c r="D6" s="14" t="str">
        <f>_xlfn.XLOOKUP($A6,Calculation!$B:$B,Calculation!C:C,"ERR",0)</f>
        <v xml:space="preserve">Baseball Cap Cotton </v>
      </c>
      <c r="E6" s="14">
        <f>IFERROR(VALUE(_xlfn.XLOOKUP($A6,Calculation!$B:$B,Calculation!D:D,"ERR",0)),"")</f>
        <v>95</v>
      </c>
      <c r="F6" s="14" t="str">
        <f>IFERROR(VALUE(_xlfn.XLOOKUP($A6,Calculation!$B:$B,Calculation!E:E,"ERR",0)),"")</f>
        <v/>
      </c>
      <c r="G6" s="14" t="str">
        <f>IFERROR(VALUE(_xlfn.XLOOKUP($A6,Calculation!$B:$B,Calculation!F:F,"ERR",0)),"")</f>
        <v/>
      </c>
      <c r="H6" s="15" t="str">
        <f>IFERROR(VALUE(_xlfn.XLOOKUP($A6,Calculation!$B:$B,Calculation!G:G,"ERR",0)),"")</f>
        <v/>
      </c>
      <c r="I6" s="15" t="str">
        <f>IFERROR(VALUE(_xlfn.XLOOKUP($A6,Calculation!$B:$B,Calculation!H:H,"ERR",0)),"")</f>
        <v/>
      </c>
      <c r="J6" s="15" t="str">
        <f>IFERROR(VALUE(_xlfn.XLOOKUP($A6,Calculation!$B:$B,Calculation!I:I,"ERR",0)),"")</f>
        <v/>
      </c>
      <c r="K6" s="7">
        <f>VALUE(_xlfn.XLOOKUP($A6,Calculation!$B:$B,Calculation!J:J,"ERR",0))</f>
        <v>8.7200000000000006</v>
      </c>
      <c r="L6" s="4">
        <f t="shared" si="2"/>
        <v>828.40000000000009</v>
      </c>
      <c r="M6" t="s">
        <v>267</v>
      </c>
      <c r="O6" t="s">
        <v>267</v>
      </c>
      <c r="P6">
        <v>95</v>
      </c>
      <c r="T6" s="3"/>
      <c r="U6" s="3"/>
    </row>
    <row r="7" spans="1:21" x14ac:dyDescent="0.25">
      <c r="A7" s="8" t="str">
        <v>77111012</v>
      </c>
      <c r="B7" s="15" t="str">
        <f t="shared" si="0"/>
        <v>7711101</v>
      </c>
      <c r="C7" s="15" t="str">
        <f t="shared" si="1"/>
        <v>2</v>
      </c>
      <c r="D7" s="14" t="str">
        <f>_xlfn.XLOOKUP($A7,Calculation!$B:$B,Calculation!C:C,"ERR",0)</f>
        <v xml:space="preserve">Baseball Cap Cotton </v>
      </c>
      <c r="E7" s="14">
        <f>IFERROR(VALUE(_xlfn.XLOOKUP($A7,Calculation!$B:$B,Calculation!D:D,"ERR",0)),"")</f>
        <v>45</v>
      </c>
      <c r="F7" s="14" t="str">
        <f>IFERROR(VALUE(_xlfn.XLOOKUP($A7,Calculation!$B:$B,Calculation!E:E,"ERR",0)),"")</f>
        <v/>
      </c>
      <c r="G7" s="14" t="str">
        <f>IFERROR(VALUE(_xlfn.XLOOKUP($A7,Calculation!$B:$B,Calculation!F:F,"ERR",0)),"")</f>
        <v/>
      </c>
      <c r="H7" s="15" t="str">
        <f>IFERROR(VALUE(_xlfn.XLOOKUP($A7,Calculation!$B:$B,Calculation!G:G,"ERR",0)),"")</f>
        <v/>
      </c>
      <c r="I7" s="15" t="str">
        <f>IFERROR(VALUE(_xlfn.XLOOKUP($A7,Calculation!$B:$B,Calculation!H:H,"ERR",0)),"")</f>
        <v/>
      </c>
      <c r="J7" s="15" t="str">
        <f>IFERROR(VALUE(_xlfn.XLOOKUP($A7,Calculation!$B:$B,Calculation!I:I,"ERR",0)),"")</f>
        <v/>
      </c>
      <c r="K7" s="7">
        <f>VALUE(_xlfn.XLOOKUP($A7,Calculation!$B:$B,Calculation!J:J,"ERR",0))</f>
        <v>8.7200000000000006</v>
      </c>
      <c r="L7" s="4">
        <f t="shared" si="2"/>
        <v>392.40000000000003</v>
      </c>
      <c r="M7" t="s">
        <v>268</v>
      </c>
      <c r="O7" t="s">
        <v>268</v>
      </c>
      <c r="P7">
        <v>45</v>
      </c>
      <c r="T7" s="3"/>
      <c r="U7" s="3"/>
    </row>
    <row r="8" spans="1:21" x14ac:dyDescent="0.25">
      <c r="A8" s="8" t="str">
        <v>771110120</v>
      </c>
      <c r="B8" s="15" t="str">
        <f t="shared" si="0"/>
        <v>7711101</v>
      </c>
      <c r="C8" s="15" t="str">
        <f t="shared" si="1"/>
        <v>20</v>
      </c>
      <c r="D8" s="14" t="str">
        <f>_xlfn.XLOOKUP($A8,Calculation!$B:$B,Calculation!C:C,"ERR",0)</f>
        <v xml:space="preserve">Baseball Cap Cotton </v>
      </c>
      <c r="E8" s="14">
        <f>IFERROR(VALUE(_xlfn.XLOOKUP($A8,Calculation!$B:$B,Calculation!D:D,"ERR",0)),"")</f>
        <v>25</v>
      </c>
      <c r="F8" s="14" t="str">
        <f>IFERROR(VALUE(_xlfn.XLOOKUP($A8,Calculation!$B:$B,Calculation!E:E,"ERR",0)),"")</f>
        <v/>
      </c>
      <c r="G8" s="14" t="str">
        <f>IFERROR(VALUE(_xlfn.XLOOKUP($A8,Calculation!$B:$B,Calculation!F:F,"ERR",0)),"")</f>
        <v/>
      </c>
      <c r="H8" s="15" t="str">
        <f>IFERROR(VALUE(_xlfn.XLOOKUP($A8,Calculation!$B:$B,Calculation!G:G,"ERR",0)),"")</f>
        <v/>
      </c>
      <c r="I8" s="15" t="str">
        <f>IFERROR(VALUE(_xlfn.XLOOKUP($A8,Calculation!$B:$B,Calculation!H:H,"ERR",0)),"")</f>
        <v/>
      </c>
      <c r="J8" s="15" t="str">
        <f>IFERROR(VALUE(_xlfn.XLOOKUP($A8,Calculation!$B:$B,Calculation!I:I,"ERR",0)),"")</f>
        <v/>
      </c>
      <c r="K8" s="7">
        <f>VALUE(_xlfn.XLOOKUP($A8,Calculation!$B:$B,Calculation!J:J,"ERR",0))</f>
        <v>8.7200000000000006</v>
      </c>
      <c r="L8" s="4">
        <f t="shared" si="2"/>
        <v>218.00000000000003</v>
      </c>
      <c r="M8" t="s">
        <v>269</v>
      </c>
      <c r="O8" t="s">
        <v>269</v>
      </c>
      <c r="P8">
        <v>25</v>
      </c>
      <c r="T8" s="3"/>
      <c r="U8" s="3"/>
    </row>
    <row r="9" spans="1:21" x14ac:dyDescent="0.25">
      <c r="A9" s="8" t="str">
        <v>771110132</v>
      </c>
      <c r="B9" s="15" t="str">
        <f t="shared" si="0"/>
        <v>7711101</v>
      </c>
      <c r="C9" s="15" t="str">
        <f t="shared" si="1"/>
        <v>32</v>
      </c>
      <c r="D9" s="14" t="str">
        <f>_xlfn.XLOOKUP($A9,Calculation!$B:$B,Calculation!C:C,"ERR",0)</f>
        <v xml:space="preserve">Baseball Cap Cotton </v>
      </c>
      <c r="E9" s="14">
        <f>IFERROR(VALUE(_xlfn.XLOOKUP($A9,Calculation!$B:$B,Calculation!D:D,"ERR",0)),"")</f>
        <v>75</v>
      </c>
      <c r="F9" s="14" t="str">
        <f>IFERROR(VALUE(_xlfn.XLOOKUP($A9,Calculation!$B:$B,Calculation!E:E,"ERR",0)),"")</f>
        <v/>
      </c>
      <c r="G9" s="14" t="str">
        <f>IFERROR(VALUE(_xlfn.XLOOKUP($A9,Calculation!$B:$B,Calculation!F:F,"ERR",0)),"")</f>
        <v/>
      </c>
      <c r="H9" s="15" t="str">
        <f>IFERROR(VALUE(_xlfn.XLOOKUP($A9,Calculation!$B:$B,Calculation!G:G,"ERR",0)),"")</f>
        <v/>
      </c>
      <c r="I9" s="15" t="str">
        <f>IFERROR(VALUE(_xlfn.XLOOKUP($A9,Calculation!$B:$B,Calculation!H:H,"ERR",0)),"")</f>
        <v/>
      </c>
      <c r="J9" s="15" t="str">
        <f>IFERROR(VALUE(_xlfn.XLOOKUP($A9,Calculation!$B:$B,Calculation!I:I,"ERR",0)),"")</f>
        <v/>
      </c>
      <c r="K9" s="7">
        <f>VALUE(_xlfn.XLOOKUP($A9,Calculation!$B:$B,Calculation!J:J,"ERR",0))</f>
        <v>8.7200000000000006</v>
      </c>
      <c r="L9" s="4">
        <f t="shared" si="2"/>
        <v>654</v>
      </c>
      <c r="M9" t="s">
        <v>270</v>
      </c>
      <c r="O9" t="s">
        <v>270</v>
      </c>
      <c r="P9">
        <v>75</v>
      </c>
      <c r="T9" s="3"/>
      <c r="U9" s="3"/>
    </row>
    <row r="10" spans="1:21" x14ac:dyDescent="0.25">
      <c r="A10" s="8" t="str">
        <v>771110155</v>
      </c>
      <c r="B10" s="15" t="str">
        <f t="shared" si="0"/>
        <v>7711101</v>
      </c>
      <c r="C10" s="15" t="str">
        <f t="shared" si="1"/>
        <v>55</v>
      </c>
      <c r="D10" s="14" t="str">
        <f>_xlfn.XLOOKUP($A10,Calculation!$B:$B,Calculation!C:C,"ERR",0)</f>
        <v xml:space="preserve">Baseball Cap Cotton </v>
      </c>
      <c r="E10" s="14">
        <f>IFERROR(VALUE(_xlfn.XLOOKUP($A10,Calculation!$B:$B,Calculation!D:D,"ERR",0)),"")</f>
        <v>75</v>
      </c>
      <c r="F10" s="14" t="str">
        <f>IFERROR(VALUE(_xlfn.XLOOKUP($A10,Calculation!$B:$B,Calculation!E:E,"ERR",0)),"")</f>
        <v/>
      </c>
      <c r="G10" s="14" t="str">
        <f>IFERROR(VALUE(_xlfn.XLOOKUP($A10,Calculation!$B:$B,Calculation!F:F,"ERR",0)),"")</f>
        <v/>
      </c>
      <c r="H10" s="15" t="str">
        <f>IFERROR(VALUE(_xlfn.XLOOKUP($A10,Calculation!$B:$B,Calculation!G:G,"ERR",0)),"")</f>
        <v/>
      </c>
      <c r="I10" s="15" t="str">
        <f>IFERROR(VALUE(_xlfn.XLOOKUP($A10,Calculation!$B:$B,Calculation!H:H,"ERR",0)),"")</f>
        <v/>
      </c>
      <c r="J10" s="15" t="str">
        <f>IFERROR(VALUE(_xlfn.XLOOKUP($A10,Calculation!$B:$B,Calculation!I:I,"ERR",0)),"")</f>
        <v/>
      </c>
      <c r="K10" s="7">
        <f>VALUE(_xlfn.XLOOKUP($A10,Calculation!$B:$B,Calculation!J:J,"ERR",0))</f>
        <v>8.7200000000000006</v>
      </c>
      <c r="L10" s="4">
        <f t="shared" si="2"/>
        <v>654</v>
      </c>
      <c r="M10" t="s">
        <v>271</v>
      </c>
      <c r="O10" t="s">
        <v>271</v>
      </c>
      <c r="P10">
        <v>75</v>
      </c>
      <c r="T10" s="3"/>
      <c r="U10" s="3"/>
    </row>
    <row r="11" spans="1:21" x14ac:dyDescent="0.25">
      <c r="A11" s="8" t="str">
        <v>771110171</v>
      </c>
      <c r="B11" s="15" t="str">
        <f t="shared" si="0"/>
        <v>7711101</v>
      </c>
      <c r="C11" s="15" t="str">
        <f t="shared" si="1"/>
        <v>71</v>
      </c>
      <c r="D11" s="14" t="str">
        <f>_xlfn.XLOOKUP($A11,Calculation!$B:$B,Calculation!C:C,"ERR",0)</f>
        <v xml:space="preserve">Baseball Cap Cotton </v>
      </c>
      <c r="E11" s="14">
        <f>IFERROR(VALUE(_xlfn.XLOOKUP($A11,Calculation!$B:$B,Calculation!D:D,"ERR",0)),"")</f>
        <v>72</v>
      </c>
      <c r="F11" s="14" t="str">
        <f>IFERROR(VALUE(_xlfn.XLOOKUP($A11,Calculation!$B:$B,Calculation!E:E,"ERR",0)),"")</f>
        <v/>
      </c>
      <c r="G11" s="14" t="str">
        <f>IFERROR(VALUE(_xlfn.XLOOKUP($A11,Calculation!$B:$B,Calculation!F:F,"ERR",0)),"")</f>
        <v/>
      </c>
      <c r="H11" s="15" t="str">
        <f>IFERROR(VALUE(_xlfn.XLOOKUP($A11,Calculation!$B:$B,Calculation!G:G,"ERR",0)),"")</f>
        <v/>
      </c>
      <c r="I11" s="15" t="str">
        <f>IFERROR(VALUE(_xlfn.XLOOKUP($A11,Calculation!$B:$B,Calculation!H:H,"ERR",0)),"")</f>
        <v/>
      </c>
      <c r="J11" s="15" t="str">
        <f>IFERROR(VALUE(_xlfn.XLOOKUP($A11,Calculation!$B:$B,Calculation!I:I,"ERR",0)),"")</f>
        <v/>
      </c>
      <c r="K11" s="7">
        <f>VALUE(_xlfn.XLOOKUP($A11,Calculation!$B:$B,Calculation!J:J,"ERR",0))</f>
        <v>8.7200000000000006</v>
      </c>
      <c r="L11" s="4">
        <f t="shared" si="2"/>
        <v>627.84</v>
      </c>
      <c r="M11" t="s">
        <v>272</v>
      </c>
      <c r="O11" t="s">
        <v>272</v>
      </c>
      <c r="P11">
        <v>72</v>
      </c>
      <c r="T11" s="3"/>
      <c r="U11" s="3"/>
    </row>
    <row r="12" spans="1:21" x14ac:dyDescent="0.25">
      <c r="A12" s="8" t="str">
        <v>771110186</v>
      </c>
      <c r="B12" s="15" t="str">
        <f t="shared" si="0"/>
        <v>7711101</v>
      </c>
      <c r="C12" s="15" t="str">
        <f t="shared" si="1"/>
        <v>86</v>
      </c>
      <c r="D12" s="14" t="str">
        <f>_xlfn.XLOOKUP($A12,Calculation!$B:$B,Calculation!C:C,"ERR",0)</f>
        <v xml:space="preserve">Baseball Cap Cotton </v>
      </c>
      <c r="E12" s="14">
        <f>IFERROR(VALUE(_xlfn.XLOOKUP($A12,Calculation!$B:$B,Calculation!D:D,"ERR",0)),"")</f>
        <v>60</v>
      </c>
      <c r="F12" s="14" t="str">
        <f>IFERROR(VALUE(_xlfn.XLOOKUP($A12,Calculation!$B:$B,Calculation!E:E,"ERR",0)),"")</f>
        <v/>
      </c>
      <c r="G12" s="14" t="str">
        <f>IFERROR(VALUE(_xlfn.XLOOKUP($A12,Calculation!$B:$B,Calculation!F:F,"ERR",0)),"")</f>
        <v/>
      </c>
      <c r="H12" s="15" t="str">
        <f>IFERROR(VALUE(_xlfn.XLOOKUP($A12,Calculation!$B:$B,Calculation!G:G,"ERR",0)),"")</f>
        <v/>
      </c>
      <c r="I12" s="15" t="str">
        <f>IFERROR(VALUE(_xlfn.XLOOKUP($A12,Calculation!$B:$B,Calculation!H:H,"ERR",0)),"")</f>
        <v/>
      </c>
      <c r="J12" s="15" t="str">
        <f>IFERROR(VALUE(_xlfn.XLOOKUP($A12,Calculation!$B:$B,Calculation!I:I,"ERR",0)),"")</f>
        <v/>
      </c>
      <c r="K12" s="7">
        <f>VALUE(_xlfn.XLOOKUP($A12,Calculation!$B:$B,Calculation!J:J,"ERR",0))</f>
        <v>8.7200000000000006</v>
      </c>
      <c r="L12" s="4">
        <f t="shared" si="2"/>
        <v>523.20000000000005</v>
      </c>
      <c r="M12" t="s">
        <v>273</v>
      </c>
      <c r="O12" t="s">
        <v>273</v>
      </c>
      <c r="P12">
        <v>60</v>
      </c>
      <c r="T12" s="3"/>
      <c r="U12" s="3"/>
    </row>
    <row r="13" spans="1:21" x14ac:dyDescent="0.25">
      <c r="A13" s="8" t="str">
        <v>6841504310</v>
      </c>
      <c r="B13" s="15" t="str">
        <f t="shared" si="0"/>
        <v>6841504</v>
      </c>
      <c r="C13" s="15" t="str">
        <f t="shared" si="1"/>
        <v>310</v>
      </c>
      <c r="D13" s="14" t="str">
        <f>_xlfn.XLOOKUP($A13,Calculation!$B:$B,Calculation!C:C,"ERR",0)</f>
        <v xml:space="preserve">Hatteras Cotton/Linen </v>
      </c>
      <c r="E13" s="14" t="str">
        <f>IFERROR(VALUE(_xlfn.XLOOKUP($A13,Calculation!$B:$B,Calculation!D:D,"ERR",0)),"")</f>
        <v/>
      </c>
      <c r="F13" s="14" t="str">
        <f>IFERROR(VALUE(_xlfn.XLOOKUP($A13,Calculation!$B:$B,Calculation!E:E,"ERR",0)),"")</f>
        <v/>
      </c>
      <c r="G13" s="14">
        <f>IFERROR(VALUE(_xlfn.XLOOKUP($A13,Calculation!$B:$B,Calculation!F:F,"ERR",0)),"")</f>
        <v>1</v>
      </c>
      <c r="H13" s="15">
        <f>IFERROR(VALUE(_xlfn.XLOOKUP($A13,Calculation!$B:$B,Calculation!G:G,"ERR",0)),"")</f>
        <v>2</v>
      </c>
      <c r="I13" s="15" t="str">
        <f>IFERROR(VALUE(_xlfn.XLOOKUP($A13,Calculation!$B:$B,Calculation!H:H,"ERR",0)),"")</f>
        <v/>
      </c>
      <c r="J13" s="15">
        <f>IFERROR(VALUE(_xlfn.XLOOKUP($A13,Calculation!$B:$B,Calculation!I:I,"ERR",0)),"")</f>
        <v>1</v>
      </c>
      <c r="K13" s="7">
        <f>VALUE(_xlfn.XLOOKUP($A13,Calculation!$B:$B,Calculation!J:J,"ERR",0))</f>
        <v>23.92</v>
      </c>
      <c r="L13" s="4">
        <f t="shared" si="2"/>
        <v>95.68</v>
      </c>
      <c r="M13" t="s">
        <v>274</v>
      </c>
      <c r="O13" t="s">
        <v>274</v>
      </c>
      <c r="P13">
        <v>4</v>
      </c>
      <c r="T13" s="3"/>
      <c r="U13" s="3"/>
    </row>
    <row r="14" spans="1:21" x14ac:dyDescent="0.25">
      <c r="A14" s="8" t="str">
        <v>21385047</v>
      </c>
      <c r="B14" s="15" t="str">
        <f t="shared" si="0"/>
        <v>2138504</v>
      </c>
      <c r="C14" s="15" t="str">
        <f t="shared" si="1"/>
        <v>7</v>
      </c>
      <c r="D14" s="14" t="str">
        <f>_xlfn.XLOOKUP($A14,Calculation!$B:$B,Calculation!C:C,"ERR",0)</f>
        <v xml:space="preserve">Fedora Hemp </v>
      </c>
      <c r="E14" s="14" t="str">
        <f>IFERROR(VALUE(_xlfn.XLOOKUP($A14,Calculation!$B:$B,Calculation!D:D,"ERR",0)),"")</f>
        <v/>
      </c>
      <c r="F14" s="14" t="str">
        <f>IFERROR(VALUE(_xlfn.XLOOKUP($A14,Calculation!$B:$B,Calculation!E:E,"ERR",0)),"")</f>
        <v/>
      </c>
      <c r="G14" s="14" t="str">
        <f>IFERROR(VALUE(_xlfn.XLOOKUP($A14,Calculation!$B:$B,Calculation!F:F,"ERR",0)),"")</f>
        <v/>
      </c>
      <c r="H14" s="15" t="str">
        <f>IFERROR(VALUE(_xlfn.XLOOKUP($A14,Calculation!$B:$B,Calculation!G:G,"ERR",0)),"")</f>
        <v/>
      </c>
      <c r="I14" s="15">
        <f>IFERROR(VALUE(_xlfn.XLOOKUP($A14,Calculation!$B:$B,Calculation!H:H,"ERR",0)),"")</f>
        <v>1</v>
      </c>
      <c r="J14" s="15">
        <f>IFERROR(VALUE(_xlfn.XLOOKUP($A14,Calculation!$B:$B,Calculation!I:I,"ERR",0)),"")</f>
        <v>1</v>
      </c>
      <c r="K14" s="7">
        <f>VALUE(_xlfn.XLOOKUP($A14,Calculation!$B:$B,Calculation!J:J,"ERR",0))</f>
        <v>45.6</v>
      </c>
      <c r="L14" s="4">
        <f t="shared" si="2"/>
        <v>91.2</v>
      </c>
      <c r="M14" t="s">
        <v>275</v>
      </c>
      <c r="O14" t="s">
        <v>275</v>
      </c>
      <c r="P14">
        <v>2</v>
      </c>
      <c r="T14" s="3"/>
      <c r="U14" s="3"/>
    </row>
    <row r="15" spans="1:21" x14ac:dyDescent="0.25">
      <c r="A15" s="8" t="str">
        <v>111310231</v>
      </c>
      <c r="B15" s="15" t="str">
        <f t="shared" si="0"/>
        <v>1113102</v>
      </c>
      <c r="C15" s="15" t="str">
        <f t="shared" si="1"/>
        <v>31</v>
      </c>
      <c r="D15" s="14" t="str">
        <f>_xlfn.XLOOKUP($A15,Calculation!$B:$B,Calculation!C:C,"ERR",0)</f>
        <v xml:space="preserve">Trilby Linen </v>
      </c>
      <c r="E15" s="14" t="str">
        <f>IFERROR(VALUE(_xlfn.XLOOKUP($A15,Calculation!$B:$B,Calculation!D:D,"ERR",0)),"")</f>
        <v/>
      </c>
      <c r="F15" s="14">
        <f>IFERROR(VALUE(_xlfn.XLOOKUP($A15,Calculation!$B:$B,Calculation!E:E,"ERR",0)),"")</f>
        <v>1</v>
      </c>
      <c r="G15" s="14">
        <f>IFERROR(VALUE(_xlfn.XLOOKUP($A15,Calculation!$B:$B,Calculation!F:F,"ERR",0)),"")</f>
        <v>6</v>
      </c>
      <c r="H15" s="15">
        <f>IFERROR(VALUE(_xlfn.XLOOKUP($A15,Calculation!$B:$B,Calculation!G:G,"ERR",0)),"")</f>
        <v>8</v>
      </c>
      <c r="I15" s="15">
        <f>IFERROR(VALUE(_xlfn.XLOOKUP($A15,Calculation!$B:$B,Calculation!H:H,"ERR",0)),"")</f>
        <v>6</v>
      </c>
      <c r="J15" s="15">
        <f>IFERROR(VALUE(_xlfn.XLOOKUP($A15,Calculation!$B:$B,Calculation!I:I,"ERR",0)),"")</f>
        <v>3</v>
      </c>
      <c r="K15" s="7">
        <f>VALUE(_xlfn.XLOOKUP($A15,Calculation!$B:$B,Calculation!J:J,"ERR",0))</f>
        <v>23.92</v>
      </c>
      <c r="L15" s="4">
        <f t="shared" si="2"/>
        <v>574.08000000000004</v>
      </c>
      <c r="M15" t="s">
        <v>276</v>
      </c>
      <c r="O15" t="s">
        <v>276</v>
      </c>
      <c r="P15">
        <v>24</v>
      </c>
      <c r="T15" s="3"/>
      <c r="U15" s="3"/>
    </row>
    <row r="16" spans="1:21" x14ac:dyDescent="0.25">
      <c r="A16" s="8" t="str">
        <v>6613303268</v>
      </c>
      <c r="B16" s="15" t="str">
        <f t="shared" si="0"/>
        <v>6613303</v>
      </c>
      <c r="C16" s="15" t="str">
        <f t="shared" si="1"/>
        <v>268</v>
      </c>
      <c r="D16" s="14" t="str">
        <f>_xlfn.XLOOKUP($A16,Calculation!$B:$B,Calculation!C:C,"ERR",0)</f>
        <v xml:space="preserve">Texas Linen </v>
      </c>
      <c r="E16" s="14" t="str">
        <f>IFERROR(VALUE(_xlfn.XLOOKUP($A16,Calculation!$B:$B,Calculation!D:D,"ERR",0)),"")</f>
        <v/>
      </c>
      <c r="F16" s="14">
        <f>IFERROR(VALUE(_xlfn.XLOOKUP($A16,Calculation!$B:$B,Calculation!E:E,"ERR",0)),"")</f>
        <v>1</v>
      </c>
      <c r="G16" s="14">
        <f>IFERROR(VALUE(_xlfn.XLOOKUP($A16,Calculation!$B:$B,Calculation!F:F,"ERR",0)),"")</f>
        <v>5</v>
      </c>
      <c r="H16" s="15">
        <f>IFERROR(VALUE(_xlfn.XLOOKUP($A16,Calculation!$B:$B,Calculation!G:G,"ERR",0)),"")</f>
        <v>8</v>
      </c>
      <c r="I16" s="15">
        <f>IFERROR(VALUE(_xlfn.XLOOKUP($A16,Calculation!$B:$B,Calculation!H:H,"ERR",0)),"")</f>
        <v>5</v>
      </c>
      <c r="J16" s="15">
        <f>IFERROR(VALUE(_xlfn.XLOOKUP($A16,Calculation!$B:$B,Calculation!I:I,"ERR",0)),"")</f>
        <v>2</v>
      </c>
      <c r="K16" s="7">
        <f>VALUE(_xlfn.XLOOKUP($A16,Calculation!$B:$B,Calculation!J:J,"ERR",0))</f>
        <v>21.52</v>
      </c>
      <c r="L16" s="4">
        <f t="shared" si="2"/>
        <v>451.92</v>
      </c>
      <c r="M16" t="s">
        <v>277</v>
      </c>
      <c r="O16" t="s">
        <v>277</v>
      </c>
      <c r="P16">
        <v>21</v>
      </c>
      <c r="T16" s="3"/>
      <c r="U16" s="3"/>
    </row>
    <row r="17" spans="1:21" x14ac:dyDescent="0.25">
      <c r="A17" s="8" t="str">
        <v>6613303229</v>
      </c>
      <c r="B17" s="15" t="str">
        <f t="shared" si="0"/>
        <v>6613303</v>
      </c>
      <c r="C17" s="15" t="str">
        <f t="shared" si="1"/>
        <v>229</v>
      </c>
      <c r="D17" s="14" t="str">
        <f>_xlfn.XLOOKUP($A17,Calculation!$B:$B,Calculation!C:C,"ERR",0)</f>
        <v xml:space="preserve">Texas Linen </v>
      </c>
      <c r="E17" s="14" t="str">
        <f>IFERROR(VALUE(_xlfn.XLOOKUP($A17,Calculation!$B:$B,Calculation!D:D,"ERR",0)),"")</f>
        <v/>
      </c>
      <c r="F17" s="14">
        <f>IFERROR(VALUE(_xlfn.XLOOKUP($A17,Calculation!$B:$B,Calculation!E:E,"ERR",0)),"")</f>
        <v>1</v>
      </c>
      <c r="G17" s="14">
        <f>IFERROR(VALUE(_xlfn.XLOOKUP($A17,Calculation!$B:$B,Calculation!F:F,"ERR",0)),"")</f>
        <v>5</v>
      </c>
      <c r="H17" s="15">
        <f>IFERROR(VALUE(_xlfn.XLOOKUP($A17,Calculation!$B:$B,Calculation!G:G,"ERR",0)),"")</f>
        <v>8</v>
      </c>
      <c r="I17" s="15">
        <f>IFERROR(VALUE(_xlfn.XLOOKUP($A17,Calculation!$B:$B,Calculation!H:H,"ERR",0)),"")</f>
        <v>5</v>
      </c>
      <c r="J17" s="15">
        <f>IFERROR(VALUE(_xlfn.XLOOKUP($A17,Calculation!$B:$B,Calculation!I:I,"ERR",0)),"")</f>
        <v>2</v>
      </c>
      <c r="K17" s="7">
        <f>VALUE(_xlfn.XLOOKUP($A17,Calculation!$B:$B,Calculation!J:J,"ERR",0))</f>
        <v>21.52</v>
      </c>
      <c r="L17" s="4">
        <f t="shared" si="2"/>
        <v>451.92</v>
      </c>
      <c r="M17" t="s">
        <v>278</v>
      </c>
      <c r="O17" t="s">
        <v>278</v>
      </c>
      <c r="P17">
        <v>21</v>
      </c>
      <c r="T17" s="3"/>
      <c r="U17" s="3"/>
    </row>
    <row r="18" spans="1:21" x14ac:dyDescent="0.25">
      <c r="A18" s="8" t="str">
        <v>25411141</v>
      </c>
      <c r="B18" s="15" t="str">
        <f t="shared" si="0"/>
        <v>2541114</v>
      </c>
      <c r="C18" s="15" t="str">
        <f t="shared" si="1"/>
        <v>1</v>
      </c>
      <c r="D18" s="14" t="str">
        <f>_xlfn.XLOOKUP($A18,Calculation!$B:$B,Calculation!C:C,"ERR",0)</f>
        <v xml:space="preserve">Traveller Delave Organic Cotton </v>
      </c>
      <c r="E18" s="14" t="str">
        <f>IFERROR(VALUE(_xlfn.XLOOKUP($A18,Calculation!$B:$B,Calculation!D:D,"ERR",0)),"")</f>
        <v/>
      </c>
      <c r="F18" s="14" t="str">
        <f>IFERROR(VALUE(_xlfn.XLOOKUP($A18,Calculation!$B:$B,Calculation!E:E,"ERR",0)),"")</f>
        <v/>
      </c>
      <c r="G18" s="14" t="str">
        <f>IFERROR(VALUE(_xlfn.XLOOKUP($A18,Calculation!$B:$B,Calculation!F:F,"ERR",0)),"")</f>
        <v/>
      </c>
      <c r="H18" s="15">
        <f>IFERROR(VALUE(_xlfn.XLOOKUP($A18,Calculation!$B:$B,Calculation!G:G,"ERR",0)),"")</f>
        <v>2</v>
      </c>
      <c r="I18" s="15" t="str">
        <f>IFERROR(VALUE(_xlfn.XLOOKUP($A18,Calculation!$B:$B,Calculation!H:H,"ERR",0)),"")</f>
        <v/>
      </c>
      <c r="J18" s="15" t="str">
        <f>IFERROR(VALUE(_xlfn.XLOOKUP($A18,Calculation!$B:$B,Calculation!I:I,"ERR",0)),"")</f>
        <v/>
      </c>
      <c r="K18" s="7">
        <f>VALUE(_xlfn.XLOOKUP($A18,Calculation!$B:$B,Calculation!J:J,"ERR",0))</f>
        <v>21.52</v>
      </c>
      <c r="L18" s="4">
        <f t="shared" si="2"/>
        <v>43.04</v>
      </c>
      <c r="M18" t="s">
        <v>279</v>
      </c>
      <c r="O18" t="s">
        <v>279</v>
      </c>
      <c r="P18">
        <v>2</v>
      </c>
      <c r="T18" s="3"/>
      <c r="U18" s="3"/>
    </row>
    <row r="19" spans="1:21" x14ac:dyDescent="0.25">
      <c r="A19" s="8" t="str">
        <v>254111476</v>
      </c>
      <c r="B19" s="15" t="str">
        <f t="shared" si="0"/>
        <v>2541114</v>
      </c>
      <c r="C19" s="15" t="str">
        <f t="shared" si="1"/>
        <v>76</v>
      </c>
      <c r="D19" s="14" t="str">
        <f>_xlfn.XLOOKUP($A19,Calculation!$B:$B,Calculation!C:C,"ERR",0)</f>
        <v xml:space="preserve">Traveller Delave Organic Cotton </v>
      </c>
      <c r="E19" s="14" t="str">
        <f>IFERROR(VALUE(_xlfn.XLOOKUP($A19,Calculation!$B:$B,Calculation!D:D,"ERR",0)),"")</f>
        <v/>
      </c>
      <c r="F19" s="14" t="str">
        <f>IFERROR(VALUE(_xlfn.XLOOKUP($A19,Calculation!$B:$B,Calculation!E:E,"ERR",0)),"")</f>
        <v/>
      </c>
      <c r="G19" s="14">
        <f>IFERROR(VALUE(_xlfn.XLOOKUP($A19,Calculation!$B:$B,Calculation!F:F,"ERR",0)),"")</f>
        <v>3</v>
      </c>
      <c r="H19" s="15">
        <f>IFERROR(VALUE(_xlfn.XLOOKUP($A19,Calculation!$B:$B,Calculation!G:G,"ERR",0)),"")</f>
        <v>4</v>
      </c>
      <c r="I19" s="15">
        <f>IFERROR(VALUE(_xlfn.XLOOKUP($A19,Calculation!$B:$B,Calculation!H:H,"ERR",0)),"")</f>
        <v>3</v>
      </c>
      <c r="J19" s="15" t="str">
        <f>IFERROR(VALUE(_xlfn.XLOOKUP($A19,Calculation!$B:$B,Calculation!I:I,"ERR",0)),"")</f>
        <v/>
      </c>
      <c r="K19" s="7">
        <f>VALUE(_xlfn.XLOOKUP($A19,Calculation!$B:$B,Calculation!J:J,"ERR",0))</f>
        <v>21.52</v>
      </c>
      <c r="L19" s="4">
        <f t="shared" si="2"/>
        <v>215.2</v>
      </c>
      <c r="M19" t="s">
        <v>280</v>
      </c>
      <c r="O19" t="s">
        <v>280</v>
      </c>
      <c r="P19">
        <v>10</v>
      </c>
      <c r="T19" s="3"/>
      <c r="U19" s="3"/>
    </row>
    <row r="20" spans="1:21" x14ac:dyDescent="0.25">
      <c r="A20" s="8" t="str">
        <v>281110176</v>
      </c>
      <c r="B20" s="15" t="str">
        <f t="shared" si="0"/>
        <v>2811101</v>
      </c>
      <c r="C20" s="15" t="str">
        <f t="shared" si="1"/>
        <v>76</v>
      </c>
      <c r="D20" s="14" t="str">
        <f>_xlfn.XLOOKUP($A20,Calculation!$B:$B,Calculation!C:C,"ERR",0)</f>
        <v xml:space="preserve">Bucket Delave Organic Cotton </v>
      </c>
      <c r="E20" s="14" t="str">
        <f>IFERROR(VALUE(_xlfn.XLOOKUP($A20,Calculation!$B:$B,Calculation!D:D,"ERR",0)),"")</f>
        <v/>
      </c>
      <c r="F20" s="14" t="str">
        <f>IFERROR(VALUE(_xlfn.XLOOKUP($A20,Calculation!$B:$B,Calculation!E:E,"ERR",0)),"")</f>
        <v/>
      </c>
      <c r="G20" s="14">
        <f>IFERROR(VALUE(_xlfn.XLOOKUP($A20,Calculation!$B:$B,Calculation!F:F,"ERR",0)),"")</f>
        <v>6</v>
      </c>
      <c r="H20" s="15">
        <f>IFERROR(VALUE(_xlfn.XLOOKUP($A20,Calculation!$B:$B,Calculation!G:G,"ERR",0)),"")</f>
        <v>9</v>
      </c>
      <c r="I20" s="15">
        <f>IFERROR(VALUE(_xlfn.XLOOKUP($A20,Calculation!$B:$B,Calculation!H:H,"ERR",0)),"")</f>
        <v>11</v>
      </c>
      <c r="J20" s="15">
        <f>IFERROR(VALUE(_xlfn.XLOOKUP($A20,Calculation!$B:$B,Calculation!I:I,"ERR",0)),"")</f>
        <v>6</v>
      </c>
      <c r="K20" s="7">
        <f>VALUE(_xlfn.XLOOKUP($A20,Calculation!$B:$B,Calculation!J:J,"ERR",0))</f>
        <v>21.52</v>
      </c>
      <c r="L20" s="4">
        <f t="shared" si="2"/>
        <v>688.64</v>
      </c>
      <c r="M20" t="s">
        <v>281</v>
      </c>
      <c r="O20" t="s">
        <v>281</v>
      </c>
      <c r="P20">
        <v>32</v>
      </c>
      <c r="T20" s="3"/>
      <c r="U20" s="3"/>
    </row>
    <row r="21" spans="1:21" x14ac:dyDescent="0.25">
      <c r="A21" s="8" t="str">
        <v>254110971</v>
      </c>
      <c r="B21" s="15" t="str">
        <f t="shared" si="0"/>
        <v>2541109</v>
      </c>
      <c r="C21" s="15" t="str">
        <f t="shared" si="1"/>
        <v>71</v>
      </c>
      <c r="D21" s="14" t="str">
        <f>_xlfn.XLOOKUP($A21,Calculation!$B:$B,Calculation!C:C,"ERR",0)</f>
        <v xml:space="preserve">Traveller Cotton </v>
      </c>
      <c r="E21" s="14" t="str">
        <f>IFERROR(VALUE(_xlfn.XLOOKUP($A21,Calculation!$B:$B,Calculation!D:D,"ERR",0)),"")</f>
        <v/>
      </c>
      <c r="F21" s="14" t="str">
        <f>IFERROR(VALUE(_xlfn.XLOOKUP($A21,Calculation!$B:$B,Calculation!E:E,"ERR",0)),"")</f>
        <v/>
      </c>
      <c r="G21" s="14" t="str">
        <f>IFERROR(VALUE(_xlfn.XLOOKUP($A21,Calculation!$B:$B,Calculation!F:F,"ERR",0)),"")</f>
        <v/>
      </c>
      <c r="H21" s="15" t="str">
        <f>IFERROR(VALUE(_xlfn.XLOOKUP($A21,Calculation!$B:$B,Calculation!G:G,"ERR",0)),"")</f>
        <v/>
      </c>
      <c r="I21" s="15">
        <f>IFERROR(VALUE(_xlfn.XLOOKUP($A21,Calculation!$B:$B,Calculation!H:H,"ERR",0)),"")</f>
        <v>4</v>
      </c>
      <c r="J21" s="15">
        <f>IFERROR(VALUE(_xlfn.XLOOKUP($A21,Calculation!$B:$B,Calculation!I:I,"ERR",0)),"")</f>
        <v>4</v>
      </c>
      <c r="K21" s="7">
        <f>VALUE(_xlfn.XLOOKUP($A21,Calculation!$B:$B,Calculation!J:J,"ERR",0))</f>
        <v>18.32</v>
      </c>
      <c r="L21" s="4">
        <f t="shared" si="2"/>
        <v>146.56</v>
      </c>
      <c r="M21" t="s">
        <v>282</v>
      </c>
      <c r="O21" t="s">
        <v>282</v>
      </c>
      <c r="P21">
        <v>8</v>
      </c>
      <c r="T21" s="3"/>
      <c r="U21" s="3"/>
    </row>
    <row r="22" spans="1:21" x14ac:dyDescent="0.25">
      <c r="A22" s="8" t="str">
        <v>684580215</v>
      </c>
      <c r="B22" s="15" t="str">
        <f t="shared" si="0"/>
        <v>6845802</v>
      </c>
      <c r="C22" s="15" t="str">
        <f t="shared" si="1"/>
        <v>15</v>
      </c>
      <c r="D22" s="14" t="str">
        <f>_xlfn.XLOOKUP($A22,Calculation!$B:$B,Calculation!C:C,"ERR",0)</f>
        <v xml:space="preserve">Hatteras Outdoor WR </v>
      </c>
      <c r="E22" s="14" t="str">
        <f>IFERROR(VALUE(_xlfn.XLOOKUP($A22,Calculation!$B:$B,Calculation!D:D,"ERR",0)),"")</f>
        <v/>
      </c>
      <c r="F22" s="14" t="str">
        <f>IFERROR(VALUE(_xlfn.XLOOKUP($A22,Calculation!$B:$B,Calculation!E:E,"ERR",0)),"")</f>
        <v/>
      </c>
      <c r="G22" s="14">
        <f>IFERROR(VALUE(_xlfn.XLOOKUP($A22,Calculation!$B:$B,Calculation!F:F,"ERR",0)),"")</f>
        <v>2</v>
      </c>
      <c r="H22" s="15" t="str">
        <f>IFERROR(VALUE(_xlfn.XLOOKUP($A22,Calculation!$B:$B,Calculation!G:G,"ERR",0)),"")</f>
        <v/>
      </c>
      <c r="I22" s="15" t="str">
        <f>IFERROR(VALUE(_xlfn.XLOOKUP($A22,Calculation!$B:$B,Calculation!H:H,"ERR",0)),"")</f>
        <v/>
      </c>
      <c r="J22" s="15" t="str">
        <f>IFERROR(VALUE(_xlfn.XLOOKUP($A22,Calculation!$B:$B,Calculation!I:I,"ERR",0)),"")</f>
        <v/>
      </c>
      <c r="K22" s="7">
        <f>VALUE(_xlfn.XLOOKUP($A22,Calculation!$B:$B,Calculation!J:J,"ERR",0))</f>
        <v>27.12</v>
      </c>
      <c r="L22" s="4">
        <f t="shared" si="2"/>
        <v>54.24</v>
      </c>
      <c r="M22" t="s">
        <v>283</v>
      </c>
      <c r="O22" t="s">
        <v>283</v>
      </c>
      <c r="P22">
        <v>2</v>
      </c>
      <c r="T22" s="3"/>
      <c r="U22" s="3"/>
    </row>
    <row r="23" spans="1:21" x14ac:dyDescent="0.25">
      <c r="A23" s="8" t="str">
        <v>778580215</v>
      </c>
      <c r="B23" s="15" t="str">
        <f t="shared" si="0"/>
        <v>7785802</v>
      </c>
      <c r="C23" s="15" t="str">
        <f t="shared" si="1"/>
        <v>15</v>
      </c>
      <c r="D23" s="14" t="str">
        <f>_xlfn.XLOOKUP($A23,Calculation!$B:$B,Calculation!C:C,"ERR",0)</f>
        <v xml:space="preserve">Baseball Cap Outdoor </v>
      </c>
      <c r="E23" s="14">
        <f>IFERROR(VALUE(_xlfn.XLOOKUP($A23,Calculation!$B:$B,Calculation!D:D,"ERR",0)),"")</f>
        <v>17</v>
      </c>
      <c r="F23" s="14" t="str">
        <f>IFERROR(VALUE(_xlfn.XLOOKUP($A23,Calculation!$B:$B,Calculation!E:E,"ERR",0)),"")</f>
        <v/>
      </c>
      <c r="G23" s="14" t="str">
        <f>IFERROR(VALUE(_xlfn.XLOOKUP($A23,Calculation!$B:$B,Calculation!F:F,"ERR",0)),"")</f>
        <v/>
      </c>
      <c r="H23" s="15" t="str">
        <f>IFERROR(VALUE(_xlfn.XLOOKUP($A23,Calculation!$B:$B,Calculation!G:G,"ERR",0)),"")</f>
        <v/>
      </c>
      <c r="I23" s="15" t="str">
        <f>IFERROR(VALUE(_xlfn.XLOOKUP($A23,Calculation!$B:$B,Calculation!H:H,"ERR",0)),"")</f>
        <v/>
      </c>
      <c r="J23" s="15" t="str">
        <f>IFERROR(VALUE(_xlfn.XLOOKUP($A23,Calculation!$B:$B,Calculation!I:I,"ERR",0)),"")</f>
        <v/>
      </c>
      <c r="K23" s="7">
        <f>VALUE(_xlfn.XLOOKUP($A23,Calculation!$B:$B,Calculation!J:J,"ERR",0))</f>
        <v>11.920000000000002</v>
      </c>
      <c r="L23" s="4">
        <f t="shared" si="2"/>
        <v>202.64000000000004</v>
      </c>
      <c r="M23" t="s">
        <v>284</v>
      </c>
      <c r="O23" t="s">
        <v>284</v>
      </c>
      <c r="P23">
        <v>17</v>
      </c>
      <c r="T23" s="3"/>
      <c r="U23" s="3"/>
    </row>
    <row r="24" spans="1:21" x14ac:dyDescent="0.25">
      <c r="A24" s="8" t="str">
        <v>25418017</v>
      </c>
      <c r="B24" s="15" t="str">
        <f t="shared" si="0"/>
        <v>2541801</v>
      </c>
      <c r="C24" s="15" t="str">
        <f t="shared" si="1"/>
        <v>7</v>
      </c>
      <c r="D24" s="14" t="str">
        <f>_xlfn.XLOOKUP($A24,Calculation!$B:$B,Calculation!C:C,"ERR",0)</f>
        <v xml:space="preserve">Traveller Cotton </v>
      </c>
      <c r="E24" s="14" t="str">
        <f>IFERROR(VALUE(_xlfn.XLOOKUP($A24,Calculation!$B:$B,Calculation!D:D,"ERR",0)),"")</f>
        <v/>
      </c>
      <c r="F24" s="14" t="str">
        <f>IFERROR(VALUE(_xlfn.XLOOKUP($A24,Calculation!$B:$B,Calculation!E:E,"ERR",0)),"")</f>
        <v/>
      </c>
      <c r="G24" s="14">
        <f>IFERROR(VALUE(_xlfn.XLOOKUP($A24,Calculation!$B:$B,Calculation!F:F,"ERR",0)),"")</f>
        <v>2</v>
      </c>
      <c r="H24" s="15">
        <f>IFERROR(VALUE(_xlfn.XLOOKUP($A24,Calculation!$B:$B,Calculation!G:G,"ERR",0)),"")</f>
        <v>4</v>
      </c>
      <c r="I24" s="15" t="str">
        <f>IFERROR(VALUE(_xlfn.XLOOKUP($A24,Calculation!$B:$B,Calculation!H:H,"ERR",0)),"")</f>
        <v/>
      </c>
      <c r="J24" s="15" t="str">
        <f>IFERROR(VALUE(_xlfn.XLOOKUP($A24,Calculation!$B:$B,Calculation!I:I,"ERR",0)),"")</f>
        <v/>
      </c>
      <c r="K24" s="7">
        <f>VALUE(_xlfn.XLOOKUP($A24,Calculation!$B:$B,Calculation!J:J,"ERR",0))</f>
        <v>30.32</v>
      </c>
      <c r="L24" s="4">
        <f t="shared" si="2"/>
        <v>181.92000000000002</v>
      </c>
      <c r="M24" t="s">
        <v>285</v>
      </c>
      <c r="O24" t="s">
        <v>285</v>
      </c>
      <c r="P24">
        <v>6</v>
      </c>
      <c r="T24" s="3"/>
      <c r="U24" s="3"/>
    </row>
    <row r="25" spans="1:21" x14ac:dyDescent="0.25">
      <c r="A25" s="8" t="str">
        <v>241850271</v>
      </c>
      <c r="B25" s="15" t="str">
        <f t="shared" si="0"/>
        <v>2418502</v>
      </c>
      <c r="C25" s="15" t="str">
        <f t="shared" si="1"/>
        <v>71</v>
      </c>
      <c r="D25" s="14" t="str">
        <f>_xlfn.XLOOKUP($A25,Calculation!$B:$B,Calculation!C:C,"ERR",0)</f>
        <v xml:space="preserve">Traveller Toyo </v>
      </c>
      <c r="E25" s="14" t="str">
        <f>IFERROR(VALUE(_xlfn.XLOOKUP($A25,Calculation!$B:$B,Calculation!D:D,"ERR",0)),"")</f>
        <v/>
      </c>
      <c r="F25" s="14" t="str">
        <f>IFERROR(VALUE(_xlfn.XLOOKUP($A25,Calculation!$B:$B,Calculation!E:E,"ERR",0)),"")</f>
        <v/>
      </c>
      <c r="G25" s="14" t="str">
        <f>IFERROR(VALUE(_xlfn.XLOOKUP($A25,Calculation!$B:$B,Calculation!F:F,"ERR",0)),"")</f>
        <v/>
      </c>
      <c r="H25" s="15">
        <f>IFERROR(VALUE(_xlfn.XLOOKUP($A25,Calculation!$B:$B,Calculation!G:G,"ERR",0)),"")</f>
        <v>4</v>
      </c>
      <c r="I25" s="15" t="str">
        <f>IFERROR(VALUE(_xlfn.XLOOKUP($A25,Calculation!$B:$B,Calculation!H:H,"ERR",0)),"")</f>
        <v/>
      </c>
      <c r="J25" s="15" t="str">
        <f>IFERROR(VALUE(_xlfn.XLOOKUP($A25,Calculation!$B:$B,Calculation!I:I,"ERR",0)),"")</f>
        <v/>
      </c>
      <c r="K25" s="7">
        <f>VALUE(_xlfn.XLOOKUP($A25,Calculation!$B:$B,Calculation!J:J,"ERR",0))</f>
        <v>27.12</v>
      </c>
      <c r="L25" s="4">
        <f t="shared" si="2"/>
        <v>108.48</v>
      </c>
      <c r="M25" t="s">
        <v>286</v>
      </c>
      <c r="O25" t="s">
        <v>286</v>
      </c>
      <c r="P25">
        <v>4</v>
      </c>
      <c r="T25" s="3"/>
      <c r="U25" s="3"/>
    </row>
    <row r="26" spans="1:21" x14ac:dyDescent="0.25">
      <c r="A26" s="8" t="str">
        <v>778510189</v>
      </c>
      <c r="B26" s="15" t="str">
        <f t="shared" si="0"/>
        <v>7785101</v>
      </c>
      <c r="C26" s="15" t="str">
        <f t="shared" si="1"/>
        <v>89</v>
      </c>
      <c r="D26" s="14" t="str">
        <f>_xlfn.XLOOKUP($A26,Calculation!$B:$B,Calculation!C:C,"ERR",0)</f>
        <v xml:space="preserve">Baseball Cap Toothpick Rebel </v>
      </c>
      <c r="E26" s="14">
        <f>IFERROR(VALUE(_xlfn.XLOOKUP($A26,Calculation!$B:$B,Calculation!D:D,"ERR",0)),"")</f>
        <v>1</v>
      </c>
      <c r="F26" s="14" t="str">
        <f>IFERROR(VALUE(_xlfn.XLOOKUP($A26,Calculation!$B:$B,Calculation!E:E,"ERR",0)),"")</f>
        <v/>
      </c>
      <c r="G26" s="14" t="str">
        <f>IFERROR(VALUE(_xlfn.XLOOKUP($A26,Calculation!$B:$B,Calculation!F:F,"ERR",0)),"")</f>
        <v/>
      </c>
      <c r="H26" s="15" t="str">
        <f>IFERROR(VALUE(_xlfn.XLOOKUP($A26,Calculation!$B:$B,Calculation!G:G,"ERR",0)),"")</f>
        <v/>
      </c>
      <c r="I26" s="15" t="str">
        <f>IFERROR(VALUE(_xlfn.XLOOKUP($A26,Calculation!$B:$B,Calculation!H:H,"ERR",0)),"")</f>
        <v/>
      </c>
      <c r="J26" s="15" t="str">
        <f>IFERROR(VALUE(_xlfn.XLOOKUP($A26,Calculation!$B:$B,Calculation!I:I,"ERR",0)),"")</f>
        <v/>
      </c>
      <c r="K26" s="7">
        <f>VALUE(_xlfn.XLOOKUP($A26,Calculation!$B:$B,Calculation!J:J,"ERR",0))</f>
        <v>11.920000000000002</v>
      </c>
      <c r="L26" s="4">
        <f t="shared" si="2"/>
        <v>11.920000000000002</v>
      </c>
      <c r="M26" t="s">
        <v>287</v>
      </c>
      <c r="O26" s="24" t="s">
        <v>282</v>
      </c>
      <c r="P26" s="24">
        <v>6</v>
      </c>
      <c r="T26" s="3"/>
      <c r="U26" s="3"/>
    </row>
    <row r="27" spans="1:21" x14ac:dyDescent="0.25">
      <c r="A27" s="8" t="str">
        <v>24985027</v>
      </c>
      <c r="B27" s="15" t="str">
        <f t="shared" si="0"/>
        <v>2498502</v>
      </c>
      <c r="C27" s="15" t="str">
        <f t="shared" si="1"/>
        <v>7</v>
      </c>
      <c r="D27" s="14" t="str">
        <f>_xlfn.XLOOKUP($A27,Calculation!$B:$B,Calculation!C:C,"ERR",0)</f>
        <v xml:space="preserve">Traveller Raffia </v>
      </c>
      <c r="E27" s="14" t="str">
        <f>IFERROR(VALUE(_xlfn.XLOOKUP($A27,Calculation!$B:$B,Calculation!D:D,"ERR",0)),"")</f>
        <v/>
      </c>
      <c r="F27" s="14" t="str">
        <f>IFERROR(VALUE(_xlfn.XLOOKUP($A27,Calculation!$B:$B,Calculation!E:E,"ERR",0)),"")</f>
        <v/>
      </c>
      <c r="G27" s="14">
        <f>IFERROR(VALUE(_xlfn.XLOOKUP($A27,Calculation!$B:$B,Calculation!F:F,"ERR",0)),"")</f>
        <v>2</v>
      </c>
      <c r="H27" s="15" t="str">
        <f>IFERROR(VALUE(_xlfn.XLOOKUP($A27,Calculation!$B:$B,Calculation!G:G,"ERR",0)),"")</f>
        <v/>
      </c>
      <c r="I27" s="15">
        <f>IFERROR(VALUE(_xlfn.XLOOKUP($A27,Calculation!$B:$B,Calculation!H:H,"ERR",0)),"")</f>
        <v>2</v>
      </c>
      <c r="J27" s="15">
        <f>IFERROR(VALUE(_xlfn.XLOOKUP($A27,Calculation!$B:$B,Calculation!I:I,"ERR",0)),"")</f>
        <v>2</v>
      </c>
      <c r="K27" s="7">
        <f>VALUE(_xlfn.XLOOKUP($A27,Calculation!$B:$B,Calculation!J:J,"ERR",0))</f>
        <v>23.92</v>
      </c>
      <c r="L27" s="4">
        <f t="shared" si="2"/>
        <v>143.52000000000001</v>
      </c>
      <c r="M27" t="s">
        <v>288</v>
      </c>
      <c r="O27" t="s">
        <v>287</v>
      </c>
      <c r="P27">
        <v>1</v>
      </c>
      <c r="T27" s="3"/>
      <c r="U27" s="3"/>
    </row>
    <row r="28" spans="1:21" x14ac:dyDescent="0.25">
      <c r="A28" s="8" t="str">
        <v>36985217</v>
      </c>
      <c r="B28" s="15" t="str">
        <f t="shared" si="0"/>
        <v>3698521</v>
      </c>
      <c r="C28" s="15" t="str">
        <f t="shared" si="1"/>
        <v>7</v>
      </c>
      <c r="D28" s="14" t="str">
        <f>_xlfn.XLOOKUP($A28,Calculation!$B:$B,Calculation!C:C,"ERR",0)</f>
        <v xml:space="preserve">Western Raffia </v>
      </c>
      <c r="E28" s="14" t="str">
        <f>IFERROR(VALUE(_xlfn.XLOOKUP($A28,Calculation!$B:$B,Calculation!D:D,"ERR",0)),"")</f>
        <v/>
      </c>
      <c r="F28" s="14">
        <f>IFERROR(VALUE(_xlfn.XLOOKUP($A28,Calculation!$B:$B,Calculation!E:E,"ERR",0)),"")</f>
        <v>2</v>
      </c>
      <c r="G28" s="14">
        <f>IFERROR(VALUE(_xlfn.XLOOKUP($A28,Calculation!$B:$B,Calculation!F:F,"ERR",0)),"")</f>
        <v>6</v>
      </c>
      <c r="H28" s="15">
        <f>IFERROR(VALUE(_xlfn.XLOOKUP($A28,Calculation!$B:$B,Calculation!G:G,"ERR",0)),"")</f>
        <v>8</v>
      </c>
      <c r="I28" s="15">
        <f>IFERROR(VALUE(_xlfn.XLOOKUP($A28,Calculation!$B:$B,Calculation!H:H,"ERR",0)),"")</f>
        <v>6</v>
      </c>
      <c r="J28" s="15">
        <f>IFERROR(VALUE(_xlfn.XLOOKUP($A28,Calculation!$B:$B,Calculation!I:I,"ERR",0)),"")</f>
        <v>3</v>
      </c>
      <c r="K28" s="7">
        <f>VALUE(_xlfn.XLOOKUP($A28,Calculation!$B:$B,Calculation!J:J,"ERR",0))</f>
        <v>23.92</v>
      </c>
      <c r="L28" s="4">
        <f t="shared" si="2"/>
        <v>598</v>
      </c>
      <c r="M28" t="s">
        <v>289</v>
      </c>
      <c r="O28" t="s">
        <v>288</v>
      </c>
      <c r="P28">
        <v>6</v>
      </c>
      <c r="T28" s="3"/>
      <c r="U28" s="3"/>
    </row>
    <row r="29" spans="1:21" x14ac:dyDescent="0.25">
      <c r="A29" s="8" t="str">
        <v>621390399</v>
      </c>
      <c r="B29" s="15" t="str">
        <f t="shared" si="0"/>
        <v>6213903</v>
      </c>
      <c r="C29" s="15" t="str">
        <f t="shared" si="1"/>
        <v>99</v>
      </c>
      <c r="D29" s="14" t="str">
        <f>_xlfn.XLOOKUP($A29,Calculation!$B:$B,Calculation!C:C,"ERR",0)</f>
        <v xml:space="preserve">Kent Linen </v>
      </c>
      <c r="E29" s="14" t="str">
        <f>IFERROR(VALUE(_xlfn.XLOOKUP($A29,Calculation!$B:$B,Calculation!D:D,"ERR",0)),"")</f>
        <v/>
      </c>
      <c r="F29" s="14" t="str">
        <f>IFERROR(VALUE(_xlfn.XLOOKUP($A29,Calculation!$B:$B,Calculation!E:E,"ERR",0)),"")</f>
        <v/>
      </c>
      <c r="G29" s="14">
        <f>IFERROR(VALUE(_xlfn.XLOOKUP($A29,Calculation!$B:$B,Calculation!F:F,"ERR",0)),"")</f>
        <v>2</v>
      </c>
      <c r="H29" s="15">
        <f>IFERROR(VALUE(_xlfn.XLOOKUP($A29,Calculation!$B:$B,Calculation!G:G,"ERR",0)),"")</f>
        <v>4</v>
      </c>
      <c r="I29" s="15" t="str">
        <f>IFERROR(VALUE(_xlfn.XLOOKUP($A29,Calculation!$B:$B,Calculation!H:H,"ERR",0)),"")</f>
        <v/>
      </c>
      <c r="J29" s="15" t="str">
        <f>IFERROR(VALUE(_xlfn.XLOOKUP($A29,Calculation!$B:$B,Calculation!I:I,"ERR",0)),"")</f>
        <v/>
      </c>
      <c r="K29" s="7">
        <f>VALUE(_xlfn.XLOOKUP($A29,Calculation!$B:$B,Calculation!J:J,"ERR",0))</f>
        <v>30.32</v>
      </c>
      <c r="L29" s="4">
        <f t="shared" si="2"/>
        <v>181.92000000000002</v>
      </c>
      <c r="M29" t="s">
        <v>290</v>
      </c>
      <c r="O29" t="s">
        <v>289</v>
      </c>
      <c r="P29">
        <v>25</v>
      </c>
      <c r="T29" s="3"/>
      <c r="U29" s="3"/>
    </row>
    <row r="30" spans="1:21" x14ac:dyDescent="0.25">
      <c r="A30" s="8" t="str">
        <v>661191299</v>
      </c>
      <c r="B30" s="15" t="str">
        <f t="shared" si="0"/>
        <v>6611912</v>
      </c>
      <c r="C30" s="15" t="str">
        <f t="shared" si="1"/>
        <v>99</v>
      </c>
      <c r="D30" s="14" t="str">
        <f>_xlfn.XLOOKUP($A30,Calculation!$B:$B,Calculation!C:C,"ERR",0)</f>
        <v xml:space="preserve">Texas Cotton </v>
      </c>
      <c r="E30" s="14" t="str">
        <f>IFERROR(VALUE(_xlfn.XLOOKUP($A30,Calculation!$B:$B,Calculation!D:D,"ERR",0)),"")</f>
        <v/>
      </c>
      <c r="F30" s="14" t="str">
        <f>IFERROR(VALUE(_xlfn.XLOOKUP($A30,Calculation!$B:$B,Calculation!E:E,"ERR",0)),"")</f>
        <v/>
      </c>
      <c r="G30" s="14">
        <f>IFERROR(VALUE(_xlfn.XLOOKUP($A30,Calculation!$B:$B,Calculation!F:F,"ERR",0)),"")</f>
        <v>2</v>
      </c>
      <c r="H30" s="15">
        <f>IFERROR(VALUE(_xlfn.XLOOKUP($A30,Calculation!$B:$B,Calculation!G:G,"ERR",0)),"")</f>
        <v>4</v>
      </c>
      <c r="I30" s="15" t="str">
        <f>IFERROR(VALUE(_xlfn.XLOOKUP($A30,Calculation!$B:$B,Calculation!H:H,"ERR",0)),"")</f>
        <v/>
      </c>
      <c r="J30" s="15" t="str">
        <f>IFERROR(VALUE(_xlfn.XLOOKUP($A30,Calculation!$B:$B,Calculation!I:I,"ERR",0)),"")</f>
        <v/>
      </c>
      <c r="K30" s="7">
        <f>VALUE(_xlfn.XLOOKUP($A30,Calculation!$B:$B,Calculation!J:J,"ERR",0))</f>
        <v>21.52</v>
      </c>
      <c r="L30" s="4">
        <f t="shared" si="2"/>
        <v>129.12</v>
      </c>
      <c r="M30" t="s">
        <v>291</v>
      </c>
      <c r="O30" t="s">
        <v>290</v>
      </c>
      <c r="P30">
        <v>6</v>
      </c>
      <c r="T30" s="3"/>
      <c r="U30" s="3"/>
    </row>
    <row r="31" spans="1:21" x14ac:dyDescent="0.25">
      <c r="A31" s="8" t="str">
        <v>77811221</v>
      </c>
      <c r="B31" s="15" t="str">
        <f t="shared" si="0"/>
        <v>7781122</v>
      </c>
      <c r="C31" s="15" t="str">
        <f t="shared" si="1"/>
        <v>1</v>
      </c>
      <c r="D31" s="14" t="str">
        <f>_xlfn.XLOOKUP($A31,Calculation!$B:$B,Calculation!C:C,"ERR",0)</f>
        <v xml:space="preserve">Baseball Cap Diamond </v>
      </c>
      <c r="E31" s="14">
        <f>IFERROR(VALUE(_xlfn.XLOOKUP($A31,Calculation!$B:$B,Calculation!D:D,"ERR",0)),"")</f>
        <v>6</v>
      </c>
      <c r="F31" s="14" t="str">
        <f>IFERROR(VALUE(_xlfn.XLOOKUP($A31,Calculation!$B:$B,Calculation!E:E,"ERR",0)),"")</f>
        <v/>
      </c>
      <c r="G31" s="14" t="str">
        <f>IFERROR(VALUE(_xlfn.XLOOKUP($A31,Calculation!$B:$B,Calculation!F:F,"ERR",0)),"")</f>
        <v/>
      </c>
      <c r="H31" s="15" t="str">
        <f>IFERROR(VALUE(_xlfn.XLOOKUP($A31,Calculation!$B:$B,Calculation!G:G,"ERR",0)),"")</f>
        <v/>
      </c>
      <c r="I31" s="15" t="str">
        <f>IFERROR(VALUE(_xlfn.XLOOKUP($A31,Calculation!$B:$B,Calculation!H:H,"ERR",0)),"")</f>
        <v/>
      </c>
      <c r="J31" s="15" t="str">
        <f>IFERROR(VALUE(_xlfn.XLOOKUP($A31,Calculation!$B:$B,Calculation!I:I,"ERR",0)),"")</f>
        <v/>
      </c>
      <c r="K31" s="7">
        <f>VALUE(_xlfn.XLOOKUP($A31,Calculation!$B:$B,Calculation!J:J,"ERR",0))</f>
        <v>11.920000000000002</v>
      </c>
      <c r="L31" s="4">
        <f t="shared" ref="L31:L32" si="3">SUM(E31:J31)*K31</f>
        <v>71.52000000000001</v>
      </c>
      <c r="M31" t="s">
        <v>292</v>
      </c>
      <c r="O31" t="s">
        <v>291</v>
      </c>
      <c r="P31">
        <v>6</v>
      </c>
      <c r="T31" s="3"/>
      <c r="U31" s="3"/>
    </row>
    <row r="32" spans="1:21" x14ac:dyDescent="0.25">
      <c r="A32" s="8" t="str">
        <v>74911072</v>
      </c>
      <c r="B32" s="15" t="str">
        <f t="shared" si="0"/>
        <v>7491107</v>
      </c>
      <c r="C32" s="15" t="str">
        <f t="shared" si="1"/>
        <v>2</v>
      </c>
      <c r="D32" s="14" t="str">
        <f>_xlfn.XLOOKUP($A32,Calculation!$B:$B,Calculation!C:C,"ERR",0)</f>
        <v xml:space="preserve">Army Cap Denim </v>
      </c>
      <c r="E32" s="14" t="str">
        <f>IFERROR(VALUE(_xlfn.XLOOKUP($A32,Calculation!$B:$B,Calculation!D:D,"ERR",0)),"")</f>
        <v/>
      </c>
      <c r="F32" s="14">
        <f>IFERROR(VALUE(_xlfn.XLOOKUP($A32,Calculation!$B:$B,Calculation!E:E,"ERR",0)),"")</f>
        <v>1</v>
      </c>
      <c r="G32" s="14">
        <f>IFERROR(VALUE(_xlfn.XLOOKUP($A32,Calculation!$B:$B,Calculation!F:F,"ERR",0)),"")</f>
        <v>4</v>
      </c>
      <c r="H32" s="15">
        <f>IFERROR(VALUE(_xlfn.XLOOKUP($A32,Calculation!$B:$B,Calculation!G:G,"ERR",0)),"")</f>
        <v>6</v>
      </c>
      <c r="I32" s="15">
        <f>IFERROR(VALUE(_xlfn.XLOOKUP($A32,Calculation!$B:$B,Calculation!H:H,"ERR",0)),"")</f>
        <v>4</v>
      </c>
      <c r="J32" s="15">
        <f>IFERROR(VALUE(_xlfn.XLOOKUP($A32,Calculation!$B:$B,Calculation!I:I,"ERR",0)),"")</f>
        <v>2</v>
      </c>
      <c r="K32" s="7">
        <f>VALUE(_xlfn.XLOOKUP($A32,Calculation!$B:$B,Calculation!J:J,"ERR",0))</f>
        <v>18.32</v>
      </c>
      <c r="L32" s="4">
        <f t="shared" si="3"/>
        <v>311.44</v>
      </c>
      <c r="M32" t="s">
        <v>293</v>
      </c>
      <c r="O32" t="s">
        <v>292</v>
      </c>
      <c r="P32">
        <v>6</v>
      </c>
      <c r="T32" s="3"/>
      <c r="U32" s="3"/>
    </row>
    <row r="33" spans="2:16" x14ac:dyDescent="0.25">
      <c r="B33" s="14">
        <v>2541109</v>
      </c>
      <c r="C33" s="14">
        <v>71</v>
      </c>
      <c r="D33" s="8" t="s">
        <v>243</v>
      </c>
      <c r="E33" s="14" t="s">
        <v>203</v>
      </c>
      <c r="F33" s="14" t="s">
        <v>203</v>
      </c>
      <c r="G33" s="14">
        <v>3</v>
      </c>
      <c r="H33" s="14">
        <v>3</v>
      </c>
      <c r="I33" s="14" t="s">
        <v>203</v>
      </c>
      <c r="J33" s="14" t="s">
        <v>203</v>
      </c>
      <c r="K33" s="2">
        <v>18.32</v>
      </c>
      <c r="O33" t="s">
        <v>293</v>
      </c>
      <c r="P33">
        <v>17</v>
      </c>
    </row>
  </sheetData>
  <conditionalFormatting sqref="D33:L33 A2:L32 A34:L1048576 A33:B33">
    <cfRule type="expression" dxfId="0" priority="4">
      <formula>IF($A2&lt;&gt;"",TRUE,FALSE)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Calculation</vt:lpstr>
      <vt:lpstr>Лист2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2022-04-04T10:18:30Z</dcterms:modified>
</cp:coreProperties>
</file>