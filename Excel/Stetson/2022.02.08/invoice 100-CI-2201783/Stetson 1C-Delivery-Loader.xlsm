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AA17CA1E-5868-4568-85E7-3EB0DD932B1D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Свойства" sheetId="28" r:id="rId16"/>
    <sheet name="ДАННЫЕ" sheetId="9" r:id="rId17"/>
    <sheet name="Форма(old)" sheetId="32" state="hidden" r:id="rId18"/>
    <sheet name="Строчный" sheetId="42" r:id="rId19"/>
    <sheet name="Settings" sheetId="43" state="hidden" r:id="rId20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7" hidden="1">'Форма(old)'!$A$1:$AT$172</definedName>
    <definedName name="_xlnm._FilterDatabase" localSheetId="3" hidden="1">ЦветПолный!$A$1:$B$254</definedName>
    <definedName name="all" localSheetId="17">#REF!</definedName>
    <definedName name="ColsToSave">Settings!$A$2:$A$23</definedName>
    <definedName name="FOB" localSheetId="17">#REF!</definedName>
    <definedName name="Hat" localSheetId="17">#REF!</definedName>
    <definedName name="Hats" localSheetId="17">#REF!</definedName>
    <definedName name="Manufacturer">Settings!$B$2</definedName>
    <definedName name="SHAPE" localSheetId="17">#REF!</definedName>
    <definedName name="инв35" localSheetId="17">#REF!</definedName>
    <definedName name="инв36" localSheetId="17">#REF!</definedName>
    <definedName name="ном" localSheetId="17">#REF!</definedName>
    <definedName name="ном1" localSheetId="17">#REF!</definedName>
    <definedName name="номтек" localSheetId="17">#REF!</definedName>
    <definedName name="_xlnm.Print_Area" localSheetId="17">'Форма(old)'!$G$1:$L$3</definedName>
    <definedName name="платежи" localSheetId="17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42" l="1"/>
  <c r="P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20" i="42"/>
  <c r="P21" i="42"/>
  <c r="P22" i="42"/>
  <c r="P23" i="42"/>
  <c r="P24" i="42"/>
  <c r="P25" i="42"/>
  <c r="P26" i="42"/>
  <c r="P27" i="42"/>
  <c r="P28" i="42"/>
  <c r="P29" i="42"/>
  <c r="P30" i="42"/>
  <c r="P31" i="42"/>
  <c r="P32" i="42"/>
  <c r="P33" i="42"/>
  <c r="P34" i="42"/>
  <c r="P35" i="42"/>
  <c r="P36" i="42"/>
  <c r="P37" i="42"/>
  <c r="P38" i="42"/>
  <c r="P39" i="42"/>
  <c r="P40" i="42"/>
  <c r="P41" i="42"/>
  <c r="P42" i="42"/>
  <c r="P43" i="42"/>
  <c r="P44" i="42"/>
  <c r="P45" i="42"/>
  <c r="P46" i="42"/>
  <c r="P47" i="42"/>
  <c r="P48" i="42"/>
  <c r="P49" i="42"/>
  <c r="P50" i="42"/>
  <c r="P51" i="42"/>
  <c r="P52" i="42"/>
  <c r="P53" i="42"/>
  <c r="P54" i="42"/>
  <c r="P55" i="42"/>
  <c r="P56" i="42"/>
  <c r="P57" i="42"/>
  <c r="P58" i="42"/>
  <c r="P59" i="42"/>
  <c r="P60" i="42"/>
  <c r="P61" i="42"/>
  <c r="P62" i="42"/>
  <c r="P63" i="42"/>
  <c r="P64" i="42"/>
  <c r="P2" i="42"/>
  <c r="X1" i="39" a="1"/>
  <c r="P4" i="39" l="1"/>
  <c r="P12" i="39"/>
  <c r="P20" i="39"/>
  <c r="P28" i="39"/>
  <c r="P36" i="39"/>
  <c r="P44" i="39"/>
  <c r="P52" i="39"/>
  <c r="P60" i="39"/>
  <c r="P37" i="39"/>
  <c r="P61" i="39"/>
  <c r="P39" i="39"/>
  <c r="P51" i="39"/>
  <c r="P5" i="39"/>
  <c r="P13" i="39"/>
  <c r="P21" i="39"/>
  <c r="P29" i="39"/>
  <c r="P45" i="39"/>
  <c r="P53" i="39"/>
  <c r="P27" i="39"/>
  <c r="P6" i="39"/>
  <c r="P14" i="39"/>
  <c r="P22" i="39"/>
  <c r="P30" i="39"/>
  <c r="P38" i="39"/>
  <c r="P46" i="39"/>
  <c r="P54" i="39"/>
  <c r="P62" i="39"/>
  <c r="P7" i="39"/>
  <c r="P15" i="39"/>
  <c r="P23" i="39"/>
  <c r="P31" i="39"/>
  <c r="P47" i="39"/>
  <c r="P55" i="39"/>
  <c r="P63" i="39"/>
  <c r="P59" i="39"/>
  <c r="P8" i="39"/>
  <c r="P16" i="39"/>
  <c r="P24" i="39"/>
  <c r="P32" i="39"/>
  <c r="P40" i="39"/>
  <c r="P48" i="39"/>
  <c r="P56" i="39"/>
  <c r="P64" i="39"/>
  <c r="P18" i="39"/>
  <c r="P34" i="39"/>
  <c r="P50" i="39"/>
  <c r="P3" i="39"/>
  <c r="P19" i="39"/>
  <c r="P43" i="39"/>
  <c r="P9" i="39"/>
  <c r="P17" i="39"/>
  <c r="P25" i="39"/>
  <c r="P33" i="39"/>
  <c r="P41" i="39"/>
  <c r="P49" i="39"/>
  <c r="P57" i="39"/>
  <c r="P2" i="39"/>
  <c r="P10" i="39"/>
  <c r="P26" i="39"/>
  <c r="P42" i="39"/>
  <c r="P58" i="39"/>
  <c r="P11" i="39"/>
  <c r="P35" i="39"/>
  <c r="A3" i="39"/>
  <c r="A11" i="39"/>
  <c r="A19" i="39"/>
  <c r="A27" i="39"/>
  <c r="A35" i="39"/>
  <c r="A43" i="39"/>
  <c r="A51" i="39"/>
  <c r="X1" i="39"/>
  <c r="A23" i="43" s="1"/>
  <c r="A4" i="39"/>
  <c r="A12" i="39"/>
  <c r="A20" i="39"/>
  <c r="A28" i="39"/>
  <c r="A36" i="39"/>
  <c r="A44" i="39"/>
  <c r="A52" i="39"/>
  <c r="A60" i="39"/>
  <c r="A5" i="39"/>
  <c r="A13" i="39"/>
  <c r="A21" i="39"/>
  <c r="A29" i="39"/>
  <c r="A37" i="39"/>
  <c r="A45" i="39"/>
  <c r="A53" i="39"/>
  <c r="A61" i="39"/>
  <c r="A6" i="39"/>
  <c r="A14" i="39"/>
  <c r="A22" i="39"/>
  <c r="A30" i="39"/>
  <c r="A38" i="39"/>
  <c r="A46" i="39"/>
  <c r="A54" i="39"/>
  <c r="A62" i="39"/>
  <c r="A7" i="39"/>
  <c r="A15" i="39"/>
  <c r="A23" i="39"/>
  <c r="A31" i="39"/>
  <c r="A39" i="39"/>
  <c r="A47" i="39"/>
  <c r="A55" i="39"/>
  <c r="A63" i="39"/>
  <c r="A8" i="39"/>
  <c r="A16" i="39"/>
  <c r="A24" i="39"/>
  <c r="A32" i="39"/>
  <c r="A40" i="39"/>
  <c r="A48" i="39"/>
  <c r="A56" i="39"/>
  <c r="A64" i="39"/>
  <c r="A9" i="39"/>
  <c r="A17" i="39"/>
  <c r="A25" i="39"/>
  <c r="A33" i="39"/>
  <c r="A41" i="39"/>
  <c r="A49" i="39"/>
  <c r="A57" i="39"/>
  <c r="A2" i="39"/>
  <c r="A10" i="39"/>
  <c r="A18" i="39"/>
  <c r="A26" i="39"/>
  <c r="A34" i="39"/>
  <c r="A42" i="39"/>
  <c r="A50" i="39"/>
  <c r="A58" i="39"/>
  <c r="A59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B2" i="39" l="1"/>
  <c r="C2" i="39"/>
  <c r="D2" i="39"/>
  <c r="B61" i="39"/>
  <c r="AC61" i="39" s="1"/>
  <c r="F60" i="39"/>
  <c r="AJ60" i="39" s="1"/>
  <c r="N60" i="39"/>
  <c r="D61" i="39"/>
  <c r="AG61" i="39" s="1"/>
  <c r="L61" i="39"/>
  <c r="AN61" i="39" s="1"/>
  <c r="J62" i="39"/>
  <c r="AK62" i="39" s="1"/>
  <c r="AR62" i="39"/>
  <c r="H63" i="39"/>
  <c r="F64" i="39"/>
  <c r="AJ64" i="39" s="1"/>
  <c r="N64" i="39"/>
  <c r="Q61" i="39"/>
  <c r="I62" i="39"/>
  <c r="B62" i="39"/>
  <c r="AC62" i="39" s="1"/>
  <c r="G60" i="39"/>
  <c r="AO60" i="39" s="1"/>
  <c r="O60" i="39"/>
  <c r="E61" i="39"/>
  <c r="M61" i="39"/>
  <c r="AP61" i="39" s="1"/>
  <c r="C62" i="39"/>
  <c r="K62" i="39"/>
  <c r="AH62" i="39" s="1"/>
  <c r="I63" i="39"/>
  <c r="Q63" i="39"/>
  <c r="G64" i="39"/>
  <c r="AO64" i="39" s="1"/>
  <c r="O64" i="39"/>
  <c r="M62" i="39"/>
  <c r="AP62" i="39" s="1"/>
  <c r="I64" i="39"/>
  <c r="I61" i="39"/>
  <c r="G62" i="39"/>
  <c r="AO62" i="39" s="1"/>
  <c r="M63" i="39"/>
  <c r="AP63" i="39" s="1"/>
  <c r="C64" i="39"/>
  <c r="Q62" i="39"/>
  <c r="O63" i="39"/>
  <c r="B63" i="39"/>
  <c r="H60" i="39"/>
  <c r="F61" i="39"/>
  <c r="AJ61" i="39" s="1"/>
  <c r="N61" i="39"/>
  <c r="D62" i="39"/>
  <c r="AG62" i="39" s="1"/>
  <c r="L62" i="39"/>
  <c r="AN62" i="39" s="1"/>
  <c r="J63" i="39"/>
  <c r="AK63" i="39" s="1"/>
  <c r="AR63" i="39"/>
  <c r="H64" i="39"/>
  <c r="E62" i="39"/>
  <c r="C63" i="39"/>
  <c r="K63" i="39"/>
  <c r="AH63" i="39" s="1"/>
  <c r="Q64" i="39"/>
  <c r="E63" i="39"/>
  <c r="M64" i="39"/>
  <c r="AP64" i="39" s="1"/>
  <c r="B64" i="39"/>
  <c r="I60" i="39"/>
  <c r="Q60" i="39"/>
  <c r="G61" i="39"/>
  <c r="AO61" i="39" s="1"/>
  <c r="O61" i="39"/>
  <c r="B60" i="39"/>
  <c r="J60" i="39"/>
  <c r="AK60" i="39" s="1"/>
  <c r="AR60" i="39"/>
  <c r="H61" i="39"/>
  <c r="F62" i="39"/>
  <c r="AJ62" i="39" s="1"/>
  <c r="N62" i="39"/>
  <c r="D63" i="39"/>
  <c r="AG63" i="39" s="1"/>
  <c r="L63" i="39"/>
  <c r="AN63" i="39" s="1"/>
  <c r="J64" i="39"/>
  <c r="AK64" i="39" s="1"/>
  <c r="AR64" i="39"/>
  <c r="C60" i="39"/>
  <c r="K60" i="39"/>
  <c r="AH60" i="39" s="1"/>
  <c r="O62" i="39"/>
  <c r="K64" i="39"/>
  <c r="AH64" i="39" s="1"/>
  <c r="D60" i="39"/>
  <c r="AG60" i="39" s="1"/>
  <c r="L60" i="39"/>
  <c r="AN60" i="39" s="1"/>
  <c r="J61" i="39"/>
  <c r="AK61" i="39" s="1"/>
  <c r="AR61" i="39"/>
  <c r="H62" i="39"/>
  <c r="F63" i="39"/>
  <c r="AJ63" i="39" s="1"/>
  <c r="N63" i="39"/>
  <c r="D64" i="39"/>
  <c r="AG64" i="39" s="1"/>
  <c r="L64" i="39"/>
  <c r="AN64" i="39" s="1"/>
  <c r="E60" i="39"/>
  <c r="M60" i="39"/>
  <c r="AP60" i="39" s="1"/>
  <c r="C61" i="39"/>
  <c r="K61" i="39"/>
  <c r="AH61" i="39" s="1"/>
  <c r="G63" i="39"/>
  <c r="AO63" i="39" s="1"/>
  <c r="E64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O21" i="39"/>
  <c r="O43" i="39"/>
  <c r="O54" i="39"/>
  <c r="O44" i="39"/>
  <c r="O8" i="39"/>
  <c r="O25" i="39"/>
  <c r="O34" i="39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W51" i="39" s="1"/>
  <c r="I36" i="39"/>
  <c r="U36" i="39" s="1"/>
  <c r="I29" i="39"/>
  <c r="V29" i="39" s="1"/>
  <c r="I14" i="39"/>
  <c r="V14" i="39" s="1"/>
  <c r="I56" i="39"/>
  <c r="W56" i="39" s="1"/>
  <c r="I55" i="39"/>
  <c r="W55" i="39" s="1"/>
  <c r="I58" i="39"/>
  <c r="W58" i="39" s="1"/>
  <c r="H35" i="39"/>
  <c r="H20" i="39"/>
  <c r="H45" i="39"/>
  <c r="H54" i="39"/>
  <c r="H47" i="39"/>
  <c r="H24" i="39"/>
  <c r="H9" i="39"/>
  <c r="G19" i="39"/>
  <c r="G12" i="39"/>
  <c r="G13" i="39"/>
  <c r="G6" i="39"/>
  <c r="G50" i="39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O29" i="39"/>
  <c r="O20" i="39"/>
  <c r="O24" i="39"/>
  <c r="O7" i="39"/>
  <c r="O48" i="39"/>
  <c r="O33" i="39"/>
  <c r="O42" i="39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U59" i="39" s="1"/>
  <c r="I44" i="39"/>
  <c r="W44" i="39" s="1"/>
  <c r="I37" i="39"/>
  <c r="W37" i="39" s="1"/>
  <c r="I22" i="39"/>
  <c r="V22" i="39" s="1"/>
  <c r="I9" i="39"/>
  <c r="W9" i="39" s="1"/>
  <c r="I8" i="39"/>
  <c r="W8" i="39" s="1"/>
  <c r="I39" i="39"/>
  <c r="V39" i="39" s="1"/>
  <c r="H43" i="39"/>
  <c r="H28" i="39"/>
  <c r="H53" i="39"/>
  <c r="H26" i="39"/>
  <c r="H55" i="39"/>
  <c r="H32" i="39"/>
  <c r="H33" i="39"/>
  <c r="G27" i="39"/>
  <c r="G20" i="39"/>
  <c r="G21" i="39"/>
  <c r="G14" i="39"/>
  <c r="G7" i="39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O37" i="39"/>
  <c r="O6" i="39"/>
  <c r="O32" i="39"/>
  <c r="O15" i="39"/>
  <c r="O19" i="39"/>
  <c r="O41" i="39"/>
  <c r="O58" i="39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U3" i="39" s="1"/>
  <c r="I31" i="39"/>
  <c r="V31" i="39" s="1"/>
  <c r="I52" i="39"/>
  <c r="U52" i="39" s="1"/>
  <c r="I45" i="39"/>
  <c r="V45" i="39" s="1"/>
  <c r="I30" i="39"/>
  <c r="V30" i="39" s="1"/>
  <c r="I17" i="39"/>
  <c r="W17" i="39" s="1"/>
  <c r="I10" i="39"/>
  <c r="U10" i="39" s="1"/>
  <c r="I24" i="39"/>
  <c r="U24" i="39" s="1"/>
  <c r="H51" i="39"/>
  <c r="H36" i="39"/>
  <c r="H6" i="39"/>
  <c r="H58" i="39"/>
  <c r="H17" i="39"/>
  <c r="H40" i="39"/>
  <c r="H57" i="39"/>
  <c r="G35" i="39"/>
  <c r="G28" i="39"/>
  <c r="G29" i="39"/>
  <c r="G22" i="39"/>
  <c r="E27" i="39"/>
  <c r="E4" i="39"/>
  <c r="E10" i="39"/>
  <c r="E47" i="39"/>
  <c r="E46" i="39"/>
  <c r="E55" i="39"/>
  <c r="E56" i="39"/>
  <c r="Q11" i="39"/>
  <c r="Q12" i="39"/>
  <c r="Q5" i="39"/>
  <c r="Q58" i="39"/>
  <c r="Q31" i="39"/>
  <c r="Q16" i="39"/>
  <c r="Q17" i="39"/>
  <c r="Q2" i="39"/>
  <c r="O45" i="39"/>
  <c r="O14" i="39"/>
  <c r="O56" i="39"/>
  <c r="O23" i="39"/>
  <c r="O35" i="39"/>
  <c r="O49" i="39"/>
  <c r="O27" i="39"/>
  <c r="N28" i="39"/>
  <c r="N37" i="39"/>
  <c r="N38" i="39"/>
  <c r="N3" i="39"/>
  <c r="N55" i="39"/>
  <c r="N17" i="39"/>
  <c r="N26" i="39"/>
  <c r="M12" i="39"/>
  <c r="M21" i="39"/>
  <c r="M51" i="39"/>
  <c r="M7" i="39"/>
  <c r="M32" i="39"/>
  <c r="M41" i="39"/>
  <c r="M50" i="39"/>
  <c r="M2" i="39"/>
  <c r="L59" i="39"/>
  <c r="L44" i="39"/>
  <c r="L37" i="39"/>
  <c r="L22" i="39"/>
  <c r="L15" i="39"/>
  <c r="L9" i="39"/>
  <c r="L18" i="39"/>
  <c r="K3" i="39"/>
  <c r="K40" i="39"/>
  <c r="K52" i="39"/>
  <c r="K29" i="39"/>
  <c r="K6" i="39"/>
  <c r="K48" i="39"/>
  <c r="K41" i="39"/>
  <c r="J27" i="39"/>
  <c r="J21" i="39"/>
  <c r="J44" i="39"/>
  <c r="J46" i="39"/>
  <c r="J23" i="39"/>
  <c r="J25" i="39"/>
  <c r="J34" i="39"/>
  <c r="I11" i="39"/>
  <c r="U11" i="39" s="1"/>
  <c r="I48" i="39"/>
  <c r="V48" i="39" s="1"/>
  <c r="I23" i="39"/>
  <c r="V23" i="39" s="1"/>
  <c r="I53" i="39"/>
  <c r="W53" i="39" s="1"/>
  <c r="I38" i="39"/>
  <c r="U38" i="39" s="1"/>
  <c r="I25" i="39"/>
  <c r="U25" i="39" s="1"/>
  <c r="I18" i="39"/>
  <c r="W18" i="39" s="1"/>
  <c r="I2" i="39"/>
  <c r="V2" i="39" s="1"/>
  <c r="H59" i="39"/>
  <c r="H44" i="39"/>
  <c r="H14" i="39"/>
  <c r="H7" i="39"/>
  <c r="H41" i="39"/>
  <c r="H48" i="39"/>
  <c r="H34" i="39"/>
  <c r="G43" i="39"/>
  <c r="G36" i="39"/>
  <c r="G37" i="39"/>
  <c r="E35" i="39"/>
  <c r="E12" i="39"/>
  <c r="E5" i="39"/>
  <c r="E57" i="39"/>
  <c r="E54" i="39"/>
  <c r="E18" i="39"/>
  <c r="E17" i="39"/>
  <c r="Q19" i="39"/>
  <c r="Q20" i="39"/>
  <c r="Q13" i="39"/>
  <c r="Q6" i="39"/>
  <c r="Q34" i="39"/>
  <c r="Q24" i="39"/>
  <c r="Q25" i="39"/>
  <c r="O53" i="39"/>
  <c r="O22" i="39"/>
  <c r="O50" i="39"/>
  <c r="O31" i="39"/>
  <c r="O4" i="39"/>
  <c r="O57" i="39"/>
  <c r="O51" i="39"/>
  <c r="N36" i="39"/>
  <c r="N45" i="39"/>
  <c r="N46" i="39"/>
  <c r="N51" i="39"/>
  <c r="N8" i="39"/>
  <c r="N25" i="39"/>
  <c r="N34" i="39"/>
  <c r="M20" i="39"/>
  <c r="M29" i="39"/>
  <c r="M6" i="39"/>
  <c r="M15" i="39"/>
  <c r="M48" i="39"/>
  <c r="M49" i="39"/>
  <c r="M58" i="39"/>
  <c r="L3" i="39"/>
  <c r="L32" i="39"/>
  <c r="L52" i="39"/>
  <c r="L45" i="39"/>
  <c r="L30" i="39"/>
  <c r="L23" i="39"/>
  <c r="L17" i="39"/>
  <c r="L26" i="39"/>
  <c r="K11" i="39"/>
  <c r="K26" i="39"/>
  <c r="K23" i="39"/>
  <c r="K37" i="39"/>
  <c r="K14" i="39"/>
  <c r="K50" i="39"/>
  <c r="K49" i="39"/>
  <c r="J35" i="39"/>
  <c r="J37" i="39"/>
  <c r="J52" i="39"/>
  <c r="J54" i="39"/>
  <c r="J39" i="39"/>
  <c r="J33" i="39"/>
  <c r="J42" i="39"/>
  <c r="I19" i="39"/>
  <c r="W19" i="39" s="1"/>
  <c r="I4" i="39"/>
  <c r="U4" i="39" s="1"/>
  <c r="I32" i="39"/>
  <c r="U32" i="39" s="1"/>
  <c r="I15" i="39"/>
  <c r="I46" i="39"/>
  <c r="V46" i="39" s="1"/>
  <c r="I33" i="39"/>
  <c r="U33" i="39" s="1"/>
  <c r="I26" i="39"/>
  <c r="W26" i="39" s="1"/>
  <c r="H3" i="39"/>
  <c r="H21" i="39"/>
  <c r="H52" i="39"/>
  <c r="H22" i="39"/>
  <c r="H15" i="39"/>
  <c r="H10" i="39"/>
  <c r="H56" i="39"/>
  <c r="H50" i="39"/>
  <c r="G51" i="39"/>
  <c r="G44" i="39"/>
  <c r="G45" i="39"/>
  <c r="G38" i="39"/>
  <c r="G31" i="39"/>
  <c r="E51" i="39"/>
  <c r="E28" i="39"/>
  <c r="E21" i="39"/>
  <c r="E6" i="39"/>
  <c r="E26" i="39"/>
  <c r="E16" i="39"/>
  <c r="E9" i="39"/>
  <c r="Q35" i="39"/>
  <c r="Q36" i="39"/>
  <c r="Q29" i="39"/>
  <c r="Q22" i="39"/>
  <c r="Q15" i="39"/>
  <c r="Q40" i="39"/>
  <c r="Q41" i="39"/>
  <c r="O5" i="39"/>
  <c r="O40" i="39"/>
  <c r="O38" i="39"/>
  <c r="O59" i="39"/>
  <c r="O47" i="39"/>
  <c r="O9" i="39"/>
  <c r="O18" i="39"/>
  <c r="O36" i="39"/>
  <c r="N52" i="39"/>
  <c r="N43" i="39"/>
  <c r="N16" i="39"/>
  <c r="N15" i="39"/>
  <c r="N56" i="39"/>
  <c r="N41" i="39"/>
  <c r="N58" i="39"/>
  <c r="M36" i="39"/>
  <c r="M45" i="39"/>
  <c r="M22" i="39"/>
  <c r="M31" i="39"/>
  <c r="M59" i="39"/>
  <c r="M10" i="39"/>
  <c r="M11" i="39"/>
  <c r="L19" i="39"/>
  <c r="L4" i="39"/>
  <c r="L48" i="39"/>
  <c r="L47" i="39"/>
  <c r="L46" i="39"/>
  <c r="L58" i="39"/>
  <c r="L33" i="39"/>
  <c r="K56" i="39"/>
  <c r="K27" i="39"/>
  <c r="K12" i="39"/>
  <c r="K8" i="39"/>
  <c r="K53" i="39"/>
  <c r="K30" i="39"/>
  <c r="K15" i="39"/>
  <c r="K18" i="39"/>
  <c r="J51" i="39"/>
  <c r="J40" i="39"/>
  <c r="J6" i="39"/>
  <c r="J55" i="39"/>
  <c r="J16" i="39"/>
  <c r="J49" i="39"/>
  <c r="J58" i="39"/>
  <c r="I35" i="39"/>
  <c r="U35" i="39" s="1"/>
  <c r="I20" i="39"/>
  <c r="W20" i="39" s="1"/>
  <c r="I13" i="39"/>
  <c r="W13" i="39" s="1"/>
  <c r="I40" i="39"/>
  <c r="W40" i="39" s="1"/>
  <c r="I7" i="39"/>
  <c r="W7" i="39" s="1"/>
  <c r="I49" i="39"/>
  <c r="U49" i="39" s="1"/>
  <c r="I42" i="39"/>
  <c r="U42" i="39" s="1"/>
  <c r="H19" i="39"/>
  <c r="H4" i="39"/>
  <c r="H13" i="39"/>
  <c r="H38" i="39"/>
  <c r="H31" i="39"/>
  <c r="H8" i="39"/>
  <c r="H49" i="39"/>
  <c r="G3" i="39"/>
  <c r="G58" i="39"/>
  <c r="G18" i="39"/>
  <c r="G48" i="39"/>
  <c r="G54" i="39"/>
  <c r="E59" i="39"/>
  <c r="E36" i="39"/>
  <c r="E29" i="39"/>
  <c r="E14" i="39"/>
  <c r="E7" i="39"/>
  <c r="E24" i="39"/>
  <c r="E25" i="39"/>
  <c r="Q43" i="39"/>
  <c r="Q44" i="39"/>
  <c r="Q37" i="39"/>
  <c r="Q30" i="39"/>
  <c r="Q23" i="39"/>
  <c r="Q48" i="39"/>
  <c r="Q49" i="39"/>
  <c r="O13" i="39"/>
  <c r="O11" i="39"/>
  <c r="O46" i="39"/>
  <c r="O28" i="39"/>
  <c r="O55" i="39"/>
  <c r="O17" i="39"/>
  <c r="O26" i="39"/>
  <c r="O2" i="39"/>
  <c r="N5" i="39"/>
  <c r="N6" i="39"/>
  <c r="N24" i="39"/>
  <c r="N23" i="39"/>
  <c r="N11" i="39"/>
  <c r="N49" i="39"/>
  <c r="N19" i="39"/>
  <c r="M44" i="39"/>
  <c r="M53" i="39"/>
  <c r="M30" i="39"/>
  <c r="M39" i="39"/>
  <c r="M9" i="39"/>
  <c r="M18" i="39"/>
  <c r="M19" i="39"/>
  <c r="L27" i="39"/>
  <c r="L12" i="39"/>
  <c r="L5" i="39"/>
  <c r="L56" i="39"/>
  <c r="L54" i="39"/>
  <c r="L8" i="39"/>
  <c r="L41" i="39"/>
  <c r="K59" i="39"/>
  <c r="K35" i="39"/>
  <c r="K20" i="39"/>
  <c r="K42" i="39"/>
  <c r="K31" i="39"/>
  <c r="K38" i="39"/>
  <c r="K9" i="39"/>
  <c r="K2" i="39"/>
  <c r="J59" i="39"/>
  <c r="J4" i="39"/>
  <c r="J14" i="39"/>
  <c r="J8" i="39"/>
  <c r="J32" i="39"/>
  <c r="J57" i="39"/>
  <c r="J45" i="39"/>
  <c r="I43" i="39"/>
  <c r="W43" i="39" s="1"/>
  <c r="I28" i="39"/>
  <c r="V28" i="39" s="1"/>
  <c r="I21" i="39"/>
  <c r="W21" i="39" s="1"/>
  <c r="I6" i="39"/>
  <c r="V6" i="39" s="1"/>
  <c r="I16" i="39"/>
  <c r="W16" i="39" s="1"/>
  <c r="I57" i="39"/>
  <c r="V57" i="39" s="1"/>
  <c r="I50" i="39"/>
  <c r="V50" i="39" s="1"/>
  <c r="H27" i="39"/>
  <c r="H12" i="39"/>
  <c r="H29" i="39"/>
  <c r="H46" i="39"/>
  <c r="H39" i="39"/>
  <c r="H16" i="39"/>
  <c r="H18" i="39"/>
  <c r="G11" i="39"/>
  <c r="G4" i="39"/>
  <c r="G5" i="39"/>
  <c r="G26" i="39"/>
  <c r="G56" i="39"/>
  <c r="E20" i="39"/>
  <c r="Q21" i="39"/>
  <c r="O39" i="39"/>
  <c r="N32" i="39"/>
  <c r="M57" i="39"/>
  <c r="L25" i="39"/>
  <c r="K10" i="39"/>
  <c r="I27" i="39"/>
  <c r="U27" i="39" s="1"/>
  <c r="H37" i="39"/>
  <c r="G52" i="39"/>
  <c r="G55" i="39"/>
  <c r="G17" i="39"/>
  <c r="G2" i="39"/>
  <c r="B2" i="43" s="1"/>
  <c r="F14" i="39"/>
  <c r="F40" i="39"/>
  <c r="F53" i="39"/>
  <c r="F16" i="39"/>
  <c r="F10" i="39"/>
  <c r="F11" i="39"/>
  <c r="F32" i="39"/>
  <c r="D43" i="39"/>
  <c r="D20" i="39"/>
  <c r="D48" i="39"/>
  <c r="D8" i="39"/>
  <c r="D54" i="39"/>
  <c r="D17" i="39"/>
  <c r="D26" i="39"/>
  <c r="C27" i="39"/>
  <c r="Y27" i="39" s="1"/>
  <c r="C20" i="39"/>
  <c r="Y20" i="39" s="1"/>
  <c r="C21" i="39"/>
  <c r="Y21" i="39" s="1"/>
  <c r="C6" i="39"/>
  <c r="Y6" i="39" s="1"/>
  <c r="C50" i="39"/>
  <c r="Y50" i="39" s="1"/>
  <c r="C8" i="39"/>
  <c r="Y8" i="39" s="1"/>
  <c r="C49" i="39"/>
  <c r="Y49" i="39" s="1"/>
  <c r="B13" i="39"/>
  <c r="B22" i="39"/>
  <c r="B31" i="39"/>
  <c r="B24" i="39"/>
  <c r="B44" i="39"/>
  <c r="B10" i="39"/>
  <c r="B11" i="39"/>
  <c r="E58" i="39"/>
  <c r="O10" i="39"/>
  <c r="K19" i="39"/>
  <c r="I5" i="39"/>
  <c r="V5" i="39" s="1"/>
  <c r="G30" i="39"/>
  <c r="G33" i="39"/>
  <c r="F38" i="39"/>
  <c r="F5" i="39"/>
  <c r="F9" i="39"/>
  <c r="F27" i="39"/>
  <c r="D59" i="39"/>
  <c r="D13" i="39"/>
  <c r="D23" i="39"/>
  <c r="D42" i="39"/>
  <c r="C37" i="39"/>
  <c r="Y37" i="39" s="1"/>
  <c r="C15" i="39"/>
  <c r="Y15" i="39" s="1"/>
  <c r="C10" i="39"/>
  <c r="Y10" i="39" s="1"/>
  <c r="B38" i="39"/>
  <c r="B40" i="39"/>
  <c r="B26" i="39"/>
  <c r="C53" i="39"/>
  <c r="Y53" i="39" s="1"/>
  <c r="C26" i="39"/>
  <c r="Y26" i="39" s="1"/>
  <c r="B56" i="39"/>
  <c r="E13" i="39"/>
  <c r="Q14" i="39"/>
  <c r="O52" i="39"/>
  <c r="N33" i="39"/>
  <c r="M3" i="39"/>
  <c r="L2" i="39"/>
  <c r="J43" i="39"/>
  <c r="I12" i="39"/>
  <c r="U12" i="39" s="1"/>
  <c r="H5" i="39"/>
  <c r="G53" i="39"/>
  <c r="G40" i="39"/>
  <c r="G25" i="39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Q7" i="39"/>
  <c r="N42" i="39"/>
  <c r="L11" i="39"/>
  <c r="J53" i="39"/>
  <c r="H30" i="39"/>
  <c r="G42" i="39"/>
  <c r="F12" i="39"/>
  <c r="F22" i="39"/>
  <c r="F26" i="39"/>
  <c r="F2" i="39"/>
  <c r="D36" i="39"/>
  <c r="D6" i="39"/>
  <c r="D33" i="39"/>
  <c r="C43" i="39"/>
  <c r="Y43" i="39" s="1"/>
  <c r="C36" i="39"/>
  <c r="Y36" i="39" s="1"/>
  <c r="C22" i="39"/>
  <c r="Y22" i="39" s="1"/>
  <c r="C42" i="39"/>
  <c r="Y42" i="39" s="1"/>
  <c r="B29" i="39"/>
  <c r="B47" i="39"/>
  <c r="B17" i="39"/>
  <c r="B35" i="39"/>
  <c r="C59" i="39"/>
  <c r="Y59" i="39" s="1"/>
  <c r="B45" i="39"/>
  <c r="B51" i="39"/>
  <c r="E41" i="39"/>
  <c r="Q32" i="39"/>
  <c r="O12" i="39"/>
  <c r="M28" i="39"/>
  <c r="L34" i="39"/>
  <c r="K4" i="39"/>
  <c r="J29" i="39"/>
  <c r="I47" i="39"/>
  <c r="V47" i="39" s="1"/>
  <c r="H23" i="39"/>
  <c r="G46" i="39"/>
  <c r="G8" i="39"/>
  <c r="G41" i="39"/>
  <c r="F20" i="39"/>
  <c r="F54" i="39"/>
  <c r="F13" i="39"/>
  <c r="F46" i="39"/>
  <c r="F17" i="39"/>
  <c r="F34" i="39"/>
  <c r="F35" i="39"/>
  <c r="D3" i="39"/>
  <c r="D55" i="39"/>
  <c r="D44" i="39"/>
  <c r="D21" i="39"/>
  <c r="D14" i="39"/>
  <c r="D47" i="39"/>
  <c r="D41" i="39"/>
  <c r="D50" i="39"/>
  <c r="C51" i="39"/>
  <c r="Y51" i="39" s="1"/>
  <c r="C44" i="39"/>
  <c r="Y44" i="39" s="1"/>
  <c r="C45" i="39"/>
  <c r="Y45" i="39" s="1"/>
  <c r="C30" i="39"/>
  <c r="Y30" i="39" s="1"/>
  <c r="C23" i="39"/>
  <c r="Y23" i="39" s="1"/>
  <c r="C9" i="39"/>
  <c r="Y9" i="39" s="1"/>
  <c r="C18" i="39"/>
  <c r="Y18" i="39" s="1"/>
  <c r="B37" i="39"/>
  <c r="B46" i="39"/>
  <c r="B55" i="39"/>
  <c r="B48" i="39"/>
  <c r="B25" i="39"/>
  <c r="B34" i="39"/>
  <c r="B43" i="39"/>
  <c r="E8" i="39"/>
  <c r="Q33" i="39"/>
  <c r="N44" i="39"/>
  <c r="M37" i="39"/>
  <c r="L39" i="39"/>
  <c r="K39" i="39"/>
  <c r="J31" i="39"/>
  <c r="I54" i="39"/>
  <c r="W54" i="39" s="1"/>
  <c r="H42" i="39"/>
  <c r="G15" i="39"/>
  <c r="G16" i="39"/>
  <c r="G49" i="39"/>
  <c r="F28" i="39"/>
  <c r="F23" i="39"/>
  <c r="F21" i="39"/>
  <c r="F7" i="39"/>
  <c r="F25" i="39"/>
  <c r="F42" i="39"/>
  <c r="F43" i="39"/>
  <c r="D11" i="39"/>
  <c r="D32" i="39"/>
  <c r="D52" i="39"/>
  <c r="D29" i="39"/>
  <c r="D22" i="39"/>
  <c r="D24" i="39"/>
  <c r="D49" i="39"/>
  <c r="C52" i="39"/>
  <c r="Y52" i="39" s="1"/>
  <c r="C17" i="39"/>
  <c r="Y17" i="39" s="1"/>
  <c r="B33" i="39"/>
  <c r="E34" i="39"/>
  <c r="O16" i="39"/>
  <c r="N53" i="39"/>
  <c r="M14" i="39"/>
  <c r="L53" i="39"/>
  <c r="K45" i="39"/>
  <c r="J47" i="39"/>
  <c r="I41" i="39"/>
  <c r="V41" i="39" s="1"/>
  <c r="H25" i="39"/>
  <c r="G23" i="39"/>
  <c r="G24" i="39"/>
  <c r="G57" i="39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C39" i="39"/>
  <c r="Y39" i="39" s="1"/>
  <c r="C25" i="39"/>
  <c r="Y25" i="39" s="1"/>
  <c r="C34" i="39"/>
  <c r="Y34" i="39" s="1"/>
  <c r="B53" i="39"/>
  <c r="B7" i="39"/>
  <c r="B36" i="39"/>
  <c r="B19" i="39"/>
  <c r="B41" i="39"/>
  <c r="B50" i="39"/>
  <c r="B4" i="39"/>
  <c r="Q28" i="39"/>
  <c r="N7" i="39"/>
  <c r="L55" i="39"/>
  <c r="J50" i="39"/>
  <c r="G59" i="39"/>
  <c r="G9" i="39"/>
  <c r="G34" i="39"/>
  <c r="F52" i="39"/>
  <c r="F45" i="39"/>
  <c r="F47" i="39"/>
  <c r="F3" i="39"/>
  <c r="D35" i="39"/>
  <c r="D16" i="39"/>
  <c r="D46" i="39"/>
  <c r="D18" i="39"/>
  <c r="C12" i="39"/>
  <c r="Y12" i="39" s="1"/>
  <c r="C58" i="39"/>
  <c r="Y58" i="39" s="1"/>
  <c r="C55" i="39"/>
  <c r="Y55" i="39" s="1"/>
  <c r="B5" i="39"/>
  <c r="B23" i="39"/>
  <c r="B20" i="39"/>
  <c r="B57" i="39"/>
  <c r="B3" i="39"/>
  <c r="A17" i="43"/>
  <c r="C31" i="39"/>
  <c r="Y31" i="39" s="1"/>
  <c r="B12" i="39"/>
  <c r="Q27" i="39"/>
  <c r="O30" i="39"/>
  <c r="N54" i="39"/>
  <c r="M23" i="39"/>
  <c r="L38" i="39"/>
  <c r="K22" i="39"/>
  <c r="J41" i="39"/>
  <c r="I34" i="39"/>
  <c r="V34" i="39" s="1"/>
  <c r="H2" i="39"/>
  <c r="G39" i="39"/>
  <c r="G32" i="39"/>
  <c r="G10" i="39"/>
  <c r="F44" i="39"/>
  <c r="F55" i="39"/>
  <c r="F37" i="39"/>
  <c r="F31" i="39"/>
  <c r="F41" i="39"/>
  <c r="F58" i="39"/>
  <c r="F59" i="39"/>
  <c r="D27" i="39"/>
  <c r="D4" i="39"/>
  <c r="D31" i="39"/>
  <c r="D45" i="39"/>
  <c r="D38" i="39"/>
  <c r="D7" i="39"/>
  <c r="D10" i="39"/>
  <c r="C11" i="39"/>
  <c r="Y11" i="39" s="1"/>
  <c r="C4" i="39"/>
  <c r="Y4" i="39" s="1"/>
  <c r="C5" i="39"/>
  <c r="Y5" i="39" s="1"/>
  <c r="C48" i="39"/>
  <c r="Y48" i="39" s="1"/>
  <c r="C54" i="39"/>
  <c r="Y54" i="39" s="1"/>
  <c r="C47" i="39"/>
  <c r="Y47" i="39" s="1"/>
  <c r="C33" i="39"/>
  <c r="Y33" i="39" s="1"/>
  <c r="Y2" i="39"/>
  <c r="B6" i="39"/>
  <c r="B15" i="39"/>
  <c r="B8" i="39"/>
  <c r="B59" i="39"/>
  <c r="B49" i="39"/>
  <c r="B58" i="39"/>
  <c r="B28" i="39"/>
  <c r="E43" i="39"/>
  <c r="O3" i="39"/>
  <c r="M56" i="39"/>
  <c r="K7" i="39"/>
  <c r="H11" i="39"/>
  <c r="G47" i="39"/>
  <c r="F24" i="39"/>
  <c r="F57" i="39"/>
  <c r="F8" i="39"/>
  <c r="D12" i="39"/>
  <c r="D39" i="39"/>
  <c r="D9" i="39"/>
  <c r="C19" i="39"/>
  <c r="Y19" i="39" s="1"/>
  <c r="C13" i="39"/>
  <c r="Y13" i="39" s="1"/>
  <c r="C16" i="39"/>
  <c r="Y16" i="39" s="1"/>
  <c r="C41" i="39"/>
  <c r="Y41" i="39" s="1"/>
  <c r="B14" i="39"/>
  <c r="B16" i="39"/>
  <c r="B52" i="39"/>
  <c r="C38" i="39"/>
  <c r="Y38" i="39" s="1"/>
  <c r="B54" i="39"/>
  <c r="B42" i="39"/>
  <c r="W31" i="39" l="1"/>
  <c r="W29" i="39"/>
  <c r="V12" i="39"/>
  <c r="V32" i="39"/>
  <c r="V53" i="39"/>
  <c r="V49" i="39"/>
  <c r="U31" i="39"/>
  <c r="U29" i="39"/>
  <c r="U13" i="39"/>
  <c r="V59" i="39"/>
  <c r="W49" i="39"/>
  <c r="U37" i="39"/>
  <c r="W28" i="39"/>
  <c r="U28" i="39"/>
  <c r="U8" i="39"/>
  <c r="V25" i="39"/>
  <c r="W32" i="39"/>
  <c r="V8" i="39"/>
  <c r="W25" i="39"/>
  <c r="W23" i="39"/>
  <c r="V37" i="39"/>
  <c r="W12" i="39"/>
  <c r="V10" i="39"/>
  <c r="W10" i="39"/>
  <c r="W30" i="39"/>
  <c r="V7" i="39"/>
  <c r="W5" i="39"/>
  <c r="U50" i="39"/>
  <c r="U5" i="39"/>
  <c r="W50" i="39"/>
  <c r="U23" i="39"/>
  <c r="U20" i="39"/>
  <c r="V13" i="39"/>
  <c r="W36" i="39"/>
  <c r="V11" i="39"/>
  <c r="U19" i="39"/>
  <c r="V51" i="39"/>
  <c r="W48" i="39"/>
  <c r="V26" i="39"/>
  <c r="W47" i="39"/>
  <c r="U58" i="39"/>
  <c r="W24" i="39"/>
  <c r="U57" i="39"/>
  <c r="V40" i="39"/>
  <c r="U26" i="39"/>
  <c r="V18" i="39"/>
  <c r="V17" i="39"/>
  <c r="U17" i="39"/>
  <c r="W57" i="39"/>
  <c r="U44" i="39"/>
  <c r="W38" i="39"/>
  <c r="W4" i="39"/>
  <c r="U48" i="39"/>
  <c r="U34" i="39"/>
  <c r="V58" i="39"/>
  <c r="V44" i="39"/>
  <c r="V20" i="39"/>
  <c r="V9" i="39"/>
  <c r="AE64" i="39"/>
  <c r="Y64" i="39"/>
  <c r="Z63" i="39"/>
  <c r="AI63" i="39"/>
  <c r="AB63" i="39"/>
  <c r="W3" i="39"/>
  <c r="U47" i="39"/>
  <c r="U22" i="39"/>
  <c r="U9" i="39"/>
  <c r="V43" i="39"/>
  <c r="V19" i="39"/>
  <c r="AB62" i="39"/>
  <c r="Z62" i="39"/>
  <c r="AI62" i="39"/>
  <c r="AI61" i="39"/>
  <c r="Z61" i="39"/>
  <c r="AB61" i="39"/>
  <c r="Y63" i="39"/>
  <c r="AE63" i="39"/>
  <c r="AC64" i="39"/>
  <c r="Z64" i="39"/>
  <c r="AI64" i="39"/>
  <c r="AB64" i="39"/>
  <c r="Z60" i="39"/>
  <c r="AI60" i="39"/>
  <c r="AB60" i="39"/>
  <c r="U61" i="39"/>
  <c r="AL61" i="39"/>
  <c r="V61" i="39"/>
  <c r="W61" i="39"/>
  <c r="AM61" i="39" s="1"/>
  <c r="AA61" i="39"/>
  <c r="U43" i="39"/>
  <c r="U7" i="39"/>
  <c r="V38" i="39"/>
  <c r="U53" i="39"/>
  <c r="U40" i="39"/>
  <c r="U18" i="39"/>
  <c r="V4" i="39"/>
  <c r="W64" i="39"/>
  <c r="AM64" i="39" s="1"/>
  <c r="AA64" i="39"/>
  <c r="U64" i="39"/>
  <c r="AL64" i="39"/>
  <c r="V64" i="39"/>
  <c r="AE62" i="39"/>
  <c r="Y62" i="39"/>
  <c r="AA62" i="39"/>
  <c r="V62" i="39"/>
  <c r="U62" i="39"/>
  <c r="AL62" i="39"/>
  <c r="W62" i="39"/>
  <c r="AM62" i="39" s="1"/>
  <c r="AC63" i="39"/>
  <c r="AE61" i="39"/>
  <c r="Y61" i="39"/>
  <c r="Y60" i="39"/>
  <c r="AE60" i="39"/>
  <c r="W60" i="39"/>
  <c r="AM60" i="39" s="1"/>
  <c r="AA60" i="39"/>
  <c r="U60" i="39"/>
  <c r="AL60" i="39"/>
  <c r="V60" i="39"/>
  <c r="V63" i="39"/>
  <c r="AA63" i="39"/>
  <c r="U63" i="39"/>
  <c r="AL63" i="39"/>
  <c r="W63" i="39"/>
  <c r="AM63" i="39" s="1"/>
  <c r="W22" i="39"/>
  <c r="AM22" i="39" s="1"/>
  <c r="U51" i="39"/>
  <c r="V36" i="39"/>
  <c r="V24" i="39"/>
  <c r="V3" i="39"/>
  <c r="W39" i="39"/>
  <c r="AC60" i="39"/>
  <c r="W45" i="39"/>
  <c r="AM45" i="39" s="1"/>
  <c r="V54" i="39"/>
  <c r="U54" i="39"/>
  <c r="W41" i="39"/>
  <c r="V27" i="39"/>
  <c r="W6" i="39"/>
  <c r="W46" i="39"/>
  <c r="U41" i="39"/>
  <c r="V35" i="39"/>
  <c r="W42" i="39"/>
  <c r="U21" i="39"/>
  <c r="V21" i="39"/>
  <c r="W14" i="39"/>
  <c r="U39" i="39"/>
  <c r="V15" i="39"/>
  <c r="U15" i="39"/>
  <c r="V52" i="39"/>
  <c r="V42" i="39"/>
  <c r="W52" i="39"/>
  <c r="AM52" i="39" s="1"/>
  <c r="U14" i="39"/>
  <c r="U56" i="39"/>
  <c r="U16" i="39"/>
  <c r="V33" i="39"/>
  <c r="W59" i="39"/>
  <c r="AM59" i="39" s="1"/>
  <c r="W27" i="39"/>
  <c r="W11" i="39"/>
  <c r="V56" i="39"/>
  <c r="W2" i="39"/>
  <c r="U46" i="39"/>
  <c r="U30" i="39"/>
  <c r="U6" i="39"/>
  <c r="V55" i="39"/>
  <c r="W35" i="39"/>
  <c r="V16" i="39"/>
  <c r="U2" i="39"/>
  <c r="U55" i="39"/>
  <c r="W33" i="39"/>
  <c r="U45" i="39"/>
  <c r="AP59" i="39"/>
  <c r="AO59" i="39"/>
  <c r="AN59" i="39"/>
  <c r="AL59" i="39"/>
  <c r="AK59" i="39"/>
  <c r="AJ59" i="39"/>
  <c r="AI59" i="39"/>
  <c r="AH59" i="39"/>
  <c r="AG59" i="39"/>
  <c r="AE59" i="39"/>
  <c r="AB59" i="39"/>
  <c r="AA59" i="39"/>
  <c r="AR59" i="39"/>
  <c r="Z59" i="39"/>
  <c r="AC59" i="39" s="1"/>
  <c r="S59" i="39"/>
  <c r="AP58" i="39"/>
  <c r="AO58" i="39"/>
  <c r="AN58" i="39"/>
  <c r="AM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M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M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AM55" i="39"/>
  <c r="Z55" i="39"/>
  <c r="AC55" i="39" s="1"/>
  <c r="AF55" i="39"/>
  <c r="AP54" i="39"/>
  <c r="AO54" i="39"/>
  <c r="AN54" i="39"/>
  <c r="AM54" i="39"/>
  <c r="AL54" i="39"/>
  <c r="AK54" i="39"/>
  <c r="AJ54" i="39"/>
  <c r="AI54" i="39"/>
  <c r="AH54" i="39"/>
  <c r="AG54" i="39"/>
  <c r="AE54" i="39"/>
  <c r="AB54" i="39"/>
  <c r="AA54" i="39"/>
  <c r="AR54" i="39"/>
  <c r="Z54" i="39"/>
  <c r="AC54" i="39" s="1"/>
  <c r="S54" i="39"/>
  <c r="AP53" i="39"/>
  <c r="AO53" i="39"/>
  <c r="AN53" i="39"/>
  <c r="AM53" i="39"/>
  <c r="AL53" i="39"/>
  <c r="AK53" i="39"/>
  <c r="AJ53" i="39"/>
  <c r="AI53" i="39"/>
  <c r="AH53" i="39"/>
  <c r="AG53" i="39"/>
  <c r="AE53" i="39"/>
  <c r="AB53" i="39"/>
  <c r="AA53" i="39"/>
  <c r="AR53" i="39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Z52" i="39"/>
  <c r="AC52" i="39" s="1"/>
  <c r="S52" i="39"/>
  <c r="AP51" i="39"/>
  <c r="AO51" i="39"/>
  <c r="AN51" i="39"/>
  <c r="AM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M49" i="39"/>
  <c r="AL49" i="39"/>
  <c r="AK49" i="39"/>
  <c r="AJ49" i="39"/>
  <c r="AI49" i="39"/>
  <c r="AH49" i="39"/>
  <c r="AG49" i="39"/>
  <c r="AE49" i="39"/>
  <c r="AB49" i="39"/>
  <c r="AA49" i="39"/>
  <c r="AR49" i="39"/>
  <c r="Z49" i="39"/>
  <c r="AC49" i="39" s="1"/>
  <c r="S49" i="39"/>
  <c r="AP48" i="39"/>
  <c r="AO48" i="39"/>
  <c r="AN48" i="39"/>
  <c r="AM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M47" i="39"/>
  <c r="AL47" i="39"/>
  <c r="AK47" i="39"/>
  <c r="AJ47" i="39"/>
  <c r="AI47" i="39"/>
  <c r="AH47" i="39"/>
  <c r="AG47" i="39"/>
  <c r="AE47" i="39"/>
  <c r="AB47" i="39"/>
  <c r="AA47" i="39"/>
  <c r="AR47" i="39"/>
  <c r="Z47" i="39"/>
  <c r="AC47" i="39" s="1"/>
  <c r="AR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AM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AM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AM42" i="39"/>
  <c r="Z42" i="39"/>
  <c r="AC42" i="39" s="1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Z41" i="39"/>
  <c r="AC41" i="39" s="1"/>
  <c r="T41" i="39"/>
  <c r="AP40" i="39"/>
  <c r="AO40" i="39"/>
  <c r="AN40" i="39"/>
  <c r="AM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M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M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M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M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M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AM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AM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AM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AM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AM30" i="39"/>
  <c r="Z30" i="39"/>
  <c r="AC30" i="39" s="1"/>
  <c r="T30" i="39"/>
  <c r="AS30" i="39" s="1"/>
  <c r="AP29" i="39"/>
  <c r="AO29" i="39"/>
  <c r="AN29" i="39"/>
  <c r="AM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M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M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AM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AM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Z22" i="39"/>
  <c r="AC22" i="39" s="1"/>
  <c r="T22" i="39"/>
  <c r="AS22" i="39" s="1"/>
  <c r="AP21" i="39"/>
  <c r="AO21" i="39"/>
  <c r="AN21" i="39"/>
  <c r="AM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M20" i="39"/>
  <c r="AL20" i="39"/>
  <c r="AK20" i="39"/>
  <c r="AJ20" i="39"/>
  <c r="AI20" i="39"/>
  <c r="AH20" i="39"/>
  <c r="AG20" i="39"/>
  <c r="AE20" i="39"/>
  <c r="AB20" i="39"/>
  <c r="AA20" i="39"/>
  <c r="AR20" i="39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AM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AM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AM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AM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AM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AM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AM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AM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AM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AM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AM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AM3" i="39"/>
  <c r="Z3" i="39"/>
  <c r="AC3" i="39" s="1"/>
  <c r="AP2" i="39"/>
  <c r="AO2" i="39"/>
  <c r="AN2" i="39"/>
  <c r="AM2" i="39"/>
  <c r="AL2" i="39"/>
  <c r="AK2" i="39"/>
  <c r="AJ2" i="39"/>
  <c r="AI2" i="39"/>
  <c r="AH2" i="39"/>
  <c r="AG2" i="39"/>
  <c r="AE2" i="39"/>
  <c r="AB2" i="39"/>
  <c r="AA2" i="39"/>
  <c r="AR2" i="39"/>
  <c r="Z2" i="39"/>
  <c r="AC2" i="39" s="1"/>
  <c r="T2" i="39"/>
  <c r="AS2" i="39" s="1"/>
  <c r="AF60" i="39" l="1"/>
  <c r="S60" i="39"/>
  <c r="T60" i="39"/>
  <c r="AF61" i="39"/>
  <c r="S61" i="39"/>
  <c r="T61" i="39"/>
  <c r="S62" i="39"/>
  <c r="T62" i="39"/>
  <c r="AF62" i="39"/>
  <c r="T63" i="39"/>
  <c r="S63" i="39"/>
  <c r="AF63" i="39"/>
  <c r="AF64" i="39"/>
  <c r="T64" i="39"/>
  <c r="S64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S24" i="39"/>
  <c r="AT24" i="39"/>
  <c r="AQ24" i="39"/>
  <c r="T7" i="39"/>
  <c r="AF7" i="39"/>
  <c r="S7" i="39"/>
  <c r="AT14" i="39"/>
  <c r="AQ14" i="39"/>
  <c r="S2" i="39"/>
  <c r="AS11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AS32" i="39"/>
  <c r="AQ32" i="39"/>
  <c r="S34" i="39"/>
  <c r="AF38" i="39"/>
  <c r="S39" i="39"/>
  <c r="S42" i="39"/>
  <c r="AF26" i="39"/>
  <c r="AF32" i="39"/>
  <c r="AQ34" i="39"/>
  <c r="AS45" i="39"/>
  <c r="AQ45" i="39"/>
  <c r="S58" i="39"/>
  <c r="S40" i="39"/>
  <c r="T55" i="39"/>
  <c r="AS12" i="39" l="1"/>
  <c r="AQ12" i="39"/>
  <c r="AQ35" i="39"/>
  <c r="AS35" i="39"/>
  <c r="AT21" i="39"/>
  <c r="AS62" i="39"/>
  <c r="AT62" i="39"/>
  <c r="AQ62" i="39"/>
  <c r="AQ64" i="39"/>
  <c r="AS64" i="39"/>
  <c r="AT64" i="39"/>
  <c r="AT61" i="39"/>
  <c r="AQ61" i="39"/>
  <c r="AS61" i="39"/>
  <c r="AQ60" i="39"/>
  <c r="AS60" i="39"/>
  <c r="AT60" i="39"/>
  <c r="AS63" i="39"/>
  <c r="AQ63" i="39"/>
  <c r="AT63" i="39"/>
  <c r="AT29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AR6" i="39" l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<sst xmlns="http://schemas.openxmlformats.org/spreadsheetml/2006/main" count="98319" uniqueCount="37737">
  <si>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</si>
  <si>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</si>
  <si>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</si>
  <si>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</si>
  <si>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</si>
  <si>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</si>
  <si>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</si>
  <si>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</si>
  <si>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</si>
  <si>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</si>
  <si>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</si>
  <si>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</si>
  <si>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</si>
  <si>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</si>
  <si>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</si>
  <si>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</si>
  <si>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</si>
  <si>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</si>
  <si>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</si>
  <si>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</si>
  <si>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</si>
  <si>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</si>
  <si>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</si>
  <si>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</si>
  <si>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</si>
  <si>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</si>
  <si>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</si>
  <si>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</si>
  <si>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</si>
  <si>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</si>
  <si>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</si>
  <si>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</si>
  <si>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</si>
  <si>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</si>
  <si>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</si>
  <si>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</si>
  <si>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</si>
  <si>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</si>
  <si>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</si>
  <si>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</si>
  <si>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</si>
  <si>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</si>
  <si>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</si>
  <si>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</si>
  <si>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</si>
  <si>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</si>
  <si>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</si>
  <si>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</si>
  <si>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</si>
  <si>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</si>
  <si>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</si>
  <si>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</si>
  <si>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</si>
  <si>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</si>
  <si>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</si>
  <si>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</si>
  <si>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</si>
  <si>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</si>
  <si>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</si>
  <si>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</si>
  <si>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</si>
  <si>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</si>
  <si>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</si>
  <si>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</si>
  <si>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</si>
  <si>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</si>
  <si>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</si>
  <si>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</si>
  <si>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</si>
  <si>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</si>
  <si>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</si>
  <si>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</si>
  <si>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</si>
  <si>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</si>
  <si>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</si>
  <si>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</si>
  <si>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</si>
  <si>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</si>
  <si>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</si>
  <si>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</si>
  <si>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</si>
  <si>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</si>
  <si>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</si>
  <si>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</si>
  <si>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</si>
  <si>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</si>
  <si>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</si>
  <si>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</si>
  <si>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</si>
  <si>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</si>
  <si>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</si>
  <si>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</si>
  <si>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</si>
  <si>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</si>
  <si>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</si>
  <si>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</si>
  <si>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</si>
  <si>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</si>
  <si>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</si>
  <si>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</si>
  <si>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</si>
  <si>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</si>
  <si>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</si>
  <si>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</si>
  <si>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</si>
  <si>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</si>
  <si>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</si>
  <si>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</si>
  <si>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</si>
  <si>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</si>
  <si>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</si>
  <si>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</si>
  <si>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</si>
  <si>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</si>
  <si>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</si>
  <si>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</si>
  <si>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</si>
  <si>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</si>
  <si>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</si>
  <si>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</si>
  <si>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</si>
  <si>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</si>
  <si>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</si>
  <si>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</si>
  <si>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</si>
  <si>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</si>
  <si>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</si>
  <si>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</si>
  <si>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</si>
  <si>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</si>
  <si>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</si>
  <si>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</si>
  <si>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</si>
  <si>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</si>
  <si>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</si>
  <si>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</si>
  <si>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</si>
  <si>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</si>
  <si>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</si>
  <si>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</si>
  <si>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</si>
  <si>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</si>
  <si>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</si>
  <si>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</si>
  <si>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</si>
  <si>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</si>
  <si>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</si>
  <si>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</si>
  <si>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</si>
  <si>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</si>
  <si>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</si>
  <si>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</si>
  <si>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</si>
  <si>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</si>
  <si>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</si>
  <si>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</si>
  <si>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</si>
  <si>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</si>
  <si>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</si>
  <si>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</si>
  <si>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</si>
  <si>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</si>
  <si>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</si>
  <si>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</si>
  <si>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</si>
  <si>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</si>
  <si>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</si>
  <si>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</si>
  <si>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</si>
  <si>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</si>
  <si>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</si>
  <si>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</si>
  <si>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</si>
  <si>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</si>
  <si>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</si>
  <si>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</si>
  <si>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</si>
  <si>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</si>
  <si>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</si>
  <si>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</si>
  <si>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</si>
  <si>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</si>
  <si>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</si>
  <si>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</si>
  <si>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</si>
  <si>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</si>
  <si>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</si>
  <si>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</si>
  <si>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</si>
  <si>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</si>
  <si>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</si>
  <si>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</si>
  <si>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</si>
  <si>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</si>
  <si>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</si>
  <si>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</si>
  <si>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</si>
  <si>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</si>
  <si>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</si>
  <si>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</si>
  <si>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</si>
  <si>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</si>
  <si>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</si>
  <si>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</si>
  <si>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</si>
  <si>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</si>
  <si>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</si>
  <si>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</si>
  <si>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</si>
  <si>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</si>
  <si>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</si>
  <si>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</si>
  <si>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</si>
  <si>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</si>
  <si>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</si>
  <si>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</si>
  <si>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</si>
  <si>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</si>
  <si>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</si>
  <si>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</si>
  <si>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</si>
  <si>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</si>
  <si>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</si>
  <si>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</si>
  <si>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</si>
  <si>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</si>
  <si>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</si>
  <si>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</si>
  <si>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</si>
  <si>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</si>
  <si>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</si>
  <si>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</si>
  <si>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</si>
  <si>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</si>
  <si>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</si>
  <si>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</si>
  <si>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</si>
  <si>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</si>
  <si>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</si>
  <si>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</si>
  <si>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</si>
  <si>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</si>
  <si>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</si>
  <si>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</si>
  <si>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</si>
  <si>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</si>
  <si>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</si>
  <si>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</si>
  <si>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</si>
  <si>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</si>
  <si>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</si>
  <si>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</si>
  <si>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</si>
  <si>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</si>
  <si>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</si>
  <si>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</si>
  <si>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</si>
  <si>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</si>
  <si>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</si>
  <si>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</si>
  <si>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</si>
  <si>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</si>
  <si>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</si>
  <si>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</si>
  <si>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</si>
  <si>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</si>
  <si>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</si>
  <si>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</si>
  <si>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</si>
  <si>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</si>
  <si>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</si>
  <si>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</si>
  <si>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</si>
  <si>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</si>
  <si>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</si>
  <si>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</si>
  <si>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</si>
  <si>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</si>
  <si>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</si>
  <si>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</si>
  <si>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</si>
  <si>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</si>
  <si>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</si>
  <si>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</si>
  <si>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</si>
  <si>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</si>
  <si>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</si>
  <si>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</si>
  <si>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</si>
  <si>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</si>
  <si>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</si>
  <si>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</si>
  <si>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</si>
  <si>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</si>
  <si>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</si>
  <si>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</si>
  <si>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</si>
  <si>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</si>
  <si>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</si>
  <si>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</si>
  <si>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</si>
  <si>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</si>
  <si>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</si>
  <si>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</si>
  <si>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</si>
  <si>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</si>
  <si>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</si>
  <si>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</si>
  <si>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</si>
  <si>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</si>
  <si>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</si>
  <si>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</si>
  <si>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</si>
  <si>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</si>
  <si>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</si>
  <si>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</si>
  <si>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</si>
  <si>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</si>
  <si>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</si>
  <si>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</si>
  <si>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</si>
  <si>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</si>
  <si>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</si>
  <si>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</si>
  <si>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</si>
  <si>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</si>
  <si>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</si>
  <si>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</si>
  <si>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</si>
  <si>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</si>
  <si>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</si>
  <si>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</si>
  <si>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</si>
  <si>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</si>
  <si>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</si>
  <si>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</si>
  <si>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</si>
  <si>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</si>
  <si>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</si>
  <si>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</si>
  <si>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</si>
  <si>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</si>
  <si>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</si>
  <si>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</si>
  <si>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</si>
  <si>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</si>
  <si>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</si>
  <si>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</si>
  <si>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</si>
  <si>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</si>
  <si>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</si>
  <si>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</si>
  <si>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</si>
  <si>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</si>
  <si>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</si>
  <si>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</si>
  <si>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</si>
  <si>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</si>
  <si>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</si>
  <si>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</si>
  <si>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</si>
  <si>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</si>
  <si>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</si>
  <si>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</si>
  <si>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</si>
  <si>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</si>
  <si>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</si>
  <si>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</si>
  <si>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</si>
  <si>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</si>
  <si>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</si>
  <si>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</si>
  <si>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</si>
  <si>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</si>
  <si>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</si>
  <si>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</si>
  <si>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</si>
  <si>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</si>
  <si>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</si>
  <si>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</si>
  <si>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</si>
  <si>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</si>
  <si>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</si>
  <si>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</si>
  <si>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</si>
  <si>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</si>
  <si>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</si>
  <si>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</si>
  <si>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</si>
  <si>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</si>
  <si>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</si>
  <si>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</si>
  <si>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</si>
  <si>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</si>
  <si>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</si>
  <si>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</si>
  <si>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</si>
  <si>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</si>
  <si>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</si>
  <si>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</si>
  <si>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</si>
  <si>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</si>
  <si>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</si>
  <si>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</si>
  <si>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</si>
  <si>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</si>
  <si>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</si>
  <si>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</si>
  <si>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</si>
  <si>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</si>
  <si>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</si>
  <si>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</si>
  <si>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</si>
  <si>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</si>
  <si>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</si>
  <si>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</si>
  <si>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</si>
  <si>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</si>
  <si>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</si>
  <si>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</si>
  <si>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</si>
  <si>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</si>
  <si>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</si>
  <si>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</si>
  <si>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</si>
  <si>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</si>
  <si>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</si>
  <si>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</si>
  <si>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</si>
  <si>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</si>
  <si>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</si>
  <si>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</si>
  <si>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</si>
  <si>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</si>
  <si>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</si>
  <si>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</si>
  <si>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</si>
  <si>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</si>
  <si>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</si>
  <si>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</si>
  <si>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</si>
  <si>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</si>
  <si>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</si>
  <si>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</si>
  <si>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</si>
  <si>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</si>
  <si>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</si>
  <si>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</si>
  <si>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</si>
  <si>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</si>
  <si>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</si>
  <si>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</si>
  <si>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</si>
  <si>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</si>
  <si>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</si>
  <si>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</si>
  <si>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</si>
  <si>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</si>
  <si>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</si>
  <si>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</si>
  <si>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</si>
  <si>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</si>
  <si>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</si>
  <si>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</si>
  <si>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</si>
  <si>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</si>
  <si>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</si>
  <si>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</si>
  <si>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</si>
  <si>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</si>
  <si>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</si>
  <si>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</si>
  <si>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</si>
  <si>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</si>
  <si>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</si>
  <si>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</si>
  <si>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</si>
  <si>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</si>
  <si>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</si>
  <si>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</si>
  <si>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</si>
  <si>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</si>
  <si>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</si>
  <si>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</si>
  <si>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</si>
  <si>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</si>
  <si>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</si>
  <si>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</si>
  <si>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</si>
  <si>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</si>
  <si>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</si>
  <si>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</si>
  <si>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</si>
  <si>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</si>
  <si>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</si>
  <si>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</si>
  <si>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</si>
  <si>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</si>
  <si>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</si>
  <si>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</si>
  <si>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</si>
  <si>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</si>
  <si>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</si>
  <si>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</si>
  <si>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</si>
  <si>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</si>
  <si>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</si>
  <si>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</si>
  <si>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</si>
  <si>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</si>
  <si>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</si>
  <si>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</si>
  <si>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</si>
  <si>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</si>
  <si>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</si>
  <si>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</si>
  <si>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</si>
  <si>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</si>
  <si>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</si>
  <si>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</si>
  <si>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</si>
  <si>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</si>
  <si>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</si>
  <si>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</si>
  <si>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</si>
  <si>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</si>
  <si>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</si>
  <si>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</si>
  <si>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</si>
  <si>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</si>
  <si>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</si>
  <si>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</si>
  <si>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</si>
  <si>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</si>
  <si>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</si>
  <si>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</si>
  <si>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</si>
  <si>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</si>
  <si>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</si>
  <si>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</si>
  <si>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</si>
  <si>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</si>
  <si>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</si>
  <si>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</si>
  <si>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</si>
  <si>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</si>
  <si>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</si>
  <si>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</si>
  <si>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</si>
  <si>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</si>
  <si>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</si>
  <si>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</si>
  <si>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</si>
  <si>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</si>
  <si>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</si>
  <si>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</si>
  <si>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</si>
  <si>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</si>
  <si>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</si>
  <si>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</si>
  <si>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</si>
  <si>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</si>
  <si>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</si>
  <si>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</si>
  <si>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</si>
  <si>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</si>
  <si>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</si>
  <si>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</si>
  <si>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</si>
  <si>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</si>
  <si>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</si>
  <si>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</si>
  <si>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</si>
  <si>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</si>
  <si>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</si>
  <si>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</si>
  <si>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</si>
  <si>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</si>
  <si>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</si>
  <si>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</si>
  <si>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</si>
  <si>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</si>
  <si>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</si>
  <si>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</si>
  <si>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</si>
  <si>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</si>
  <si>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</si>
  <si>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</si>
  <si>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</si>
  <si>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</si>
  <si>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</si>
  <si>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</si>
  <si>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</si>
  <si>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</si>
  <si>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</si>
  <si>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</si>
  <si>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</si>
  <si>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</si>
  <si>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</si>
  <si>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</si>
  <si>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</si>
  <si>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</si>
  <si>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</si>
  <si>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</si>
  <si>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</si>
  <si>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</si>
  <si>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</si>
  <si>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</si>
  <si>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</si>
  <si>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</si>
  <si>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</si>
  <si>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</si>
  <si>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</si>
  <si>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</si>
  <si>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</si>
  <si>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</si>
  <si>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</si>
  <si>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</si>
  <si>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</si>
  <si>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</si>
  <si>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</si>
  <si>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</si>
  <si>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</si>
  <si>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</si>
  <si>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</si>
  <si>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</si>
  <si>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</si>
  <si>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</si>
  <si>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</si>
  <si>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</si>
  <si>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</si>
  <si>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</si>
  <si>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</si>
  <si>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</si>
  <si>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</si>
  <si>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</si>
  <si>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</si>
  <si>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</si>
  <si>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</si>
  <si>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</si>
  <si>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</si>
  <si>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</si>
  <si>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</si>
  <si>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</si>
  <si>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</si>
  <si>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</si>
  <si>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</si>
  <si>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</si>
  <si>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</si>
  <si>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</si>
  <si>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</si>
  <si>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</si>
  <si>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</si>
  <si>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</si>
  <si>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</si>
  <si>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</si>
  <si>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</si>
  <si>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</si>
  <si>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</si>
  <si>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</si>
  <si>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</si>
  <si>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</si>
  <si>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</si>
  <si>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</si>
  <si>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</si>
  <si>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</si>
  <si>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</si>
  <si>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</si>
  <si>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</si>
  <si>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</si>
  <si>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</si>
  <si>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</si>
  <si>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</si>
  <si>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</si>
  <si>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</si>
  <si>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</si>
  <si>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</si>
  <si>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</si>
  <si>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</si>
  <si>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</si>
  <si>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</si>
  <si>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</si>
  <si>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</si>
  <si>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</si>
  <si>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</si>
  <si>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</si>
  <si>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</si>
  <si>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</si>
  <si>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</si>
  <si>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</si>
  <si>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</si>
  <si>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</si>
  <si>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</si>
  <si>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</si>
  <si>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</si>
  <si>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</si>
  <si>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</si>
  <si>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</si>
  <si>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</si>
  <si>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</si>
  <si>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</si>
  <si>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</si>
  <si>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</si>
  <si>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</si>
  <si>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</si>
  <si>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</si>
  <si>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</si>
  <si>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</si>
  <si>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</si>
  <si>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</si>
  <si>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</si>
  <si>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</si>
  <si>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</si>
  <si>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</si>
  <si>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</si>
  <si>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</si>
  <si>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</si>
  <si>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</si>
  <si>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</si>
  <si>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</si>
  <si>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</si>
  <si>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</si>
  <si>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</si>
  <si>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</si>
  <si>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</si>
  <si>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</si>
  <si>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</si>
  <si>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</si>
  <si>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</si>
  <si>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</si>
  <si>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</si>
  <si>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</si>
  <si>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</si>
  <si>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</si>
  <si>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</si>
  <si>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</si>
  <si>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</si>
  <si>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</si>
  <si>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</si>
  <si>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</si>
  <si>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</si>
  <si>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</si>
  <si>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</si>
  <si>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</si>
  <si>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</si>
  <si>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</si>
  <si>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</si>
  <si>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</si>
  <si>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</si>
  <si>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</si>
  <si>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</si>
  <si>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</si>
  <si>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</si>
  <si>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</si>
  <si>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</si>
  <si>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</si>
  <si>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</si>
  <si>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</si>
  <si>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</si>
  <si>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</si>
  <si>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</si>
  <si>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</si>
  <si>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</si>
  <si>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</si>
  <si>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</si>
  <si>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</si>
  <si>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</si>
  <si>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</si>
  <si>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</si>
  <si>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</si>
  <si>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</si>
  <si>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</si>
  <si>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</si>
  <si>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</si>
  <si>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</si>
  <si>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</si>
  <si>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</si>
  <si>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</si>
  <si>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</si>
  <si>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</si>
  <si>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</si>
  <si>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</si>
  <si>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</si>
  <si>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</si>
  <si>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</si>
  <si>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</si>
  <si>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</si>
  <si>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</si>
  <si>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</si>
  <si>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</si>
  <si>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</si>
  <si>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</si>
  <si>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</si>
  <si>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</si>
  <si>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</si>
  <si>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</si>
  <si>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</si>
  <si>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</si>
  <si>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</si>
  <si>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</si>
  <si>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</si>
  <si>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</si>
  <si>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</si>
  <si>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</si>
  <si>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</si>
  <si>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</si>
  <si>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</si>
  <si>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</si>
  <si>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</si>
  <si>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</si>
  <si>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</si>
  <si>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</si>
  <si>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</si>
  <si>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</si>
  <si>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</si>
  <si>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</si>
  <si>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</si>
  <si>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</si>
  <si>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</si>
  <si>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</si>
  <si>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</si>
  <si>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</si>
  <si>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</si>
  <si>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</si>
  <si>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</si>
  <si>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</si>
  <si>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</si>
  <si>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</si>
  <si>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</si>
  <si>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</si>
  <si>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</si>
  <si>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</si>
  <si>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</si>
  <si>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</si>
  <si>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</si>
  <si>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</si>
  <si>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</si>
  <si>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</si>
  <si>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</si>
  <si>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</si>
  <si>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</si>
  <si>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</si>
  <si>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</si>
  <si>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</si>
  <si>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</si>
  <si>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</si>
  <si>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</si>
  <si>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</si>
  <si>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</si>
  <si>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</si>
  <si>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</si>
  <si>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</si>
  <si>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</si>
  <si>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</si>
  <si>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</si>
  <si>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</si>
  <si>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</si>
  <si>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</si>
  <si>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</si>
  <si>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</si>
  <si>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</si>
  <si>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</si>
  <si>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</si>
  <si>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</si>
  <si>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</si>
  <si>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</si>
  <si>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</si>
  <si>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</si>
  <si>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</si>
  <si>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</si>
  <si>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</si>
  <si>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</si>
  <si>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</si>
  <si>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</si>
  <si>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</si>
  <si>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</si>
  <si>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</si>
  <si>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</si>
  <si>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</si>
  <si>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</si>
  <si>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</si>
  <si>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</si>
  <si>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</si>
  <si>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</si>
  <si>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</si>
  <si>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</si>
  <si>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</si>
  <si>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</si>
  <si>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</si>
  <si>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</si>
  <si>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</si>
  <si>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</si>
  <si>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</si>
  <si>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</si>
  <si>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</si>
  <si>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</si>
  <si>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</si>
  <si>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</si>
  <si>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</si>
  <si>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</si>
  <si>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</si>
  <si>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</si>
  <si>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</si>
  <si>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</si>
  <si>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</si>
  <si>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</si>
  <si>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</si>
  <si>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</si>
  <si>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</si>
  <si>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</si>
  <si>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</si>
  <si>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</si>
  <si>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</si>
  <si>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</si>
  <si>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</si>
  <si>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</si>
  <si>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</si>
  <si>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</si>
  <si>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</si>
  <si>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</si>
  <si>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</si>
  <si>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</si>
  <si>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</si>
  <si>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</si>
  <si>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</si>
  <si>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</si>
  <si>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</si>
  <si>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</si>
  <si>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</si>
  <si>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</si>
  <si>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</si>
  <si>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</si>
  <si>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</si>
  <si>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</si>
  <si>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</si>
  <si>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</si>
  <si>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</si>
  <si>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</si>
  <si>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</si>
  <si>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</si>
  <si>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</si>
  <si>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</si>
  <si>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</si>
  <si>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</si>
  <si>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</si>
  <si>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</si>
  <si>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</si>
  <si>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</si>
  <si>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</si>
  <si>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</si>
  <si>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</si>
  <si>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</si>
  <si>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</si>
  <si>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</si>
  <si>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</si>
  <si>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</si>
  <si>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</si>
  <si>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</si>
  <si>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</si>
  <si>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</si>
  <si>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</si>
  <si>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</si>
  <si>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</si>
  <si>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</si>
  <si>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</si>
  <si>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</si>
  <si>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</si>
  <si>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</si>
  <si>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</si>
  <si>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</si>
  <si>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</si>
  <si>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</si>
  <si>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</si>
  <si>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</si>
  <si>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</si>
  <si>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</si>
  <si>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</si>
  <si>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</si>
  <si>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</si>
  <si>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</si>
  <si>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</si>
  <si>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</si>
  <si>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</si>
  <si>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</si>
  <si>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</si>
  <si>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</si>
  <si>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</si>
  <si>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</si>
  <si>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</si>
  <si>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</si>
  <si>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</si>
  <si>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</si>
  <si>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</si>
  <si>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</si>
  <si>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</si>
  <si>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</si>
  <si>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</si>
  <si>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</si>
  <si>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</si>
  <si>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</si>
  <si>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</si>
  <si>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</si>
  <si>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</si>
  <si>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</si>
  <si>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</si>
  <si>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</si>
  <si>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</si>
  <si>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</si>
  <si>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</si>
  <si>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</si>
  <si>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</si>
  <si>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</si>
  <si>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</si>
  <si>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</si>
  <si>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</si>
  <si>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</si>
  <si>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</si>
  <si>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</si>
  <si>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</si>
  <si>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</si>
  <si>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</si>
  <si>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</si>
  <si>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</si>
  <si>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</si>
  <si>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</si>
  <si>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</si>
  <si>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</si>
  <si>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</si>
  <si>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</si>
  <si>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</si>
  <si>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</si>
  <si>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</si>
  <si>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</si>
  <si>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</si>
  <si>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</si>
  <si>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</si>
  <si>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</si>
  <si>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</si>
  <si>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</si>
  <si>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</si>
  <si>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</si>
  <si>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</si>
  <si>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</si>
  <si>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</si>
  <si>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</si>
  <si>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</si>
  <si>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</si>
  <si>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</si>
  <si>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</si>
  <si>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</si>
  <si>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</si>
  <si>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</si>
  <si>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</si>
  <si>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</si>
  <si>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</si>
  <si>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</si>
  <si>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</si>
  <si>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</si>
  <si>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</si>
  <si>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</si>
  <si>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</si>
  <si>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</si>
  <si>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</si>
  <si>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</si>
  <si>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</si>
  <si>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</si>
  <si>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</si>
  <si>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</si>
  <si>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</si>
  <si>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</si>
  <si>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</si>
  <si>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</si>
  <si>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</si>
  <si>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</si>
  <si>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</si>
  <si>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</si>
  <si>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</si>
  <si>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</si>
  <si>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</si>
  <si>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</si>
  <si>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</si>
  <si>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</si>
  <si>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</si>
  <si>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</si>
  <si>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</si>
  <si>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</si>
  <si>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</si>
  <si>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</si>
  <si>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</si>
  <si>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</si>
  <si>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</si>
  <si>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</si>
  <si>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</si>
  <si>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</si>
  <si>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</si>
  <si>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</si>
  <si>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</si>
  <si>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</si>
  <si>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</si>
  <si>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</si>
  <si>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</si>
  <si>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</si>
  <si>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</si>
  <si>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</si>
  <si>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</si>
  <si>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</si>
  <si>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</si>
  <si>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</si>
  <si>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</si>
  <si>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</si>
  <si>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</si>
  <si>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</si>
  <si>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</si>
  <si>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</si>
  <si>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</si>
  <si>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</si>
  <si>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</si>
  <si>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</si>
  <si>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</si>
  <si>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</si>
  <si>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</si>
  <si>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</si>
  <si>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</si>
  <si>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</si>
  <si>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</si>
  <si>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</si>
  <si>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</si>
  <si>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</si>
  <si>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</si>
  <si>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</si>
  <si>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</si>
  <si>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</si>
  <si>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</si>
  <si>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</si>
  <si>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</si>
  <si>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</si>
  <si>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</si>
  <si>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</si>
  <si>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</si>
  <si>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</si>
  <si>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</si>
  <si>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</si>
  <si>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</si>
  <si>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</si>
  <si>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</si>
  <si>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</si>
  <si>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</si>
  <si>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</si>
  <si>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</si>
  <si>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</si>
  <si>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</si>
  <si>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</si>
  <si>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</si>
  <si>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</si>
  <si>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</si>
  <si>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</si>
  <si>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</si>
  <si>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</si>
  <si>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</si>
  <si>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</si>
  <si>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</si>
  <si>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</si>
  <si>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</si>
  <si>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</si>
  <si>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</si>
  <si>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</si>
  <si>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</si>
  <si>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</si>
  <si>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</si>
  <si>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</si>
  <si>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</si>
  <si>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</si>
  <si>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</si>
  <si>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</si>
  <si>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</si>
  <si>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</si>
  <si>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</si>
  <si>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</si>
  <si>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</si>
  <si>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</si>
  <si>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</si>
  <si>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</si>
  <si>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</si>
  <si>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</si>
  <si>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</si>
  <si>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</si>
  <si>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</si>
  <si>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</si>
  <si>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</si>
  <si>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</si>
  <si>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</si>
  <si>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</si>
  <si>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</si>
  <si>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</si>
  <si>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</si>
  <si>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</si>
  <si>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</si>
  <si>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</si>
  <si>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</si>
  <si>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</si>
  <si>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</si>
  <si>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</si>
  <si>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</si>
  <si>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</si>
  <si>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</si>
  <si>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</si>
  <si>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</si>
  <si>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</si>
  <si>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</si>
  <si>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</si>
  <si>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</si>
  <si>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</si>
  <si>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</si>
  <si>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</si>
  <si>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</si>
  <si>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</si>
  <si>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</si>
  <si>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</si>
  <si>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</si>
  <si>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</si>
  <si>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</si>
  <si>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</si>
  <si>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</si>
  <si>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</si>
  <si>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</si>
  <si>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</si>
  <si>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</si>
  <si>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</si>
  <si>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</si>
  <si>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</si>
  <si>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</si>
  <si>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</si>
  <si>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</si>
  <si>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</si>
  <si>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</si>
  <si>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</si>
  <si>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</si>
  <si>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</si>
  <si>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</si>
  <si>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</si>
  <si>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</si>
  <si>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</si>
  <si>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</si>
  <si>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</si>
  <si>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</si>
  <si>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</si>
  <si>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</si>
  <si>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</si>
  <si>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</si>
  <si>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</si>
  <si>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</si>
  <si>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</si>
  <si>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</si>
  <si>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</si>
  <si>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</si>
  <si>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</si>
  <si>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</si>
  <si>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</si>
  <si>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</si>
  <si>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</si>
  <si>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</si>
  <si>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</si>
  <si>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</si>
  <si>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</si>
  <si>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</si>
  <si>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</si>
  <si>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</si>
  <si>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</si>
  <si>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</si>
  <si>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</si>
  <si>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</si>
  <si>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</si>
  <si>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</si>
  <si>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</si>
  <si>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</si>
  <si>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</si>
  <si>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</si>
  <si>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</si>
  <si>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</si>
  <si>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</si>
  <si>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</si>
  <si>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</si>
  <si>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</si>
  <si>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</si>
  <si>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</si>
  <si>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</si>
  <si>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</si>
  <si>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</si>
  <si>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</si>
  <si>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</si>
  <si>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</si>
  <si>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</si>
  <si>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</si>
  <si>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</si>
  <si>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</si>
  <si>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</si>
  <si>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</si>
  <si>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</si>
  <si>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</si>
  <si>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</si>
  <si>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</si>
  <si>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</si>
  <si>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</si>
  <si>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</si>
  <si>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</si>
  <si>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</si>
  <si>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</si>
  <si>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</si>
  <si>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</si>
  <si>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</si>
  <si>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</si>
  <si>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</si>
  <si>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</si>
  <si>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</si>
  <si>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</si>
  <si>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</si>
  <si>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</si>
  <si>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</si>
  <si>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</si>
  <si>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</si>
  <si>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</si>
  <si>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</si>
  <si>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</si>
  <si>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</si>
  <si>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</si>
  <si>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</si>
  <si>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</si>
  <si>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</si>
  <si>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</si>
  <si>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</si>
  <si>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</si>
  <si>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</si>
  <si>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</si>
  <si>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</si>
  <si>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</si>
  <si>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</si>
  <si>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</si>
  <si>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</si>
  <si>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</si>
  <si>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</si>
  <si>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</si>
  <si>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</si>
  <si>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</si>
  <si>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</si>
  <si>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</si>
  <si>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</si>
  <si>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</si>
  <si>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</si>
  <si>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</si>
  <si>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</si>
  <si>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</si>
  <si>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</si>
  <si>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</si>
  <si>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</si>
  <si>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</si>
  <si>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</si>
  <si>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</si>
  <si>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</si>
  <si>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</si>
  <si>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</si>
  <si>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</si>
  <si>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</si>
  <si>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</si>
  <si>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</si>
  <si>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</si>
  <si>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</si>
  <si>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</si>
  <si>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</si>
  <si>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</si>
  <si>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</si>
  <si>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</si>
  <si>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</si>
  <si>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</si>
  <si>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</si>
  <si>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</si>
  <si>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</si>
  <si>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</si>
  <si>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</si>
  <si>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</si>
  <si>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</si>
  <si>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</si>
  <si>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</si>
  <si>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</si>
  <si>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</si>
  <si>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</si>
  <si>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</si>
  <si>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</si>
  <si>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</si>
  <si>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</si>
  <si>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</si>
  <si>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</si>
  <si>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</si>
  <si>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</si>
  <si>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</si>
  <si>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</si>
  <si>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</si>
  <si>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</si>
  <si>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</si>
  <si>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</si>
  <si>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</si>
  <si>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</si>
  <si>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</si>
  <si>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</si>
  <si>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</si>
  <si>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</si>
  <si>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</si>
  <si>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</si>
  <si>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</si>
  <si>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</si>
  <si>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</si>
  <si>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</si>
  <si>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</si>
  <si>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</si>
  <si>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</si>
  <si>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</si>
  <si>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</si>
  <si>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</si>
  <si>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</si>
  <si>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</si>
  <si>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</si>
  <si>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</si>
  <si>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</si>
  <si>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</si>
  <si>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</si>
  <si>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</si>
  <si>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</si>
  <si>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</si>
  <si>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</si>
  <si>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</si>
  <si>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</si>
  <si>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</si>
  <si>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</si>
  <si>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</si>
  <si>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</si>
  <si>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</si>
  <si>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</si>
  <si>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</si>
  <si>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</si>
  <si>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</si>
  <si>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</si>
  <si>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</si>
  <si>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</si>
  <si>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</si>
  <si>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</si>
  <si>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</si>
  <si>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</si>
  <si>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</si>
  <si>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</si>
  <si>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</si>
  <si>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</si>
  <si>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</si>
  <si>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</si>
  <si>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</si>
  <si>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</si>
  <si>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</si>
  <si>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</si>
  <si>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</si>
  <si>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</si>
  <si>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</si>
  <si>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</si>
  <si>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</si>
  <si>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</si>
  <si>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</si>
  <si>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</si>
  <si>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</si>
  <si>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</si>
  <si>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</si>
  <si>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</si>
  <si>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</si>
  <si>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</si>
  <si>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</si>
  <si>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</si>
  <si>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</si>
  <si>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</si>
  <si>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</si>
  <si>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</si>
  <si>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</si>
  <si>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</si>
  <si>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</si>
  <si>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</si>
  <si>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</si>
  <si>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</si>
  <si>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</si>
  <si>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</si>
  <si>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</si>
  <si>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</si>
  <si>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</si>
  <si>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</si>
  <si>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</si>
  <si>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</si>
  <si>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</si>
  <si>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</si>
  <si>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</si>
  <si>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</si>
  <si>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</si>
  <si>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</si>
  <si>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</si>
  <si>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</si>
  <si>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</si>
  <si>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</si>
  <si>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</si>
  <si>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</si>
  <si>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</si>
  <si>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</si>
  <si>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</si>
  <si>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</si>
  <si>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</si>
  <si>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</si>
  <si>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</si>
  <si>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</si>
  <si>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</si>
  <si>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</si>
  <si>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</si>
  <si>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</si>
  <si>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</si>
  <si>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</si>
  <si>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</si>
  <si>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</si>
  <si>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</si>
  <si>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</si>
  <si>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</si>
  <si>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</si>
  <si>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</si>
  <si>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</si>
  <si>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</si>
  <si>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</si>
  <si>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</si>
  <si>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</si>
  <si>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</si>
  <si>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</si>
  <si>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</si>
  <si>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</si>
  <si>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</si>
  <si>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</si>
  <si>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</si>
  <si>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</si>
  <si>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</si>
  <si>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</si>
  <si>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</si>
  <si>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</si>
  <si>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</si>
  <si>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</si>
  <si>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</si>
  <si>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</si>
  <si>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</si>
  <si>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</si>
  <si>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</si>
  <si>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</si>
  <si>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</si>
  <si>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</si>
  <si>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</si>
  <si>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</si>
  <si>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</si>
  <si>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</si>
  <si>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</si>
  <si>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</si>
  <si>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</si>
  <si>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</si>
  <si>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</si>
  <si>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</si>
  <si>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</si>
  <si>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</si>
  <si>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</si>
  <si>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</si>
  <si>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</si>
  <si>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</si>
  <si>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</si>
  <si>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</si>
  <si>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</si>
  <si>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</si>
  <si>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</si>
  <si>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</si>
  <si>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</si>
  <si>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</si>
  <si>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</si>
  <si>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</si>
  <si>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</si>
  <si>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</si>
  <si>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</si>
  <si>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</si>
  <si>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</si>
  <si>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</si>
  <si>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</si>
  <si>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</si>
  <si>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</si>
  <si>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</si>
  <si>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</si>
  <si>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</si>
  <si>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</si>
  <si>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</si>
  <si>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</si>
  <si>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</si>
  <si>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</si>
  <si>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</si>
  <si>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</si>
  <si>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</si>
  <si>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</si>
  <si>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</si>
  <si>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</si>
  <si>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</si>
  <si>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</si>
  <si>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</si>
  <si>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</si>
  <si>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</si>
  <si>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</si>
  <si>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</si>
  <si>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</si>
  <si>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</si>
  <si>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</si>
  <si>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</si>
  <si>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</si>
  <si>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</si>
  <si>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</si>
  <si>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</si>
  <si>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</si>
  <si>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</si>
  <si>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</si>
  <si>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</si>
  <si>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</si>
  <si>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</si>
  <si>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</si>
  <si>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</si>
  <si>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</si>
  <si>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</si>
  <si>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</si>
  <si>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</si>
  <si>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</si>
  <si>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</si>
  <si>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</si>
  <si>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</si>
  <si>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</si>
  <si>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</si>
  <si>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</si>
  <si>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</si>
  <si>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</si>
  <si>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</si>
  <si>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</si>
  <si>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</si>
  <si>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</si>
  <si>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</si>
  <si>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</si>
  <si>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</si>
  <si>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</si>
  <si>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</si>
  <si>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</si>
  <si>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</si>
  <si>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</si>
  <si>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</si>
  <si>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</si>
  <si>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</si>
  <si>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</si>
  <si>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</si>
  <si>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</si>
  <si>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</si>
  <si>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</si>
  <si>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</si>
  <si>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</si>
  <si>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</si>
  <si>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</si>
  <si>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</si>
  <si>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</si>
  <si>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</si>
  <si>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</si>
  <si>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</si>
  <si>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</si>
  <si>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</si>
  <si>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</si>
  <si>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</si>
  <si>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</si>
  <si>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</si>
  <si>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</si>
  <si>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</si>
  <si>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</si>
  <si>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</si>
  <si>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</si>
  <si>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</si>
  <si>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</si>
  <si>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</si>
  <si>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</si>
  <si>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</si>
  <si>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</si>
  <si>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</si>
  <si>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</si>
  <si>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</si>
  <si>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</si>
  <si>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</si>
  <si>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</si>
  <si>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</si>
  <si>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</si>
  <si>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</si>
  <si>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</si>
  <si>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</si>
  <si>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</si>
  <si>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</si>
  <si>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</si>
  <si>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</si>
  <si>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</si>
  <si>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</si>
  <si>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</si>
  <si>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</si>
  <si>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</si>
  <si>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</si>
  <si>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</si>
  <si>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</si>
  <si>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</si>
  <si>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</si>
  <si>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</si>
  <si>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</si>
  <si>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</si>
  <si>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</si>
  <si>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</si>
  <si>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</si>
  <si>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</si>
  <si>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</si>
  <si>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</si>
  <si>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</si>
  <si>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</si>
  <si>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</si>
  <si>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</si>
  <si>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</si>
  <si>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</si>
  <si>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</si>
  <si>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</si>
  <si>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</si>
  <si>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</si>
  <si>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</si>
  <si>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</si>
  <si>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</si>
  <si>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</si>
  <si>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</si>
  <si>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</si>
  <si>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</si>
  <si>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</si>
  <si>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</si>
  <si>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</si>
  <si>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</si>
  <si>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</si>
  <si>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</si>
  <si>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</si>
  <si>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</si>
  <si>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</si>
  <si>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</si>
  <si>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</si>
  <si>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</si>
  <si>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</si>
  <si>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</si>
  <si>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</si>
  <si>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</si>
  <si>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</si>
  <si>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</si>
  <si>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</si>
  <si>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</si>
  <si>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</si>
  <si>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</si>
  <si>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</si>
  <si>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</si>
  <si>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</si>
  <si>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</si>
  <si>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</si>
  <si>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</si>
  <si>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</si>
  <si>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</si>
  <si>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</si>
  <si>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</si>
  <si>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</si>
  <si>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</si>
  <si>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</si>
  <si>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</si>
  <si>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</si>
  <si>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</si>
  <si>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</si>
  <si>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</si>
  <si>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</si>
  <si>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</si>
  <si>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</si>
  <si>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</si>
  <si>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</si>
  <si>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</si>
  <si>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</si>
  <si>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</si>
  <si>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</si>
  <si>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</si>
  <si>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</si>
  <si>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</si>
  <si>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</si>
  <si>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</si>
  <si>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</si>
  <si>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</si>
  <si>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</si>
  <si>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</si>
  <si>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</si>
  <si>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</si>
  <si>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</si>
  <si>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</si>
  <si>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</si>
  <si>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</si>
  <si>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</si>
  <si>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</si>
  <si>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</si>
  <si>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</si>
  <si>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</si>
  <si>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</si>
  <si>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</si>
  <si>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</si>
  <si>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</si>
  <si>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</si>
  <si>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</si>
  <si>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</si>
  <si>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</si>
  <si>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</si>
  <si>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</si>
  <si>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</si>
  <si>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</si>
  <si>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</si>
  <si>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</si>
  <si>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</si>
  <si>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</si>
  <si>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</si>
  <si>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</si>
  <si>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</si>
  <si>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</si>
  <si>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</si>
  <si>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</si>
  <si>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</si>
  <si>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</si>
  <si>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</si>
  <si>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</si>
  <si>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</si>
  <si>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</si>
  <si>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</si>
  <si>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</si>
  <si>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</si>
  <si>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</si>
  <si>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</si>
  <si>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</si>
  <si>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</si>
  <si>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</si>
  <si>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</si>
  <si>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</si>
  <si>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</si>
  <si>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</si>
  <si>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</si>
  <si>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</si>
  <si>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</si>
  <si>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</si>
  <si>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</si>
  <si>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</si>
  <si>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</si>
  <si>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</si>
  <si>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</si>
  <si>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</si>
  <si>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</si>
  <si>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</si>
  <si>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</si>
  <si>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</si>
  <si>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</si>
  <si>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</si>
  <si>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</si>
  <si>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</si>
  <si>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</si>
  <si>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</si>
  <si>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</si>
  <si>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</si>
  <si>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</si>
  <si>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</si>
  <si>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</si>
  <si>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</si>
  <si>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</si>
  <si>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</si>
  <si>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</si>
  <si>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</si>
  <si>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</si>
  <si>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</si>
  <si>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</si>
  <si>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</si>
  <si>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</si>
  <si>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</si>
  <si>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</si>
  <si>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</si>
  <si>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</si>
  <si>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</si>
  <si>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</si>
  <si>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</si>
  <si>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</si>
  <si>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</si>
  <si>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</si>
  <si>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</si>
  <si>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</si>
  <si>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</si>
  <si>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</si>
  <si>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</si>
  <si>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</si>
  <si>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</si>
  <si>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</si>
  <si>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</si>
  <si>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</si>
  <si>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</si>
  <si>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</si>
  <si>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</si>
  <si>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</si>
  <si>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</si>
  <si>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</si>
  <si>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</si>
  <si>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</si>
  <si>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</si>
  <si>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</si>
  <si>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</si>
  <si>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</si>
  <si>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</si>
  <si>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</si>
  <si>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</si>
  <si>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</si>
  <si>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</si>
  <si>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</si>
  <si>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</si>
  <si>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</si>
  <si>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</si>
  <si>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</si>
  <si>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</si>
  <si>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</si>
  <si>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</si>
  <si>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</si>
  <si>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</si>
  <si>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</si>
  <si>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</si>
  <si>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</si>
  <si>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</si>
  <si>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</si>
  <si>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</si>
  <si>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</si>
  <si>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</si>
  <si>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</si>
  <si>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</si>
  <si>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</si>
  <si>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</si>
  <si>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</si>
  <si>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</si>
  <si>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</si>
  <si>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</si>
  <si>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</si>
  <si>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</si>
  <si>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</si>
  <si>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</si>
  <si>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</si>
  <si>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</si>
  <si>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</si>
  <si>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</si>
  <si>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</si>
  <si>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</si>
  <si>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</si>
  <si>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</si>
  <si>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</si>
  <si>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</si>
  <si>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</si>
  <si>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</si>
  <si>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</si>
  <si>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</si>
  <si>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</si>
  <si>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</si>
  <si>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</si>
  <si>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</si>
  <si>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</si>
  <si>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</si>
  <si>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</si>
  <si>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</si>
  <si>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</si>
  <si>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</si>
  <si>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</si>
  <si>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</si>
  <si>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</si>
  <si>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</si>
  <si>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</si>
  <si>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</si>
  <si>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</si>
  <si>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</si>
  <si>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</si>
  <si>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</si>
  <si>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</si>
  <si>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</si>
  <si>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</si>
  <si>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</si>
  <si>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</si>
  <si>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</si>
  <si>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</si>
  <si>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</si>
  <si>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</si>
  <si>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</si>
  <si>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</si>
  <si>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</si>
  <si>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</si>
  <si>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</si>
  <si>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</si>
  <si>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</si>
  <si>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</si>
  <si>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</si>
  <si>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</si>
  <si>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</si>
  <si>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</si>
  <si>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</si>
  <si>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</si>
  <si>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</si>
  <si>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</si>
  <si>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</si>
  <si>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</si>
  <si>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</si>
  <si>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</si>
  <si>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</si>
  <si>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</si>
  <si>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</si>
  <si>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</si>
  <si>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</si>
  <si>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</si>
  <si>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</si>
  <si>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</si>
  <si>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</si>
  <si>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</si>
  <si>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</si>
  <si>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</si>
  <si>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</si>
  <si>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</si>
  <si>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</si>
  <si>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</si>
  <si>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</si>
  <si>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</si>
  <si>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</si>
  <si>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</si>
  <si>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</si>
  <si>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</si>
  <si>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</si>
  <si>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</si>
  <si>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</si>
  <si>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</si>
  <si>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</si>
  <si>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</si>
  <si>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</si>
  <si>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</si>
  <si>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</si>
  <si>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</si>
  <si>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</si>
  <si>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</si>
  <si>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</si>
  <si>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</si>
  <si>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</si>
  <si>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</si>
  <si>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</si>
  <si>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</si>
  <si>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</si>
  <si>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</si>
  <si>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</si>
  <si>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</si>
  <si>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</si>
  <si>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</si>
  <si>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</si>
  <si>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</si>
  <si>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</si>
  <si>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</si>
  <si>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</si>
  <si>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</si>
  <si>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</si>
  <si>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</si>
  <si>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</si>
  <si>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</si>
  <si>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</si>
  <si>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</si>
  <si>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</si>
  <si>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</si>
  <si>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</si>
  <si>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</si>
  <si>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</si>
  <si>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</si>
  <si>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</si>
  <si>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</si>
  <si>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</si>
  <si>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</si>
  <si>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</si>
  <si>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</si>
  <si>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</si>
  <si>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</si>
  <si>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</si>
  <si>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</si>
  <si>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</si>
  <si>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</si>
  <si>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</si>
  <si>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</si>
  <si>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</si>
  <si>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</si>
  <si>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</si>
  <si>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</si>
  <si>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</si>
  <si>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</si>
  <si>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</si>
  <si>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</si>
  <si>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</si>
  <si>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</si>
  <si>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</si>
  <si>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</si>
  <si>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</si>
  <si>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</si>
  <si>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</si>
  <si>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</si>
  <si>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</si>
  <si>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</si>
  <si>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</si>
  <si>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</si>
  <si>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</si>
  <si>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</si>
  <si>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</si>
  <si>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</si>
  <si>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</si>
  <si>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</si>
  <si>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</si>
  <si>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</si>
  <si>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</si>
  <si>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</si>
  <si>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</si>
  <si>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</si>
  <si>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</si>
  <si>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</si>
  <si>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</si>
  <si>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</si>
  <si>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</si>
  <si>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</si>
  <si>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</si>
  <si>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</si>
  <si>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</si>
  <si>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</si>
  <si>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</si>
  <si>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</si>
  <si>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</si>
  <si>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</si>
  <si>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</si>
  <si>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</si>
  <si>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</si>
  <si>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</si>
  <si>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</si>
  <si>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</si>
  <si>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</si>
  <si>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</si>
  <si>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</si>
  <si>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</si>
  <si>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</si>
  <si>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</si>
  <si>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</si>
  <si>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</si>
  <si>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</si>
  <si>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</si>
  <si>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</si>
  <si>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</si>
  <si>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</si>
  <si>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</si>
  <si>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</si>
  <si>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</si>
  <si>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</si>
  <si>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</si>
  <si>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</si>
  <si>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</si>
  <si>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</si>
  <si>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</si>
  <si>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</si>
  <si>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</si>
  <si>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</si>
  <si>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</si>
  <si>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</si>
  <si>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</si>
  <si>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</si>
  <si>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</si>
  <si>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</si>
  <si>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</si>
  <si>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</si>
  <si>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</si>
  <si>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</si>
  <si>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</si>
  <si>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</si>
  <si>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</si>
  <si>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</si>
  <si>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</si>
  <si>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</si>
  <si>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</si>
  <si>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</si>
  <si>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</si>
  <si>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</si>
  <si>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</si>
  <si>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</si>
  <si>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</si>
  <si>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</si>
  <si>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</si>
  <si>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</si>
  <si>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</si>
  <si>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</si>
  <si>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</si>
  <si>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</si>
  <si>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</si>
  <si>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</si>
  <si>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</si>
  <si>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</si>
  <si>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</si>
  <si>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</si>
  <si>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</si>
  <si>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</si>
  <si>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</si>
  <si>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</si>
  <si>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</si>
  <si>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</si>
  <si>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</si>
  <si>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</si>
  <si>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</si>
  <si>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</si>
  <si>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</si>
  <si>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</si>
  <si>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</si>
  <si>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</si>
  <si>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</si>
  <si>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</si>
  <si>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</si>
  <si>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</si>
  <si>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</si>
  <si>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</si>
  <si>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</si>
  <si>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</si>
  <si>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</si>
  <si>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</si>
  <si>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</si>
  <si>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</si>
  <si>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</si>
  <si>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</si>
  <si>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</si>
  <si>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</si>
  <si>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</si>
  <si>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</si>
  <si>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</si>
  <si>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</si>
  <si>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</si>
  <si>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</si>
  <si>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</si>
  <si>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</si>
  <si>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</si>
  <si>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</si>
  <si>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</si>
  <si>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</si>
  <si>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</si>
  <si>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</si>
  <si>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</si>
  <si>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</si>
  <si>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</si>
  <si>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</si>
  <si>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</si>
  <si>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</si>
  <si>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</si>
  <si>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</si>
  <si>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</si>
  <si>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</si>
  <si>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</si>
  <si>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</si>
  <si>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</si>
  <si>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</si>
  <si>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</si>
  <si>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</si>
  <si>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</si>
  <si>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</si>
  <si>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</si>
  <si>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</si>
  <si>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</si>
  <si>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</si>
  <si>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</si>
  <si>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</si>
  <si>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</si>
  <si>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</si>
  <si>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</si>
  <si>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</si>
  <si>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</si>
  <si>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</si>
  <si>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</si>
  <si>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</si>
  <si>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</si>
  <si>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</si>
  <si>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</si>
  <si>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</si>
  <si>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</si>
  <si>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</si>
  <si>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</si>
  <si>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</si>
  <si>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</si>
  <si>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</si>
  <si>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</si>
  <si>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</si>
  <si>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</si>
  <si>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</si>
  <si>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</si>
  <si>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</si>
  <si>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</si>
  <si>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</si>
  <si>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</si>
  <si>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</si>
  <si>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</si>
  <si>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</si>
  <si>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</si>
  <si>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</si>
  <si>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</si>
  <si>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</si>
  <si>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</si>
  <si>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</si>
  <si>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</si>
  <si>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</si>
  <si>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</si>
  <si>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</si>
  <si>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</si>
  <si>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</si>
  <si>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</si>
  <si>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</si>
  <si>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</si>
  <si>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</si>
  <si>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</si>
  <si>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</si>
  <si>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</si>
  <si>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</si>
  <si>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</si>
  <si>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</si>
  <si>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</si>
  <si>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</si>
  <si>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</si>
  <si>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</si>
  <si>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</si>
  <si>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</si>
  <si>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</si>
  <si>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</si>
  <si>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</si>
  <si>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</si>
  <si>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</si>
  <si>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</si>
  <si>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</si>
  <si>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</si>
  <si>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</si>
  <si>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</si>
  <si>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</si>
  <si>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</si>
  <si>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</si>
  <si>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</si>
  <si>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</si>
  <si>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</si>
  <si>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</si>
  <si>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</si>
  <si>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</si>
  <si>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</si>
  <si>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</si>
  <si>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</si>
  <si>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</si>
  <si>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</si>
  <si>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</si>
  <si>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</si>
  <si>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</si>
  <si>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</si>
  <si>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</si>
  <si>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</si>
  <si>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</si>
  <si>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</si>
  <si>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</si>
  <si>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</si>
  <si>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</si>
  <si>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</si>
  <si>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</si>
  <si>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</si>
  <si>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</si>
  <si>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</si>
  <si>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</si>
  <si>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</si>
  <si>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</si>
  <si>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</si>
  <si>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</si>
  <si>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</si>
  <si>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</si>
  <si>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</si>
  <si>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</si>
  <si>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</si>
  <si>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</si>
  <si>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</si>
  <si>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</si>
  <si>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</si>
  <si>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</si>
  <si>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</si>
  <si>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</si>
  <si>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</si>
  <si>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</si>
  <si>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</si>
  <si>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</si>
  <si>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</si>
  <si>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</si>
  <si>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</si>
  <si>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</si>
  <si>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</si>
  <si>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</si>
  <si>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</si>
  <si>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</si>
  <si>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</si>
  <si>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</si>
  <si>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</si>
  <si>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</si>
  <si>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</si>
  <si>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</si>
  <si>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</si>
  <si>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</si>
  <si>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</si>
  <si>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</si>
  <si>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</si>
  <si>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</si>
  <si>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</si>
  <si>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</si>
  <si>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</si>
  <si>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</si>
  <si>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</si>
  <si>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</si>
  <si>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</si>
  <si>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</si>
  <si>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</si>
  <si>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</si>
  <si>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</si>
  <si>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</si>
  <si>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</si>
  <si>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</si>
  <si>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</si>
  <si>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</si>
  <si>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</si>
  <si>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</si>
  <si>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</si>
  <si>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</si>
  <si>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</si>
  <si>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</si>
  <si>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</si>
  <si>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</si>
  <si>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</si>
  <si>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</si>
  <si>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</si>
  <si>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</si>
  <si>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</si>
  <si>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</si>
  <si>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</si>
  <si>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</si>
  <si>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</si>
  <si>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</si>
  <si>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</si>
  <si>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</si>
  <si>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</si>
  <si>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</si>
  <si>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</si>
  <si>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</si>
  <si>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</si>
  <si>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</si>
  <si>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</si>
  <si>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</si>
  <si>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</si>
  <si>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</si>
  <si>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</si>
  <si>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</si>
  <si>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</si>
  <si>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</si>
  <si>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</si>
  <si>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</si>
  <si>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</si>
  <si>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</si>
  <si>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</si>
  <si>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</si>
  <si>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</si>
  <si>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</si>
  <si>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</si>
  <si>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</si>
  <si>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</si>
  <si>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</si>
  <si>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</si>
  <si>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</si>
  <si>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</si>
  <si>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</si>
  <si>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</si>
  <si>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</si>
  <si>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</si>
  <si>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</si>
  <si>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</si>
  <si>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</si>
  <si>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</si>
  <si>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</si>
  <si>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</si>
  <si>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</si>
  <si>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</si>
  <si>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</si>
  <si>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</si>
  <si>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</si>
  <si>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</si>
  <si>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</si>
  <si>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</si>
  <si>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</si>
  <si>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</si>
  <si>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</si>
  <si>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</si>
  <si>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</si>
  <si>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</si>
  <si>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</si>
  <si>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</si>
  <si>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</si>
  <si>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</si>
  <si>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</si>
  <si>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</si>
  <si>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</si>
  <si>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</si>
  <si>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</si>
  <si>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</si>
  <si>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</si>
  <si>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</si>
  <si>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</si>
  <si>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</si>
  <si>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</si>
  <si>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</si>
  <si>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</si>
  <si>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</si>
  <si>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</si>
  <si>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</si>
  <si>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</si>
  <si>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</si>
  <si>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</si>
  <si>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</si>
  <si>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</si>
  <si>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</si>
  <si>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</si>
  <si>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</si>
  <si>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</si>
  <si>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</si>
  <si>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</si>
  <si>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</si>
  <si>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</si>
  <si>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</si>
  <si>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</si>
  <si>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</si>
  <si>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</si>
  <si>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</si>
  <si>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</si>
  <si>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</si>
  <si>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</si>
  <si>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</si>
  <si>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</si>
  <si>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</si>
  <si>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</si>
  <si>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</si>
  <si>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</si>
  <si>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</si>
  <si>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</si>
  <si>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</si>
  <si>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</si>
  <si>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</si>
  <si>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</si>
  <si>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</si>
  <si>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</si>
  <si>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</si>
  <si>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</si>
  <si>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</si>
  <si>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</si>
  <si>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</si>
  <si>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</si>
  <si>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</si>
  <si>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</si>
  <si>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</si>
  <si>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</si>
  <si>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</si>
  <si>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</si>
  <si>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</si>
  <si>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</si>
  <si>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</si>
  <si>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</si>
  <si>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</si>
  <si>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</si>
  <si>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</si>
  <si>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</si>
  <si>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</si>
  <si>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</si>
  <si>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</si>
  <si>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</si>
  <si>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</si>
  <si>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</si>
  <si>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</si>
  <si>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</si>
  <si>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</si>
  <si>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</si>
  <si>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</si>
  <si>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</si>
  <si>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</si>
  <si>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</si>
  <si>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</si>
  <si>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</si>
  <si>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</si>
  <si>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</si>
  <si>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</si>
  <si>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</si>
  <si>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</si>
  <si>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</si>
  <si>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</si>
  <si>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</si>
  <si>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</si>
  <si>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</si>
  <si>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</si>
  <si>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</si>
  <si>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</si>
  <si>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</si>
  <si>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</si>
  <si>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</si>
  <si>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</si>
  <si>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</si>
  <si>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</si>
  <si>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</si>
  <si>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</si>
  <si>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</si>
  <si>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</si>
  <si>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</si>
  <si>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</si>
  <si>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</si>
  <si>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</si>
  <si>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</si>
  <si>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</si>
  <si>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</si>
  <si>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</si>
  <si>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</si>
  <si>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</si>
  <si>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</si>
  <si>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</si>
  <si>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</si>
  <si>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</si>
  <si>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</si>
  <si>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</si>
  <si>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</si>
  <si>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</si>
  <si>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</si>
  <si>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</si>
  <si>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</si>
  <si>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</si>
  <si>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</si>
  <si>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</si>
  <si>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</si>
  <si>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</si>
  <si>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</si>
  <si>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</si>
  <si>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</si>
  <si>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</si>
  <si>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</si>
  <si>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</si>
  <si>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</si>
  <si>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</si>
  <si>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</si>
  <si>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</si>
  <si>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</si>
  <si>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</si>
  <si>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</si>
  <si>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</si>
  <si>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</si>
  <si>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</si>
  <si>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</si>
  <si>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</si>
  <si>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</si>
  <si>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</si>
  <si>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</si>
  <si>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</si>
  <si>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</si>
  <si>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</si>
  <si>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</si>
  <si>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</si>
  <si>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</si>
  <si>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</si>
  <si>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</si>
  <si>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</si>
  <si>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</si>
  <si>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</si>
  <si>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</si>
  <si>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</si>
  <si>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</si>
  <si>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</si>
  <si>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</si>
  <si>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</si>
  <si>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</si>
  <si>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</si>
  <si>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</si>
  <si>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</si>
  <si>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</si>
  <si>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</si>
  <si>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</si>
  <si>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</si>
  <si>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</si>
  <si>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</si>
  <si>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</si>
  <si>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</si>
  <si>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</si>
  <si>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</si>
  <si>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</si>
  <si>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</si>
  <si>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</si>
  <si>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</si>
  <si>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</si>
  <si>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</si>
  <si>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</si>
  <si>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</si>
  <si>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</si>
  <si>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</si>
  <si>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</si>
  <si>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</si>
  <si>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</si>
  <si>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</si>
  <si>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</si>
  <si>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</si>
  <si>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</si>
  <si>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</si>
  <si>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</si>
  <si>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</si>
  <si>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</si>
  <si>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</si>
  <si>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</si>
  <si>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</si>
  <si>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</si>
  <si>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</si>
  <si>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</si>
  <si>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</si>
  <si>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</si>
  <si>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</si>
  <si>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</si>
  <si>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</si>
  <si>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</si>
  <si>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</si>
  <si>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</si>
  <si>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</si>
  <si>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</si>
  <si>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</si>
  <si>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</si>
  <si>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</si>
  <si>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</si>
  <si>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</si>
  <si>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</si>
  <si>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</si>
  <si>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</si>
  <si>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</si>
  <si>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</si>
  <si>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</si>
  <si>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</si>
  <si>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</si>
  <si>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</si>
  <si>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</si>
  <si>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</si>
  <si>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</si>
  <si>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</si>
  <si>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</si>
  <si>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</si>
  <si>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</si>
  <si>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</si>
  <si>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</si>
  <si>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</si>
  <si>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</si>
  <si>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</si>
  <si>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</si>
  <si>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</si>
  <si>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</si>
  <si>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</si>
  <si>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</si>
  <si>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</si>
  <si>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</si>
  <si>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</si>
  <si>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</si>
  <si>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</si>
  <si>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</si>
  <si>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</si>
  <si>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</si>
  <si>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</si>
  <si>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</si>
  <si>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</si>
  <si>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</si>
  <si>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</si>
  <si>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</si>
  <si>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</si>
  <si>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</si>
  <si>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</si>
  <si>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</si>
  <si>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</si>
  <si>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</si>
  <si>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</si>
  <si>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</si>
  <si>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</si>
  <si>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</si>
  <si>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</si>
  <si>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</si>
  <si>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</si>
  <si>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</si>
  <si>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</si>
  <si>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</si>
  <si>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</si>
  <si>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</si>
  <si>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</si>
  <si>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</si>
  <si>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</si>
  <si>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</si>
  <si>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</si>
  <si>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</si>
  <si>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</si>
  <si>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</si>
  <si>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</si>
  <si>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</si>
  <si>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</si>
  <si>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</si>
  <si>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</si>
  <si>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</si>
  <si>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</si>
  <si>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</si>
  <si>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</si>
  <si>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</si>
  <si>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</si>
  <si>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</si>
  <si>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</si>
  <si>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</si>
  <si>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</si>
  <si>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</si>
  <si>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</si>
  <si>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</si>
  <si>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</si>
  <si>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</si>
  <si>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</si>
  <si>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</si>
  <si>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</si>
  <si>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</si>
  <si>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</si>
  <si>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</si>
  <si>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</si>
  <si>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</si>
  <si>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</si>
  <si>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</si>
  <si>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</si>
  <si>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</si>
  <si>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</si>
  <si>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</si>
  <si>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</si>
  <si>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</si>
  <si>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</si>
  <si>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</si>
  <si>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</si>
  <si>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</si>
  <si>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</si>
  <si>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</si>
  <si>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</si>
  <si>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</si>
  <si>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</si>
  <si>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</si>
  <si>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</si>
  <si>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</si>
  <si>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</si>
  <si>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</si>
  <si>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</si>
  <si>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</si>
  <si>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</si>
  <si>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</si>
  <si>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</si>
  <si>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</si>
  <si>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</si>
  <si>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</si>
  <si>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</si>
  <si>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</si>
  <si>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</si>
  <si>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</si>
  <si>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</si>
  <si>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</si>
  <si>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</si>
  <si>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</si>
  <si>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</si>
  <si>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</si>
  <si>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</si>
  <si>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</si>
  <si>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</si>
  <si>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</si>
  <si>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</si>
  <si>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</si>
  <si>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</si>
  <si>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</si>
  <si>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</si>
  <si>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</si>
  <si>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</si>
  <si>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</si>
  <si>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</si>
  <si>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</si>
  <si>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</si>
  <si>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</si>
  <si>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</si>
  <si>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</si>
  <si>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</si>
  <si>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</si>
  <si>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</si>
  <si>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</si>
  <si>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</si>
  <si>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</si>
  <si>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</si>
  <si>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</si>
  <si>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</si>
  <si>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</si>
  <si>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</si>
  <si>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</si>
  <si>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</si>
  <si>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</si>
  <si>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</si>
  <si>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</si>
  <si>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</si>
  <si>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</si>
  <si>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</si>
  <si>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</si>
  <si>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</si>
  <si>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</si>
  <si>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</si>
  <si>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</si>
  <si>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</si>
  <si>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</si>
  <si>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</si>
  <si>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</si>
  <si>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</si>
  <si>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</si>
  <si>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</si>
  <si>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</si>
  <si>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</si>
  <si>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</si>
  <si>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</si>
  <si>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</si>
  <si>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</si>
  <si>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</si>
  <si>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</si>
  <si>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</si>
  <si>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</si>
  <si>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</si>
  <si>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</si>
  <si>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</si>
  <si>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</si>
  <si>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</si>
  <si>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</si>
  <si>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</si>
  <si>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</si>
  <si>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</si>
  <si>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</si>
  <si>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</si>
  <si>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</si>
  <si>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</si>
  <si>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</si>
  <si>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</si>
  <si>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</si>
  <si>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</si>
  <si>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</si>
  <si>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</si>
  <si>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</si>
  <si>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</si>
  <si>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</si>
  <si>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</si>
  <si>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</si>
  <si>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</si>
  <si>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</si>
  <si>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</si>
  <si>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</si>
  <si>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</si>
  <si>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</si>
  <si>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</si>
  <si>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</si>
  <si>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</si>
  <si>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</si>
  <si>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</si>
  <si>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</si>
  <si>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</si>
  <si>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</si>
  <si>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</si>
  <si>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</si>
  <si>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</si>
  <si>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</si>
  <si>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</si>
  <si>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</si>
  <si>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</si>
  <si>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</si>
  <si>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</si>
  <si>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</si>
  <si>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</si>
  <si>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</si>
  <si>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</si>
  <si>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</si>
  <si>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</si>
  <si>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</si>
  <si>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</si>
  <si>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</si>
  <si>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</si>
  <si>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</si>
  <si>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</si>
  <si>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</si>
  <si>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</si>
  <si>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</si>
  <si>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</si>
  <si>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</si>
  <si>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</si>
  <si>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</si>
  <si>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</si>
  <si>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</si>
  <si>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</si>
  <si>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</si>
  <si>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</si>
  <si>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</si>
  <si>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</si>
  <si>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</si>
  <si>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</si>
  <si>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</si>
  <si>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</si>
  <si>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</si>
  <si>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</si>
  <si>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</si>
  <si>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</si>
  <si>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</si>
  <si>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</si>
  <si>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</si>
  <si>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</si>
  <si>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</si>
  <si>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</si>
  <si>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</si>
  <si>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</si>
  <si>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</si>
  <si>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</si>
  <si>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</si>
  <si>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</si>
  <si>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</si>
  <si>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</si>
  <si>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</si>
  <si>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</si>
  <si>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</si>
  <si>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</si>
  <si>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</si>
  <si>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</si>
  <si>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</si>
  <si>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</si>
  <si>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</si>
  <si>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</si>
  <si>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</si>
  <si>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</si>
  <si>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</si>
  <si>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</si>
  <si>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</si>
  <si>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</si>
  <si>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</si>
  <si>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</si>
  <si>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</si>
  <si>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</si>
  <si>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</si>
  <si>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</si>
  <si>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</si>
  <si>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</si>
  <si>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</si>
  <si>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</si>
  <si>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</si>
  <si>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</si>
  <si>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</si>
  <si>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</si>
  <si>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</si>
  <si>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</si>
  <si>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</si>
  <si>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</si>
  <si>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</si>
  <si>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</si>
  <si>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</si>
  <si>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</si>
  <si>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</si>
  <si>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</si>
  <si>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</si>
  <si>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</si>
  <si>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</si>
  <si>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</si>
  <si>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</si>
  <si>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</si>
  <si>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</si>
  <si>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</si>
  <si>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</si>
  <si>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</si>
  <si>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</si>
  <si>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</si>
  <si>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</si>
  <si>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</si>
  <si>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</si>
  <si>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</si>
  <si>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</si>
  <si>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</si>
  <si>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</si>
  <si>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</si>
  <si>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</si>
  <si>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</si>
  <si>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</si>
  <si>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</si>
  <si>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</si>
  <si>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</si>
  <si>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</si>
  <si>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</si>
  <si>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</si>
  <si>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</si>
  <si>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</si>
  <si>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</si>
  <si>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</si>
  <si>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</si>
  <si>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</si>
  <si>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</si>
  <si>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</si>
  <si>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</si>
  <si>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</si>
  <si>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</si>
  <si>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</si>
  <si>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</si>
  <si>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</si>
  <si>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</si>
  <si>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</si>
  <si>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</si>
  <si>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</si>
  <si>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</si>
  <si>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</si>
  <si>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</si>
  <si>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</si>
  <si>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</si>
  <si>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</si>
  <si>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</si>
  <si>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</si>
  <si>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</si>
  <si>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</si>
  <si>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</si>
  <si>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</si>
  <si>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</si>
  <si>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</si>
  <si>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</si>
  <si>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</si>
  <si>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</si>
  <si>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</si>
  <si>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</si>
  <si>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</si>
  <si>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</si>
  <si>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</si>
  <si>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</si>
  <si>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</si>
  <si>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</si>
  <si>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</si>
  <si>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</si>
  <si>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</si>
  <si>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</si>
  <si>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</si>
  <si>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</si>
  <si>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</si>
  <si>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</si>
  <si>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</si>
  <si>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</si>
  <si>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</si>
  <si>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</si>
  <si>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</si>
  <si>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</si>
  <si>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</si>
  <si>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</si>
  <si>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</si>
  <si>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</si>
  <si>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</si>
  <si>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</si>
  <si>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</si>
  <si>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</si>
  <si>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</si>
  <si>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</si>
  <si>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</si>
  <si>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</si>
  <si>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</si>
  <si>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</si>
  <si>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</si>
  <si>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</si>
  <si>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</si>
  <si>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</si>
  <si>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</si>
  <si>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</si>
  <si>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</si>
  <si>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</si>
  <si>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</si>
  <si>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</si>
  <si>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</si>
  <si>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</si>
  <si>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</si>
  <si>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</si>
  <si>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</si>
  <si>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</si>
  <si>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</si>
  <si>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</si>
  <si>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</si>
  <si>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</si>
  <si>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</si>
  <si>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</si>
  <si>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</si>
  <si>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</si>
  <si>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</si>
  <si>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</si>
  <si>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</si>
  <si>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</si>
  <si>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</si>
  <si>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</si>
  <si>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</si>
  <si>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</si>
  <si>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</si>
  <si>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</si>
  <si>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</si>
  <si>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</si>
  <si>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</si>
  <si>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</si>
  <si>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</si>
  <si>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</si>
  <si>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</si>
  <si>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</si>
  <si>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</si>
  <si>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</si>
  <si>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</si>
  <si>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</si>
  <si>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</si>
  <si>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</si>
  <si>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</si>
  <si>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</si>
  <si>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</si>
  <si>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</si>
  <si>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</si>
  <si>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</si>
  <si>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</si>
  <si>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</si>
  <si>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</si>
  <si>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</si>
  <si>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</si>
  <si>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</si>
  <si>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</si>
  <si>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</si>
  <si>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</si>
  <si>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</si>
  <si>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</si>
  <si>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</si>
  <si>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</si>
  <si>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</si>
  <si>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</si>
  <si>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</si>
  <si>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</si>
  <si>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</si>
  <si>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</si>
  <si>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</si>
  <si>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</si>
  <si>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</si>
  <si>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</si>
  <si>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</si>
  <si>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</si>
  <si>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</si>
  <si>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</si>
  <si>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</si>
  <si>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</si>
  <si>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</si>
  <si>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</si>
  <si>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</si>
  <si>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</si>
  <si>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</si>
  <si>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</si>
  <si>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</si>
  <si>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</si>
  <si>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</si>
  <si>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</si>
  <si>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</si>
  <si>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</si>
  <si>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</si>
  <si>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</si>
  <si>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</si>
  <si>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</si>
  <si>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</si>
  <si>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</si>
  <si>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</si>
  <si>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</si>
  <si>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</si>
  <si>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</si>
  <si>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</si>
  <si>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</si>
  <si>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</si>
  <si>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</si>
  <si>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</si>
  <si>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</si>
  <si>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</si>
  <si>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</si>
  <si>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</si>
  <si>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</si>
  <si>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</si>
  <si>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</si>
  <si>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</si>
  <si>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</si>
  <si>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</si>
  <si>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</si>
  <si>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</si>
  <si>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</si>
  <si>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</si>
  <si>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</si>
  <si>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</si>
  <si>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</si>
  <si>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</si>
  <si>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</si>
  <si>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</si>
  <si>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</si>
  <si>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</si>
  <si>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</si>
  <si>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</si>
  <si>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</si>
  <si>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</si>
  <si>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</si>
  <si>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</si>
  <si>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</si>
  <si>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</si>
  <si>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</si>
  <si>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</si>
  <si>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</si>
  <si>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</si>
  <si>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</si>
  <si>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</si>
  <si>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</si>
  <si>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</si>
  <si>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</si>
  <si>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</si>
  <si>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</si>
  <si>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</si>
  <si>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</si>
  <si>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</si>
  <si>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</si>
  <si>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</si>
  <si>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</si>
  <si>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</si>
  <si>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</si>
  <si>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</si>
  <si>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</si>
  <si>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</si>
  <si>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</si>
  <si>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</si>
  <si>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</si>
  <si>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</si>
  <si>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</si>
  <si>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</si>
  <si>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</si>
  <si>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</si>
  <si>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</si>
  <si>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</si>
  <si>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</si>
  <si>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</si>
  <si>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</si>
  <si>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</si>
  <si>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</si>
  <si>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</si>
  <si>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</si>
  <si>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</si>
  <si>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</si>
  <si>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</si>
  <si>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</si>
  <si>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</si>
  <si>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</si>
  <si>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</si>
  <si>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</si>
  <si>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</si>
  <si>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</si>
  <si>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</si>
  <si>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</si>
  <si>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</si>
  <si>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</si>
  <si>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</si>
  <si>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</si>
  <si>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</si>
  <si>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</si>
  <si>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</si>
  <si>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</si>
  <si>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</si>
  <si>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</si>
  <si>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</si>
  <si>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</si>
  <si>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</si>
  <si>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</si>
  <si>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</si>
  <si>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</si>
  <si>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</si>
  <si>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</si>
  <si>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</si>
  <si>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</si>
  <si>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</si>
  <si>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</si>
  <si>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</si>
  <si>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</si>
  <si>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</si>
  <si>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</si>
  <si>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</si>
  <si>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</si>
  <si>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</si>
  <si>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</si>
  <si>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</si>
  <si>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</si>
  <si>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</si>
  <si>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</si>
  <si>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</si>
  <si>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</si>
  <si>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</si>
  <si>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</si>
  <si>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</si>
  <si>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</si>
  <si>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</si>
  <si>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</si>
  <si>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</si>
  <si>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</si>
  <si>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</si>
  <si>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</si>
  <si>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</si>
  <si>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</si>
  <si>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</si>
  <si>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</si>
  <si>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</si>
  <si>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</si>
  <si>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</si>
  <si>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</si>
  <si>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</si>
  <si>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</si>
  <si>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</si>
  <si>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</si>
  <si>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</si>
  <si>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</si>
  <si>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</si>
  <si>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</si>
  <si>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</si>
  <si>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</si>
  <si>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</si>
  <si>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</si>
  <si>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</si>
  <si>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</si>
  <si>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</si>
  <si>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</si>
  <si>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</si>
  <si>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</si>
  <si>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</si>
  <si>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</si>
  <si>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</si>
  <si>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</si>
  <si>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</si>
  <si>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</si>
  <si>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</si>
  <si>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</si>
  <si>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</si>
  <si>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</si>
  <si>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</si>
  <si>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</si>
  <si>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</si>
  <si>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</si>
  <si>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</si>
  <si>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</si>
  <si>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</si>
  <si>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</si>
  <si>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</si>
  <si>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</si>
  <si>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</si>
  <si>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</si>
  <si>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</si>
  <si>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</si>
  <si>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</si>
  <si>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</si>
  <si>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</si>
  <si>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</si>
  <si>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</si>
  <si>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</si>
  <si>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</si>
  <si>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</si>
  <si>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</si>
  <si>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</si>
  <si>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</si>
  <si>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</si>
  <si>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</si>
  <si>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</si>
  <si>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</si>
  <si>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</si>
  <si>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</si>
  <si>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</si>
  <si>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</si>
  <si>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</si>
  <si>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</si>
  <si>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</si>
  <si>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</si>
  <si>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</si>
  <si>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</si>
  <si>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</si>
  <si>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</si>
  <si>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</si>
  <si>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</si>
  <si>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</si>
  <si>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</si>
  <si>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</si>
  <si>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</si>
  <si>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</si>
  <si>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</si>
  <si>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</si>
  <si>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</si>
  <si>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</si>
  <si>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</si>
  <si>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</si>
  <si>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</si>
  <si>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</si>
  <si>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</si>
  <si>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</si>
  <si>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</si>
  <si>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</si>
  <si>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</si>
  <si>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</si>
  <si>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</si>
  <si>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</si>
  <si>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</si>
  <si>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</si>
  <si>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</si>
  <si>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</si>
  <si>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</si>
  <si>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</si>
  <si>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</si>
  <si>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</si>
  <si>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</si>
  <si>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</si>
  <si>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</si>
  <si>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</si>
  <si>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</si>
  <si>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</si>
  <si>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</si>
  <si>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</si>
  <si>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</si>
  <si>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</si>
  <si>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</si>
  <si>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</si>
  <si>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</si>
  <si>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</si>
  <si>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</si>
  <si>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</si>
  <si>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</si>
  <si>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</si>
  <si>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</si>
  <si>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</si>
  <si>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</si>
  <si>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</si>
  <si>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</si>
  <si>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</si>
  <si>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</si>
  <si>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</si>
  <si>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</si>
  <si>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</si>
  <si>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</si>
  <si>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</si>
  <si>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</si>
  <si>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</si>
  <si>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</si>
  <si>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</si>
  <si>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</si>
  <si>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</si>
  <si>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</si>
  <si>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</si>
  <si>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</si>
  <si>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</si>
  <si>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</si>
  <si>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</si>
  <si>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</si>
  <si>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</si>
  <si>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</si>
  <si>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</si>
  <si>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</si>
  <si>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</si>
  <si>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</si>
  <si>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</si>
  <si>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</si>
  <si>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</si>
  <si>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</si>
  <si>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</si>
  <si>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</si>
  <si>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</si>
  <si>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</si>
  <si>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</si>
  <si>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</si>
  <si>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</si>
  <si>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</si>
  <si>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</si>
  <si>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</si>
  <si>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</si>
  <si>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</si>
  <si>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</si>
  <si>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</si>
  <si>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</si>
  <si>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</si>
  <si>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</si>
  <si>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</si>
  <si>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</si>
  <si>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</si>
  <si>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</si>
  <si>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</si>
  <si>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</si>
  <si>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</si>
  <si>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</si>
  <si>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</si>
  <si>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</si>
  <si>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</si>
  <si>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</si>
  <si>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</si>
  <si>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</si>
  <si>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</si>
  <si>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</si>
  <si>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</si>
  <si>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</si>
  <si>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</si>
  <si>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</si>
  <si>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</si>
  <si>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</si>
  <si>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</si>
  <si>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</si>
  <si>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</si>
  <si>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</si>
  <si>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</si>
  <si>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</si>
  <si>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</si>
  <si>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</si>
  <si>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</si>
  <si>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</si>
  <si>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</si>
  <si>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</si>
  <si>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</si>
  <si>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</si>
  <si>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</si>
  <si>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</si>
  <si>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</si>
  <si>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</si>
  <si>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</si>
  <si>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</si>
  <si>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</si>
  <si>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</si>
  <si>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</si>
  <si>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</si>
  <si>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</si>
  <si>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</si>
  <si>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</si>
  <si>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</si>
  <si>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</si>
  <si>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</si>
  <si>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</si>
  <si>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</si>
  <si>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</si>
  <si>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</si>
  <si>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</si>
  <si>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</si>
  <si>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</si>
  <si>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</si>
  <si>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</si>
  <si>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</si>
  <si>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</si>
  <si>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</si>
  <si>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</si>
  <si>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</si>
  <si>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</si>
  <si>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</si>
  <si>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</si>
  <si>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</si>
  <si>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</si>
  <si>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</si>
  <si>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</si>
  <si>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</si>
  <si>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</si>
  <si>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</si>
  <si>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</si>
  <si>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</si>
  <si>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</si>
  <si>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</si>
  <si>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</si>
  <si>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</si>
  <si>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</si>
  <si>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</si>
  <si>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</si>
  <si>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</si>
  <si>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</si>
  <si>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</si>
  <si>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</si>
  <si>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</si>
  <si>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</si>
  <si>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</si>
  <si>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</si>
  <si>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</si>
  <si>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</si>
  <si>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</si>
  <si>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</si>
  <si>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</si>
  <si>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</si>
  <si>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</si>
  <si>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</si>
  <si>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</si>
  <si>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</si>
  <si>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</si>
  <si>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</si>
  <si>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</si>
  <si>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</si>
  <si>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</si>
  <si>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</si>
  <si>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</si>
  <si>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</si>
  <si>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</si>
  <si>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</si>
  <si>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</si>
  <si>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</si>
  <si>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</si>
  <si>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</si>
  <si>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</si>
  <si>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</si>
  <si>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</si>
  <si>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</si>
  <si>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</si>
  <si>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</si>
  <si>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</si>
  <si>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</si>
  <si>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</si>
  <si>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</si>
  <si>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</si>
  <si>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</si>
  <si>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</si>
  <si>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</si>
  <si>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</si>
  <si>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</si>
  <si>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</si>
  <si>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</si>
  <si>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</si>
  <si>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</si>
  <si>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</si>
  <si>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</si>
  <si>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</si>
  <si>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</si>
  <si>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</si>
  <si>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</si>
  <si>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</si>
  <si>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</si>
  <si>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</si>
  <si>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</si>
  <si>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</si>
  <si>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</si>
  <si>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</si>
  <si>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</si>
  <si>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</si>
  <si>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</si>
  <si>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</si>
  <si>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</si>
  <si>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</si>
  <si>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</si>
  <si>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</si>
  <si>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</si>
  <si>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</si>
  <si>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</si>
  <si>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</si>
  <si>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</si>
  <si>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</si>
  <si>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</si>
  <si>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</si>
  <si>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</si>
  <si>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</si>
  <si>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</si>
  <si>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</si>
  <si>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</si>
  <si>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</si>
  <si>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</si>
  <si>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</si>
  <si>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</si>
  <si>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</si>
  <si>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</si>
  <si>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</si>
  <si>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</si>
  <si>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</si>
  <si>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</si>
  <si>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</si>
  <si>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</si>
  <si>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</si>
  <si>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</si>
  <si>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</si>
  <si>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</si>
  <si>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</si>
  <si>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</si>
  <si>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</si>
  <si>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</si>
  <si>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</si>
  <si>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</si>
  <si>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</si>
  <si>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</si>
  <si>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</si>
  <si>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</si>
  <si>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</si>
  <si>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</si>
  <si>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</si>
  <si>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</si>
  <si>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</si>
  <si>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</si>
  <si>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</si>
  <si>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</si>
  <si>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</si>
  <si>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</si>
  <si>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</si>
  <si>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</si>
  <si>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</si>
  <si>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</si>
  <si>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</si>
  <si>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</si>
  <si>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</si>
  <si>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</si>
  <si>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</si>
  <si>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</si>
  <si>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</si>
  <si>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</si>
  <si>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</si>
  <si>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</si>
  <si>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</si>
  <si>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</si>
  <si>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</si>
  <si>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</si>
  <si>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</si>
  <si>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</si>
  <si>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</si>
  <si>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</si>
  <si>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</si>
  <si>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</si>
  <si>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</si>
  <si>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</si>
  <si>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</si>
  <si>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</si>
  <si>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</si>
  <si>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</si>
  <si>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</si>
  <si>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</si>
  <si>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</si>
  <si>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</si>
  <si>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</si>
  <si>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</si>
  <si>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</si>
  <si>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</si>
  <si>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</si>
  <si>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</si>
  <si>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</si>
  <si>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</si>
  <si>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</si>
  <si>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</si>
  <si>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</si>
  <si>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</si>
  <si>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</si>
  <si>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</si>
  <si>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</si>
  <si>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</si>
  <si>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</si>
  <si>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</si>
  <si>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</si>
  <si>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</si>
  <si>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</si>
  <si>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</si>
  <si>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</si>
  <si>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</si>
  <si>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</si>
  <si>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</si>
  <si>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</si>
  <si>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</si>
  <si>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</si>
  <si>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</si>
  <si>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</si>
  <si>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</si>
  <si>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</si>
  <si>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</si>
  <si>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</si>
  <si>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</si>
  <si>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</si>
  <si>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</si>
  <si>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</si>
  <si>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</si>
  <si>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</si>
  <si>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</si>
  <si>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</si>
  <si>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</si>
  <si>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</si>
  <si>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</si>
  <si>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</si>
  <si>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</si>
  <si>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</si>
  <si>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</si>
  <si>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</si>
  <si>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</si>
  <si>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</si>
  <si>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</si>
  <si>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</si>
  <si>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</si>
  <si>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</si>
  <si>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</si>
  <si>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</si>
  <si>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</si>
  <si>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</si>
  <si>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</si>
  <si>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</si>
  <si>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</si>
  <si>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</si>
  <si>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</si>
  <si>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</si>
  <si>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</si>
  <si>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</si>
  <si>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</si>
  <si>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</si>
  <si>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</si>
  <si>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</si>
  <si>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</si>
  <si>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</si>
  <si>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</si>
  <si>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</si>
  <si>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</si>
  <si>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</si>
  <si>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</si>
  <si>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</si>
  <si>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</si>
  <si>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</si>
  <si>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</si>
  <si>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</si>
  <si>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</si>
  <si>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</si>
  <si>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</si>
  <si>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</si>
  <si>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</si>
  <si>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</si>
  <si>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</si>
  <si>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</si>
  <si>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</si>
  <si>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</si>
  <si>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</si>
  <si>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</si>
  <si>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</si>
  <si>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</si>
  <si>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</si>
  <si>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</si>
  <si>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</si>
  <si>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</si>
  <si>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</si>
  <si>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</si>
  <si>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</si>
  <si>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</si>
  <si>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</si>
  <si>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</si>
  <si>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</si>
  <si>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</si>
  <si>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</si>
  <si>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</si>
  <si>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</si>
  <si>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</si>
  <si>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</si>
  <si>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</si>
  <si>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</si>
  <si>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</si>
  <si>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</si>
  <si>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</si>
  <si>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</si>
  <si>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</si>
  <si>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</si>
  <si>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</si>
  <si>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</si>
  <si>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</si>
  <si>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</si>
  <si>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</si>
  <si>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</si>
  <si>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</si>
  <si>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</si>
  <si>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</si>
  <si>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</si>
  <si>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</si>
  <si>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</si>
  <si>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</si>
  <si>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</si>
  <si>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</si>
  <si>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</si>
  <si>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</si>
  <si>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</si>
  <si>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</si>
  <si>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</si>
  <si>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</si>
  <si>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</si>
  <si>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</si>
  <si>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</si>
  <si>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</si>
  <si>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</si>
  <si>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</si>
  <si>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</si>
  <si>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</si>
  <si>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</si>
  <si>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</si>
  <si>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</si>
  <si>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</si>
  <si>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</si>
  <si>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</si>
  <si>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</si>
  <si>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</si>
  <si>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</si>
  <si>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</si>
  <si>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</si>
  <si>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</si>
  <si>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</si>
  <si>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</si>
  <si>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</si>
  <si>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</si>
  <si>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</si>
  <si>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</si>
  <si>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</si>
  <si>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</si>
  <si>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</si>
  <si>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</si>
  <si>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</si>
  <si>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</si>
  <si>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</si>
  <si>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</si>
  <si>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</si>
  <si>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</si>
  <si>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</si>
  <si>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</si>
  <si>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</si>
  <si>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</si>
  <si>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</si>
  <si>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</si>
  <si>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</si>
  <si>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</si>
  <si>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</si>
  <si>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</si>
  <si>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</si>
  <si>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</si>
  <si>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</si>
  <si>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</si>
  <si>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</si>
  <si>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</si>
  <si>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</si>
  <si>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</si>
  <si>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</si>
  <si>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</si>
  <si>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</si>
  <si>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</si>
  <si>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</si>
  <si>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</si>
  <si>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</si>
  <si>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</si>
  <si>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</si>
  <si>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</si>
  <si>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</si>
  <si>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</si>
  <si>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</si>
  <si>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</si>
  <si>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</si>
  <si>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</si>
  <si>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</si>
  <si>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</si>
  <si>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</si>
  <si>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</si>
  <si>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</si>
  <si>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</si>
  <si>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</si>
  <si>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</si>
  <si>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</si>
  <si>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</si>
  <si>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</si>
  <si>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</si>
  <si>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</si>
  <si>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</si>
  <si>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</si>
  <si>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</si>
  <si>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</si>
  <si>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</si>
  <si>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</si>
  <si>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</si>
  <si>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</si>
  <si>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</si>
  <si>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</si>
  <si>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</si>
  <si>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</si>
  <si>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</si>
  <si>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</si>
  <si>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</si>
  <si>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</si>
  <si>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</si>
  <si>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</si>
  <si>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</si>
  <si>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</si>
  <si>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</si>
  <si>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</si>
  <si>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</si>
  <si>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</si>
  <si>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</si>
  <si>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</si>
  <si>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</si>
  <si>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</si>
  <si>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</si>
  <si>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</si>
  <si>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</si>
  <si>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</si>
  <si>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</si>
  <si>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</si>
  <si>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</si>
  <si>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</si>
  <si>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</si>
  <si>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</si>
  <si>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</si>
  <si>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</si>
  <si>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</si>
  <si>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</si>
  <si>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</si>
  <si>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</si>
  <si>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</si>
  <si>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</si>
  <si>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</si>
  <si>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</si>
  <si>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</si>
  <si>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</si>
  <si>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</si>
  <si>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</si>
  <si>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</si>
  <si>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</si>
  <si>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</si>
  <si>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</si>
  <si>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</si>
  <si>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</si>
  <si>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</si>
  <si>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</si>
  <si>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</si>
  <si>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</si>
  <si>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</si>
  <si>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</si>
  <si>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</si>
  <si>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</si>
  <si>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</si>
  <si>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</si>
  <si>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</si>
  <si>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</si>
  <si>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</si>
  <si>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</si>
  <si>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</si>
  <si>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</si>
  <si>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</si>
  <si>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</si>
  <si>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</si>
  <si>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</si>
  <si>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</si>
  <si>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</si>
  <si>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</si>
  <si>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</si>
  <si>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</si>
  <si>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</si>
  <si>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</si>
  <si>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</si>
  <si>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</si>
  <si>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</si>
  <si>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</si>
  <si>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</si>
  <si>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</si>
  <si>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</si>
  <si>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</si>
  <si>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</si>
  <si>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</si>
  <si>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</si>
  <si>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</si>
  <si>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</si>
  <si>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</si>
  <si>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</si>
  <si>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</si>
  <si>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</si>
  <si>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</si>
  <si>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</si>
  <si>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</si>
  <si>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</si>
  <si>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</si>
  <si>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</si>
  <si>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</si>
  <si>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</si>
  <si>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</si>
  <si>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</si>
  <si>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</si>
  <si>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</si>
  <si>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</si>
  <si>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</si>
  <si>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</si>
  <si>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</si>
  <si>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</si>
  <si>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</si>
  <si>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</si>
  <si>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</si>
  <si>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</si>
  <si>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</si>
  <si>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</si>
  <si>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</si>
  <si>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</si>
  <si>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</si>
  <si>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</si>
  <si>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</si>
  <si>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</si>
  <si>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</si>
  <si>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</si>
  <si>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</si>
  <si>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</si>
  <si>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</si>
  <si>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</si>
  <si>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</si>
  <si>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</si>
  <si>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</si>
  <si>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</si>
  <si>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</si>
  <si>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</si>
  <si>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</si>
  <si>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</si>
  <si>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</si>
  <si>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</si>
  <si>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</si>
  <si>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</si>
  <si>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</si>
  <si>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</si>
  <si>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</si>
  <si>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</si>
  <si>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</si>
  <si>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</si>
  <si>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</si>
  <si>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</si>
  <si>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</si>
  <si>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</si>
  <si>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</si>
  <si>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</si>
  <si>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</si>
  <si>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</si>
  <si>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</si>
  <si>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</si>
  <si>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</si>
  <si>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</si>
  <si>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</si>
  <si>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</si>
  <si>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</si>
  <si>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</si>
  <si>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</si>
  <si>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</si>
  <si>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</si>
  <si>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</si>
  <si>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</si>
  <si>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</si>
  <si>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</si>
  <si>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</si>
  <si>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</si>
  <si>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</si>
  <si>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</si>
  <si>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</si>
  <si>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</si>
  <si>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</si>
  <si>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</si>
  <si>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</si>
  <si>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</si>
  <si>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</si>
  <si>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</si>
  <si>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</si>
  <si>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</si>
  <si>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</si>
  <si>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</si>
  <si>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</si>
  <si>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</si>
  <si>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</si>
  <si>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</si>
  <si>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</si>
  <si>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</si>
  <si>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</si>
  <si>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</si>
  <si>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</si>
  <si>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</si>
  <si>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</si>
  <si>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</si>
  <si>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</si>
  <si>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</si>
  <si>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</si>
  <si>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</si>
  <si>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</si>
  <si>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</si>
  <si>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</si>
  <si>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</si>
  <si>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</si>
  <si>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</si>
  <si>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</si>
  <si>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</si>
  <si>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</si>
  <si>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</si>
  <si>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</si>
  <si>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</si>
  <si>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</si>
  <si>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</si>
  <si>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</si>
  <si>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</si>
  <si>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</si>
  <si>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</si>
  <si>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</si>
  <si>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</si>
  <si>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</si>
  <si>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</si>
  <si>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</si>
  <si>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</si>
  <si>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</si>
  <si>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</si>
  <si>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</si>
  <si>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</si>
  <si>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</si>
  <si>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</si>
  <si>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</si>
  <si>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</si>
  <si>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</si>
  <si>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</si>
  <si>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</si>
  <si>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</si>
  <si>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</si>
  <si>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</si>
  <si>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</si>
  <si>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</si>
  <si>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</si>
  <si>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</si>
  <si>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</si>
  <si>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</si>
  <si>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</si>
  <si>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</si>
  <si>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</si>
  <si>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</si>
  <si>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</si>
  <si>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</si>
  <si>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</si>
  <si>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</si>
  <si>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</si>
  <si>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</si>
  <si>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</si>
  <si>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</si>
  <si>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</si>
  <si>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</si>
  <si>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</si>
  <si>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</si>
  <si>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</si>
  <si>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</si>
  <si>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</si>
  <si>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</si>
  <si>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</si>
  <si>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</si>
  <si>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</si>
  <si>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</si>
  <si>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</si>
  <si>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</si>
  <si>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</si>
  <si>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</si>
  <si>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</si>
  <si>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</si>
  <si>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</si>
  <si>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</si>
  <si>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</si>
  <si>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</si>
  <si>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</si>
  <si>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</si>
  <si>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</si>
  <si>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</si>
  <si>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</si>
  <si>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</si>
  <si>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</si>
  <si>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</si>
  <si>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</si>
  <si>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</si>
  <si>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</si>
  <si>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</si>
  <si>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</si>
  <si>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</si>
  <si>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</si>
  <si>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</si>
  <si>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</si>
  <si>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</si>
  <si>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</si>
  <si>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</si>
  <si>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</si>
  <si>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</si>
  <si>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</si>
  <si>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</si>
  <si>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</si>
  <si>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</si>
  <si>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</si>
  <si>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</si>
  <si>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</si>
  <si>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</si>
  <si>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</si>
  <si>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</si>
  <si>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</si>
  <si>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</si>
  <si>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</si>
  <si>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</si>
  <si>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</si>
  <si>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</si>
  <si>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</si>
  <si>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</si>
  <si>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</si>
  <si>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</si>
  <si>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</si>
  <si>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</si>
  <si>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</si>
  <si>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</si>
  <si>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</si>
  <si>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</si>
  <si>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</si>
  <si>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</si>
  <si>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</si>
  <si>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</si>
  <si>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</si>
  <si>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</si>
  <si>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</si>
  <si>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</si>
  <si>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</si>
  <si>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</si>
  <si>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</si>
  <si>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</si>
  <si>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</si>
  <si>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</si>
  <si>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</si>
  <si>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</si>
  <si>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</si>
  <si>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</si>
  <si>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</si>
  <si>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</si>
  <si>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</si>
  <si>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</si>
  <si>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</si>
  <si>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</si>
  <si>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</si>
  <si>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</si>
  <si>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</si>
  <si>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</si>
  <si>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</si>
  <si>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</si>
  <si>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</si>
  <si>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</si>
  <si>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</si>
  <si>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</si>
  <si>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</si>
  <si>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</si>
  <si>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</si>
  <si>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</si>
  <si>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</si>
  <si>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</si>
  <si>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</si>
  <si>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</si>
  <si>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</si>
  <si>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</si>
  <si>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</si>
  <si>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</si>
  <si>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</si>
  <si>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</si>
  <si>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</si>
  <si>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</si>
  <si>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</si>
  <si>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</si>
  <si>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</si>
  <si>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</si>
  <si>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</si>
  <si>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</si>
  <si>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</si>
  <si>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</si>
  <si>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</si>
  <si>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</si>
  <si>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</si>
  <si>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</si>
  <si>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</si>
  <si>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</si>
  <si>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</si>
  <si>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</si>
  <si>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</si>
  <si>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</si>
  <si>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</si>
  <si>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</si>
  <si>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</si>
  <si>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</si>
  <si>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</si>
  <si>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</si>
  <si>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</si>
  <si>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</si>
  <si>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</si>
  <si>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</si>
  <si>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</si>
  <si>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</si>
  <si>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</si>
  <si>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</si>
  <si>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</si>
  <si>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</si>
  <si>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</si>
  <si>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</si>
  <si>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</si>
  <si>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</si>
  <si>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</si>
  <si>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</si>
  <si>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</si>
  <si>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</si>
  <si>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</si>
  <si>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</si>
  <si>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</si>
  <si>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</si>
  <si>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</si>
  <si>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</si>
  <si>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</si>
  <si>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</si>
  <si>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</si>
  <si>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</si>
  <si>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</si>
  <si>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</si>
  <si>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</si>
  <si>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</si>
  <si>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</si>
  <si>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</si>
  <si>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</si>
  <si>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</si>
  <si>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</si>
  <si>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</si>
  <si>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</si>
  <si>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</si>
  <si>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</si>
  <si>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</si>
  <si>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</si>
  <si>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</si>
  <si>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</si>
  <si>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</si>
  <si>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</si>
  <si>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</si>
  <si>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</si>
  <si>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</si>
  <si>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</si>
  <si>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</si>
  <si>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</si>
  <si>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</si>
  <si>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</si>
  <si>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</si>
  <si>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</si>
  <si>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</si>
  <si>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</si>
  <si>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</si>
  <si>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</si>
  <si>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</si>
  <si>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</si>
  <si>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</si>
  <si>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</si>
  <si>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</si>
  <si>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</si>
  <si>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</si>
  <si>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</si>
  <si>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</si>
  <si>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</si>
  <si>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</si>
  <si>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</si>
  <si>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</si>
  <si>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</si>
  <si>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</si>
  <si>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</si>
  <si>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</si>
  <si>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</si>
  <si>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</si>
  <si>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</si>
  <si>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</si>
  <si>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</si>
  <si>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</si>
  <si>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</si>
  <si>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</si>
  <si>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</si>
  <si>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</si>
  <si>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</si>
  <si>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</si>
  <si>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</si>
  <si>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</si>
  <si>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</si>
  <si>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</si>
  <si>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</si>
  <si>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</si>
  <si>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</si>
  <si>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</si>
  <si>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</si>
  <si>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</si>
  <si>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</si>
  <si>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</si>
  <si>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</si>
  <si>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</si>
  <si>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</si>
  <si>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</si>
  <si>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</si>
  <si>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</si>
  <si>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</si>
  <si>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</si>
  <si>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</si>
  <si>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</si>
  <si>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</si>
  <si>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</si>
  <si>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</si>
  <si>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</si>
  <si>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</si>
  <si>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</si>
  <si>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</si>
  <si>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</si>
  <si>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</si>
  <si>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</si>
  <si>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</si>
  <si>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</si>
  <si>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</si>
  <si>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</si>
  <si>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</si>
  <si>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</si>
  <si>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</si>
  <si>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</si>
  <si>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</si>
  <si>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</si>
  <si>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</si>
  <si>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</si>
  <si>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</si>
  <si>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</si>
  <si>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</si>
  <si>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</si>
  <si>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</si>
  <si>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</si>
  <si>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</si>
  <si>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</si>
  <si>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</si>
  <si>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</si>
  <si>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</si>
  <si>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</si>
  <si>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</si>
  <si>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</si>
  <si>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</si>
  <si>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</si>
  <si>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</si>
  <si>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</si>
  <si>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</si>
  <si>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</si>
  <si>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</si>
  <si>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</si>
  <si>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</si>
  <si>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</si>
  <si>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</si>
  <si>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</si>
  <si>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</si>
  <si>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</si>
  <si>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</si>
  <si>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</si>
  <si>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</si>
  <si>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</si>
  <si>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</si>
  <si>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</si>
  <si>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</si>
  <si>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</si>
  <si>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</si>
  <si>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</si>
  <si>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</si>
  <si>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</si>
  <si>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</si>
  <si>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</si>
  <si>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</si>
  <si>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</si>
  <si>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</si>
  <si>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</si>
  <si>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</si>
  <si>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</si>
  <si>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</si>
  <si>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</si>
  <si>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</si>
  <si>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</si>
  <si>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</si>
  <si>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</si>
  <si>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</si>
  <si>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</si>
  <si>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</si>
  <si>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</si>
  <si>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</si>
  <si>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</si>
  <si>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</si>
  <si>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</si>
  <si>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</si>
  <si>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</si>
  <si>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</si>
  <si>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</si>
  <si>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</si>
  <si>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</si>
  <si>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</si>
  <si>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</si>
  <si>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</si>
  <si>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</si>
  <si>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</si>
  <si>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</si>
  <si>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</si>
  <si>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</si>
  <si>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</si>
  <si>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</si>
  <si>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</si>
  <si>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</si>
  <si>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</si>
  <si>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</si>
  <si>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</si>
  <si>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</si>
  <si>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</si>
  <si>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</si>
  <si>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</si>
  <si>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</si>
  <si>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</si>
  <si>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</si>
  <si>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</si>
  <si>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</si>
  <si>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</si>
  <si>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</si>
  <si>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</si>
  <si>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</si>
  <si>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</si>
  <si>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</si>
  <si>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</si>
  <si>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</si>
  <si>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</si>
  <si>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</si>
  <si>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</si>
  <si>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</si>
  <si>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</si>
  <si>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</si>
  <si>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</si>
  <si>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</si>
  <si>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</si>
  <si>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</si>
  <si>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</si>
  <si>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</si>
  <si>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</si>
  <si>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</si>
  <si>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</si>
  <si>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</si>
  <si>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</si>
  <si>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</si>
  <si>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</si>
  <si>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</si>
  <si>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</si>
  <si>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</si>
  <si>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</si>
  <si>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</si>
  <si>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</si>
  <si>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</si>
  <si>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</si>
  <si>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</si>
  <si>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</si>
  <si>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</si>
  <si>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</si>
  <si>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</si>
  <si>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</si>
  <si>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</si>
  <si>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</si>
  <si>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</si>
  <si>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</si>
  <si>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</si>
  <si>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</si>
  <si>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</si>
  <si>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</si>
  <si>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</si>
  <si>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</si>
  <si>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</si>
  <si>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</si>
  <si>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</si>
  <si>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</si>
  <si>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</si>
  <si>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</si>
  <si>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</si>
  <si>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</si>
  <si>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</si>
  <si>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</si>
  <si>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</si>
  <si>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</si>
  <si>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</si>
  <si>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</si>
  <si>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</si>
  <si>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</si>
  <si>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</si>
  <si>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</si>
  <si>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</si>
  <si>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</si>
  <si>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</si>
  <si>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</si>
  <si>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</si>
  <si>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</si>
  <si>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</si>
  <si>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</si>
  <si>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</si>
  <si>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</si>
  <si>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</si>
  <si>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</si>
  <si>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</si>
  <si>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</si>
  <si>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</si>
  <si>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</si>
  <si>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</si>
  <si>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</si>
  <si>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</si>
  <si>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</si>
  <si>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</si>
  <si>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</si>
  <si>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</si>
  <si>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</si>
  <si>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</si>
  <si>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</si>
  <si>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</si>
  <si>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</si>
  <si>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</si>
  <si>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</si>
  <si>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</si>
  <si>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</si>
  <si>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</si>
  <si>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</si>
  <si>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</si>
  <si>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</si>
  <si>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</si>
  <si>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</si>
  <si>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</si>
  <si>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</si>
  <si>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</si>
  <si>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</si>
  <si>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</si>
  <si>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</si>
  <si>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</si>
  <si>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</si>
  <si>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</si>
  <si>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</si>
  <si>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</si>
  <si>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</si>
  <si>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</si>
  <si>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</si>
  <si>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</si>
  <si>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</si>
  <si>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</si>
  <si>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</si>
  <si>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</si>
  <si>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</si>
  <si>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</si>
  <si>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</si>
  <si>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</si>
  <si>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</si>
  <si>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</si>
  <si>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</si>
  <si>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</si>
  <si>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</si>
  <si>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</si>
  <si>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</si>
  <si>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</si>
  <si>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</si>
  <si>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</si>
  <si>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</si>
  <si>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</si>
  <si>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</si>
  <si>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</si>
  <si>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</si>
  <si>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</si>
  <si>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</si>
  <si>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</si>
  <si>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</si>
  <si>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</si>
  <si>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</si>
  <si>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</si>
  <si>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</si>
  <si>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</si>
  <si>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</si>
  <si>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</si>
  <si>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</si>
  <si>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</si>
  <si>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</si>
  <si>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</si>
  <si>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</si>
  <si>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</si>
  <si>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</si>
  <si>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</si>
  <si>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</si>
  <si>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</si>
  <si>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</si>
  <si>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</si>
  <si>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</si>
  <si>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</si>
  <si>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</si>
  <si>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</si>
  <si>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</si>
  <si>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</si>
  <si>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</si>
  <si>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</si>
  <si>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</si>
  <si>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</si>
  <si>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</si>
  <si>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</si>
  <si>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</si>
  <si>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</si>
  <si>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</si>
  <si>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</si>
  <si>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</si>
  <si>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</si>
  <si>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</si>
  <si>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</si>
  <si>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</si>
  <si>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</si>
  <si>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</si>
  <si>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</si>
  <si>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</si>
  <si>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</si>
  <si>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</si>
  <si>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</si>
  <si>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</si>
  <si>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</si>
  <si>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</si>
  <si>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</si>
  <si>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</si>
  <si>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</si>
  <si>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</si>
  <si>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</si>
  <si>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</si>
  <si>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</si>
  <si>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</si>
  <si>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</si>
  <si>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</si>
  <si>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</si>
  <si>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</si>
  <si>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</si>
  <si>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</si>
  <si>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</si>
  <si>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</si>
  <si>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</si>
  <si>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</si>
  <si>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</si>
  <si>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</si>
  <si>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</si>
  <si>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</si>
  <si>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</si>
  <si>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</si>
  <si>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</si>
  <si>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</si>
  <si>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</si>
  <si>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</si>
  <si>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</si>
  <si>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</si>
  <si>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</si>
  <si>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</si>
  <si>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</si>
  <si>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</si>
  <si>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</si>
  <si>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</si>
  <si>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</si>
  <si>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</si>
  <si>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</si>
  <si>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</si>
  <si>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</si>
  <si>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</si>
  <si>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</si>
  <si>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</si>
  <si>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</si>
  <si>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</si>
  <si>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</si>
  <si>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</si>
  <si>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</si>
  <si>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</si>
  <si>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</si>
  <si>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</si>
  <si>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</si>
  <si>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</si>
  <si>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</si>
  <si>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</si>
  <si>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</si>
  <si>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</si>
  <si>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</si>
  <si>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</si>
  <si>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</si>
  <si>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</si>
  <si>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</si>
  <si>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</si>
  <si>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</si>
  <si>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</si>
  <si>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</si>
  <si>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</si>
  <si>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</si>
  <si>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</si>
  <si>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</si>
  <si>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</si>
  <si>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</si>
  <si>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</si>
  <si>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</si>
  <si>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</si>
  <si>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</si>
  <si>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</si>
  <si>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</si>
  <si>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</si>
  <si>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</si>
  <si>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</si>
  <si>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</si>
  <si>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</si>
  <si>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</si>
  <si>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</si>
  <si>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</si>
  <si>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</si>
  <si>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</si>
  <si>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</si>
  <si>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</si>
  <si>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</si>
  <si>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</si>
  <si>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</si>
  <si>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</si>
  <si>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</si>
  <si>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</si>
  <si>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</si>
  <si>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</si>
  <si>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</si>
  <si>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</si>
  <si>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</si>
  <si>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</si>
  <si>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</si>
  <si>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</si>
  <si>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</si>
  <si>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</si>
  <si>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</si>
  <si>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</si>
  <si>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</si>
  <si>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</si>
  <si>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</si>
  <si>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</si>
  <si>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</si>
  <si>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</si>
  <si>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</si>
  <si>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</si>
  <si>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</si>
  <si>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</si>
  <si>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</si>
  <si>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</si>
  <si>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</si>
  <si>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</si>
  <si>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</si>
  <si>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</si>
  <si>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</si>
  <si>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</si>
  <si>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</si>
  <si>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</si>
  <si>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</si>
  <si>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</si>
  <si>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</si>
  <si>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</si>
  <si>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</si>
  <si>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</si>
  <si>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</si>
  <si>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</si>
  <si>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</si>
  <si>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</si>
  <si>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</si>
  <si>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</si>
  <si>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</si>
  <si>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</si>
  <si>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</si>
  <si>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</si>
  <si>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</si>
  <si>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</si>
  <si>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</si>
  <si>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</si>
  <si>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</si>
  <si>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</si>
  <si>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</si>
  <si>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</si>
  <si>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</si>
  <si>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</si>
  <si>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</si>
  <si>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</si>
  <si>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</si>
  <si>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</si>
  <si>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</si>
  <si>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</si>
  <si>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</si>
  <si>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</si>
  <si>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</si>
  <si>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</si>
  <si>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</si>
  <si>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</si>
  <si>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</si>
  <si>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</si>
  <si>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</si>
  <si>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</si>
  <si>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</si>
  <si>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</si>
  <si>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</si>
  <si>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</si>
  <si>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</si>
  <si>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</si>
  <si>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</si>
  <si>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</si>
  <si>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</si>
  <si>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</si>
  <si>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</si>
  <si>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</si>
  <si>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</si>
  <si>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</si>
  <si>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</si>
  <si>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</si>
  <si>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</si>
  <si>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</si>
  <si>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</si>
  <si>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</si>
  <si>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</si>
  <si>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</si>
  <si>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</si>
  <si>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</si>
  <si>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</si>
  <si>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</si>
  <si>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</si>
  <si>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</si>
  <si>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</si>
  <si>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</si>
  <si>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</si>
  <si>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</si>
  <si>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</si>
  <si>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</si>
  <si>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</si>
  <si>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</si>
  <si>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</si>
  <si>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</si>
  <si>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</si>
  <si>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</si>
  <si>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</si>
  <si>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</si>
  <si>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</si>
  <si>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</si>
  <si>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</si>
  <si>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</si>
  <si>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</si>
  <si>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</si>
  <si>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</si>
  <si>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</si>
  <si>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</si>
  <si>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</si>
  <si>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</si>
  <si>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</si>
  <si>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</si>
  <si>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</si>
  <si>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</si>
  <si>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</si>
  <si>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</si>
  <si>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</si>
  <si>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</si>
  <si>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</si>
  <si>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</si>
  <si>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</si>
  <si>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</si>
  <si>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</si>
  <si>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</si>
  <si>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</si>
  <si>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</si>
  <si>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</si>
  <si>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</si>
  <si>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</si>
  <si>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</si>
  <si>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</si>
  <si>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</si>
  <si>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</si>
  <si>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</si>
  <si>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</si>
  <si>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</si>
  <si>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</si>
  <si>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</si>
  <si>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</si>
  <si>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</si>
  <si>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</si>
  <si>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</si>
  <si>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</si>
  <si>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</si>
  <si>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</si>
  <si>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</si>
  <si>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</si>
  <si>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</si>
  <si>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</si>
  <si>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</si>
  <si>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</si>
  <si>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</si>
  <si>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</si>
  <si>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</si>
  <si>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</si>
  <si>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</si>
  <si>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</si>
  <si>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</si>
  <si>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</si>
  <si>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</si>
  <si>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</si>
  <si>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</si>
  <si>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</si>
  <si>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</si>
  <si>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</si>
  <si>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</si>
  <si>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</si>
  <si>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</si>
  <si>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</si>
  <si>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</si>
  <si>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</si>
  <si>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</si>
  <si>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</si>
  <si>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</si>
  <si>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</si>
  <si>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</si>
  <si>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</si>
  <si>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</si>
  <si>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</si>
  <si>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</si>
  <si>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</si>
  <si>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</si>
  <si>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</si>
  <si>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</si>
  <si>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</si>
  <si>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</si>
  <si>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</si>
  <si>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</si>
  <si>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</si>
  <si>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</si>
  <si>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</si>
  <si>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</si>
  <si>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</si>
  <si>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</si>
  <si>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</si>
  <si>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</si>
  <si>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</si>
  <si>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</si>
  <si>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</si>
  <si>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</si>
  <si>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</si>
  <si>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</si>
  <si>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</si>
  <si>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</si>
  <si>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</si>
  <si>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</si>
  <si>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</si>
  <si>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</si>
  <si>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</si>
  <si>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</si>
  <si>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</si>
  <si>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</si>
  <si>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</si>
  <si>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</si>
  <si>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</si>
  <si>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</si>
  <si>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</si>
  <si>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</si>
  <si>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</si>
  <si>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</si>
  <si>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</si>
  <si>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</si>
  <si>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</si>
  <si>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</si>
  <si>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</si>
  <si>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</si>
  <si>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</si>
  <si>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</si>
  <si>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</si>
  <si>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</si>
  <si>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</si>
  <si>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</si>
  <si>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</si>
  <si>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</si>
  <si>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</si>
  <si>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</si>
  <si>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</si>
  <si>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</si>
  <si>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</si>
  <si>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</si>
  <si>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</si>
  <si>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</si>
  <si>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</si>
  <si>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</si>
  <si>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</si>
  <si>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</si>
  <si>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</si>
  <si>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</si>
  <si>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</si>
  <si>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</si>
  <si>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</si>
  <si>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</si>
  <si>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</si>
  <si>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</si>
  <si>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</si>
  <si>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</si>
  <si>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</si>
  <si>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</si>
  <si>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</si>
  <si>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</si>
  <si>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</si>
  <si>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</si>
  <si>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</si>
  <si>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</si>
  <si>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</si>
  <si>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</si>
  <si>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</si>
  <si>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</si>
  <si>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</si>
  <si>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</si>
  <si>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</si>
  <si>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</si>
  <si>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</si>
  <si>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</si>
  <si>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</si>
  <si>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</si>
  <si>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</si>
  <si>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</si>
  <si>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</si>
  <si>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</si>
  <si>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</si>
  <si>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</si>
  <si>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</si>
  <si>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</si>
  <si>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</si>
  <si>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</si>
  <si>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</si>
  <si>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</si>
  <si>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</si>
  <si>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</si>
  <si>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</si>
  <si>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</si>
  <si>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</si>
  <si>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</si>
  <si>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</si>
  <si>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</si>
  <si>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</si>
  <si>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</si>
  <si>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</si>
  <si>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</si>
  <si>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</si>
  <si>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</si>
  <si>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</si>
  <si>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</si>
  <si>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</si>
  <si>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</si>
  <si>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</si>
  <si>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</si>
  <si>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</si>
  <si>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</si>
  <si>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</si>
  <si>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</si>
  <si>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</si>
  <si>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</si>
  <si>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</si>
  <si>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</si>
  <si>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</si>
  <si>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</si>
  <si>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</si>
  <si>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</si>
  <si>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</si>
  <si>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</si>
  <si>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</si>
  <si>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</si>
  <si>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</si>
  <si>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</si>
  <si>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</si>
  <si>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</si>
  <si>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</si>
  <si>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</si>
  <si>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</si>
  <si>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</si>
  <si>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</si>
  <si>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</si>
  <si>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</si>
  <si>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</si>
  <si>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</si>
  <si>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</si>
  <si>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</si>
  <si>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</si>
  <si>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</si>
  <si>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</si>
  <si>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</si>
  <si>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</si>
  <si>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</si>
  <si>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</si>
  <si>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</si>
  <si>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</si>
  <si>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</si>
  <si>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</si>
  <si>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</si>
  <si>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</si>
  <si>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</si>
  <si>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</si>
  <si>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</si>
  <si>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</si>
  <si>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</si>
  <si>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</si>
  <si>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</si>
  <si>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</si>
  <si>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</si>
  <si>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</si>
  <si>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</si>
  <si>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</si>
  <si>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</si>
  <si>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</si>
  <si>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</si>
  <si>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</si>
  <si>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</si>
  <si>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</si>
  <si>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</si>
  <si>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</si>
  <si>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</si>
  <si>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</si>
  <si>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</si>
  <si>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</si>
  <si>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</si>
  <si>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</si>
  <si>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</si>
  <si>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</si>
  <si>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</si>
  <si>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</si>
  <si>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</si>
  <si>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</si>
  <si>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</si>
  <si>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</si>
  <si>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</si>
  <si>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</si>
  <si>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</si>
  <si>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</si>
  <si>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</si>
  <si>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</si>
  <si>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</si>
  <si>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</si>
  <si>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</si>
  <si>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</si>
  <si>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</si>
  <si>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</si>
  <si>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</si>
  <si>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</si>
  <si>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</si>
  <si>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</si>
  <si>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</si>
  <si>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</si>
  <si>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</si>
  <si>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</si>
  <si>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</si>
  <si>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</si>
  <si>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</si>
  <si>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</si>
  <si>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</si>
  <si>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</si>
  <si>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</si>
  <si>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</si>
  <si>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</si>
  <si>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</si>
  <si>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</si>
  <si>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</si>
  <si>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</si>
  <si>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</si>
  <si>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</si>
  <si>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</si>
  <si>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</si>
  <si>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</si>
  <si>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</si>
  <si>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</si>
  <si>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</si>
  <si>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</si>
  <si>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</si>
  <si>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</si>
  <si>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</si>
  <si>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</si>
  <si>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</si>
  <si>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</si>
  <si>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</si>
  <si>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</si>
  <si>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</si>
  <si>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</si>
  <si>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</si>
  <si>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</si>
  <si>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</si>
  <si>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</si>
  <si>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</si>
  <si>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</si>
  <si>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</si>
  <si>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</si>
  <si>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</si>
  <si>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</si>
  <si>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</si>
  <si>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</si>
  <si>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</si>
  <si>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</si>
  <si>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</si>
  <si>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</si>
  <si>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</si>
  <si>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</si>
  <si>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</si>
  <si>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</si>
  <si>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</si>
  <si>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</si>
  <si>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</si>
  <si>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</si>
  <si>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</si>
  <si>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</si>
  <si>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</si>
  <si>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</si>
  <si>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</si>
  <si>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</si>
  <si>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</si>
  <si>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</si>
  <si>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</si>
  <si>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</si>
  <si>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</si>
  <si>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</si>
  <si>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</si>
  <si>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</si>
  <si>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</si>
  <si>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</si>
  <si>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</si>
  <si>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</si>
  <si>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</si>
  <si>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</si>
  <si>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</si>
  <si>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</si>
  <si>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</si>
  <si>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</si>
  <si>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</si>
  <si>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</si>
  <si>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</si>
  <si>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</si>
  <si>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</si>
  <si>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</si>
  <si>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</si>
  <si>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</si>
  <si>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</si>
  <si>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</si>
  <si>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</si>
  <si>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</si>
  <si>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</si>
  <si>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</si>
  <si>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</si>
  <si>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</si>
  <si>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</si>
  <si>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</si>
  <si>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</si>
  <si>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</si>
  <si>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</si>
  <si>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</si>
  <si>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</si>
  <si>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</si>
  <si>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</si>
  <si>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</si>
  <si>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</si>
  <si>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</si>
  <si>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</si>
  <si>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</si>
  <si>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</si>
  <si>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</si>
  <si>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</si>
  <si>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</si>
  <si>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</si>
  <si>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</si>
  <si>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</si>
  <si>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</si>
  <si>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</si>
  <si>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</si>
  <si>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</si>
  <si>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</si>
  <si>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</si>
  <si>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</si>
  <si>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</si>
  <si>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</si>
  <si>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</si>
  <si>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</si>
  <si>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</si>
  <si>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</si>
  <si>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</si>
  <si>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</si>
  <si>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</si>
  <si>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</si>
  <si>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</si>
  <si>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</si>
  <si>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</si>
  <si>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</si>
  <si>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</si>
  <si>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</si>
  <si>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</si>
  <si>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</si>
  <si>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</si>
  <si>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</si>
  <si>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</si>
  <si>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</si>
  <si>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</si>
  <si>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</si>
  <si>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</si>
  <si>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</si>
  <si>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</si>
  <si>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</si>
  <si>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</si>
  <si>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</si>
  <si>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</si>
  <si>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</si>
  <si>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</si>
  <si>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</si>
  <si>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</si>
  <si>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</si>
  <si>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</si>
  <si>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</si>
  <si>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</si>
  <si>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</si>
  <si>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</si>
  <si>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</si>
  <si>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</si>
  <si>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</si>
  <si>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</si>
  <si>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</si>
  <si>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</si>
  <si>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</si>
  <si>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</si>
  <si>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</si>
  <si>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</si>
  <si>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</si>
  <si>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</si>
  <si>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</si>
  <si>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</si>
  <si>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</si>
  <si>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</si>
  <si>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</si>
  <si>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</si>
  <si>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</si>
  <si>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</si>
  <si>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</si>
  <si>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</si>
  <si>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</si>
  <si>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</si>
  <si>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</si>
  <si>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</si>
  <si>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</si>
  <si>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</si>
  <si>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</si>
  <si>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</si>
  <si>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</si>
  <si>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</si>
  <si>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</si>
  <si>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</si>
  <si>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</si>
  <si>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</si>
  <si>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</si>
  <si>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</si>
  <si>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</si>
  <si>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</si>
  <si>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</si>
  <si>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</si>
  <si>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</si>
  <si>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</si>
  <si>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</si>
  <si>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</si>
  <si>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</si>
  <si>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</si>
  <si>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</si>
  <si>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</si>
  <si>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</si>
  <si>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</si>
  <si>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</si>
  <si>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</si>
  <si>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</si>
  <si>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</si>
  <si>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</si>
  <si>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</si>
  <si>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</si>
  <si>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</si>
  <si>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</si>
  <si>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</si>
  <si>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</si>
  <si>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</si>
  <si>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</si>
  <si>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</si>
  <si>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</si>
  <si>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</si>
  <si>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</si>
  <si>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</si>
  <si>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</si>
  <si>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</si>
  <si>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</si>
  <si>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</si>
  <si>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</si>
  <si>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</si>
  <si>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</si>
  <si>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</si>
  <si>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</si>
  <si>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</si>
  <si>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</si>
  <si>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</si>
  <si>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</si>
  <si>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</si>
  <si>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</si>
  <si>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</si>
  <si>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</si>
  <si>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</si>
  <si>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</si>
  <si>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</si>
  <si>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</si>
  <si>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</si>
  <si>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</si>
  <si>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</si>
  <si>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</si>
  <si>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</si>
  <si>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</si>
  <si>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</si>
  <si>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</si>
  <si>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</si>
  <si>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</si>
  <si>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</si>
  <si>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</si>
  <si>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</si>
  <si>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</si>
  <si>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</si>
  <si>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</si>
  <si>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</si>
  <si>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</si>
  <si>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</si>
  <si>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</si>
  <si>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</si>
  <si>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</si>
  <si>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</si>
  <si>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</si>
  <si>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</si>
  <si>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</si>
  <si>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</si>
  <si>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</si>
  <si>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</si>
  <si>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</si>
  <si>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</si>
  <si>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</si>
  <si>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</si>
  <si>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</si>
  <si>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</si>
  <si>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</si>
  <si>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</si>
  <si>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</si>
  <si>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</si>
  <si>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</si>
  <si>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</si>
  <si>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</si>
  <si>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</si>
  <si>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</si>
  <si>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</si>
  <si>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</si>
  <si>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</si>
  <si>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</si>
  <si>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</si>
  <si>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</si>
  <si>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</si>
  <si>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</si>
  <si>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</si>
  <si>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</si>
  <si>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</si>
  <si>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</si>
  <si>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</si>
  <si>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</si>
  <si>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</si>
  <si>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</si>
  <si>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</si>
  <si>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</si>
  <si>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</si>
  <si>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</si>
  <si>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</si>
  <si>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</si>
  <si>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</si>
  <si>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</si>
  <si>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</si>
  <si>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</si>
  <si>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</si>
  <si>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</si>
  <si>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</si>
  <si>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</si>
  <si>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</si>
  <si>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</si>
  <si>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</si>
  <si>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</si>
  <si>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</si>
  <si>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</si>
  <si>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</si>
  <si>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</si>
  <si>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</si>
  <si>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</si>
  <si>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</si>
  <si>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</si>
  <si>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</si>
  <si>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</si>
  <si>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</si>
  <si>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</si>
  <si>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</si>
  <si>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</si>
  <si>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</si>
  <si>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</si>
  <si>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</si>
  <si>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</si>
  <si>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</si>
  <si>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</si>
  <si>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</si>
  <si>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</si>
  <si>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</si>
  <si>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</si>
  <si>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</si>
  <si>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</si>
  <si>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</si>
  <si>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</si>
  <si>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</si>
  <si>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</si>
  <si>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</si>
  <si>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</si>
  <si>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</si>
  <si>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</si>
  <si>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</si>
  <si>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</si>
  <si>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</si>
  <si>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</si>
  <si>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</si>
  <si>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</si>
  <si>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</si>
  <si>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</si>
  <si>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</si>
  <si>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</si>
  <si>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</si>
  <si>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</si>
  <si>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</si>
  <si>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</si>
  <si>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</si>
  <si>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</si>
  <si>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</si>
  <si>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</si>
  <si>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</si>
  <si>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</si>
  <si>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</si>
  <si>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</si>
  <si>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</si>
  <si>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</si>
  <si>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</si>
  <si>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</si>
  <si>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</si>
  <si>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</si>
  <si>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</si>
  <si>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</si>
  <si>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</si>
  <si>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</si>
  <si>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</si>
  <si>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</si>
  <si>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</si>
  <si>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</si>
  <si>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</si>
  <si>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</si>
  <si>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</si>
  <si>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</si>
  <si>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</si>
  <si>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</si>
  <si>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</si>
  <si>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</si>
  <si>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</si>
  <si>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</si>
  <si>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</si>
  <si>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</si>
  <si>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</si>
  <si>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</si>
  <si>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</si>
  <si>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</si>
  <si>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</si>
  <si>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</si>
  <si>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</si>
  <si>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</si>
  <si>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</si>
  <si>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</si>
  <si>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</si>
  <si>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</si>
  <si>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</si>
  <si>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</si>
  <si>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</si>
  <si>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</si>
  <si>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</si>
  <si>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</si>
  <si>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</si>
  <si>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</si>
  <si>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</si>
  <si>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</si>
  <si>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</si>
  <si>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</si>
  <si>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</si>
  <si>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</si>
  <si>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</si>
  <si>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</si>
  <si>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</si>
  <si>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</si>
  <si>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</si>
  <si>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</si>
  <si>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</si>
  <si>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</si>
  <si>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</si>
  <si>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</si>
  <si>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</si>
  <si>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</si>
  <si>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</si>
  <si>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</si>
  <si>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</si>
  <si>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</si>
  <si>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</si>
  <si>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</si>
  <si>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</si>
  <si>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</si>
  <si>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</si>
  <si>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</si>
  <si>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</si>
  <si>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</si>
  <si>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</si>
  <si>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</si>
  <si>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</si>
  <si>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</si>
  <si>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</si>
  <si>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</si>
  <si>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</si>
  <si>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</si>
  <si>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</si>
  <si>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</si>
  <si>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</si>
  <si>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</si>
  <si>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</si>
  <si>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</si>
  <si>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</si>
  <si>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</si>
  <si>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</si>
  <si>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</si>
  <si>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</si>
  <si>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</si>
  <si>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</si>
  <si>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</si>
  <si>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</si>
  <si>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</si>
  <si>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</si>
  <si>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</si>
  <si>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</si>
  <si>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</si>
  <si>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</si>
  <si>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</si>
  <si>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</si>
  <si>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</si>
  <si>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</si>
  <si>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</si>
  <si>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</si>
  <si>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</si>
  <si>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</si>
  <si>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</si>
  <si>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</si>
  <si>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</si>
  <si>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</si>
  <si>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</si>
  <si>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</si>
  <si>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</si>
  <si>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</si>
  <si>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</si>
  <si>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</si>
  <si>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</si>
  <si>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</si>
  <si>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</si>
  <si>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</si>
  <si>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</si>
  <si>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</si>
  <si>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</si>
  <si>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</si>
  <si>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</si>
  <si>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</si>
  <si>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</si>
  <si>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</si>
  <si>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</si>
  <si>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</si>
  <si>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</si>
  <si>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</si>
  <si>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</si>
  <si>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</si>
  <si>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</si>
  <si>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</si>
  <si>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</si>
  <si>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</si>
  <si>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</si>
  <si>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</si>
  <si>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</si>
  <si>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</si>
  <si>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</si>
  <si>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</si>
  <si>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</si>
  <si>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</si>
  <si>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</si>
  <si>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</si>
  <si>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</si>
  <si>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</si>
  <si>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</si>
  <si>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</si>
  <si>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</si>
  <si>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</si>
  <si>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</si>
  <si>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</si>
  <si>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</si>
  <si>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</si>
  <si>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</si>
  <si>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</si>
  <si>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</si>
  <si>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</si>
  <si>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</si>
  <si>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</si>
  <si>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</si>
  <si>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</si>
  <si>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</si>
  <si>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</si>
  <si>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</si>
  <si>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</si>
  <si>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</si>
  <si>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</si>
  <si>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</si>
  <si>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</si>
  <si>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</si>
  <si>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</si>
  <si>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</si>
  <si>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</si>
  <si>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</si>
  <si>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</si>
  <si>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</si>
  <si>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</si>
  <si>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</si>
  <si>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</si>
  <si>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</si>
  <si>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</si>
  <si>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</si>
  <si>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</si>
  <si>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</si>
  <si>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</si>
  <si>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</si>
  <si>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</si>
  <si>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</si>
  <si>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</si>
  <si>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</si>
  <si>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</si>
  <si>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</si>
  <si>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</si>
  <si>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</si>
  <si>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</si>
  <si>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</si>
  <si>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</si>
  <si>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</si>
  <si>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</si>
  <si>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</si>
  <si>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</si>
  <si>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</si>
  <si>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</si>
  <si>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</si>
  <si>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</si>
  <si>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</si>
  <si>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</si>
  <si>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</si>
  <si>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</si>
  <si>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</si>
  <si>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</si>
  <si>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</si>
  <si>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</si>
  <si>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</si>
  <si>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</si>
  <si>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</si>
  <si>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</si>
  <si>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</si>
  <si>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</si>
  <si>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</si>
  <si>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</si>
  <si>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</si>
  <si>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</si>
  <si>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</si>
  <si>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</si>
  <si>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</si>
  <si>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</si>
  <si>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</si>
  <si>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</si>
  <si>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</si>
  <si>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</si>
  <si>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</si>
  <si>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</si>
  <si>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</si>
  <si>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</si>
  <si>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</si>
  <si>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</si>
  <si>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</si>
  <si>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</si>
  <si>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</si>
  <si>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</si>
  <si>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</si>
  <si>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</si>
  <si>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</si>
  <si>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</si>
  <si>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</si>
  <si>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</si>
  <si>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</si>
  <si>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</si>
  <si>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</si>
  <si>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</si>
  <si>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</si>
  <si>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</si>
  <si>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</si>
  <si>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</si>
  <si>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</si>
  <si>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</si>
  <si>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</si>
  <si>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</si>
  <si>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</si>
  <si>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</si>
  <si>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</si>
  <si>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</si>
  <si>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</si>
  <si>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</si>
  <si>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</si>
  <si>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</si>
  <si>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</si>
  <si>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</si>
  <si>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</si>
  <si>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</si>
  <si>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</si>
  <si>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</si>
  <si>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</si>
  <si>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</si>
  <si>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</si>
  <si>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</si>
  <si>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</si>
  <si>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</si>
  <si>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</si>
  <si>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</si>
  <si>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</si>
  <si>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</si>
  <si>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</si>
  <si>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</si>
  <si>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</si>
  <si>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</si>
  <si>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</si>
  <si>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</si>
  <si>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</si>
  <si>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</si>
  <si>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</si>
  <si>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</si>
  <si>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</si>
  <si>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</si>
  <si>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</si>
  <si>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</si>
  <si>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</si>
  <si>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</si>
  <si>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</si>
  <si>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</si>
  <si>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</si>
  <si>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</si>
  <si>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</si>
  <si>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</si>
  <si>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</si>
  <si>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</si>
  <si>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</si>
  <si>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</si>
  <si>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</si>
  <si>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</si>
  <si>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</si>
  <si>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</si>
  <si>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</si>
  <si>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</si>
  <si>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</si>
  <si>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</si>
  <si>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</si>
  <si>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</si>
  <si>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</si>
  <si>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</si>
  <si>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</si>
  <si>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</si>
  <si>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</si>
  <si>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</si>
  <si>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</si>
  <si>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</si>
  <si>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</si>
  <si>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</si>
  <si>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</si>
  <si>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</si>
  <si>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</si>
  <si>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</si>
  <si>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</si>
  <si>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</si>
  <si>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</si>
  <si>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</si>
  <si>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</si>
  <si>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</si>
  <si>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</si>
  <si>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</si>
  <si>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</si>
  <si>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</si>
  <si>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</si>
  <si>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</si>
  <si>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</si>
  <si>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</si>
  <si>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</si>
  <si>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</si>
  <si>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</si>
  <si>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</si>
  <si>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</si>
  <si>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</si>
  <si>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</si>
  <si>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</si>
  <si>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</si>
  <si>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</si>
  <si>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</si>
  <si>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</si>
  <si>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</si>
  <si>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</si>
  <si>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</si>
  <si>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</si>
  <si>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</si>
  <si>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</si>
  <si>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</si>
  <si>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</si>
  <si>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</si>
  <si>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</si>
  <si>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</si>
  <si>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</si>
  <si>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</si>
  <si>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</si>
  <si>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</si>
  <si>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</si>
  <si>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</si>
  <si>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</si>
  <si>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</si>
  <si>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</si>
  <si>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</si>
  <si>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</si>
  <si>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</si>
  <si>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</si>
  <si>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</si>
  <si>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</si>
  <si>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</si>
  <si>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</si>
  <si>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</si>
  <si>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</si>
  <si>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</si>
  <si>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</si>
  <si>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</si>
  <si>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</si>
  <si>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</si>
  <si>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</si>
  <si>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</si>
  <si>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</si>
  <si>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</si>
  <si>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</si>
  <si>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</si>
  <si>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</si>
  <si>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</si>
  <si>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</si>
  <si>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</si>
  <si>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</si>
  <si>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</si>
  <si>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</si>
  <si>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</si>
  <si>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</si>
  <si>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</si>
  <si>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</si>
  <si>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</si>
  <si>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</si>
  <si>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</si>
  <si>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</si>
  <si>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</si>
  <si>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</si>
  <si>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</si>
  <si>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</si>
  <si>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</si>
  <si>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</si>
  <si>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</si>
  <si>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</si>
  <si>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</si>
  <si>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</si>
  <si>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</si>
  <si>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</si>
  <si>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</si>
  <si>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</si>
  <si>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</si>
  <si>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</si>
  <si>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</si>
  <si>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</si>
  <si>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</si>
  <si>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</si>
  <si>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</si>
  <si>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</si>
  <si>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</si>
  <si>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</si>
  <si>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</si>
  <si>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</si>
  <si>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</si>
  <si>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</si>
  <si>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</si>
  <si>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</si>
  <si>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</si>
  <si>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</si>
  <si>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</si>
  <si>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</si>
  <si>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</si>
  <si>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</si>
  <si>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</si>
  <si>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</si>
  <si>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</si>
  <si>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</si>
  <si>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</si>
  <si>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</si>
  <si>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</si>
  <si>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</si>
  <si>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</si>
  <si>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</si>
  <si>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</si>
  <si>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</si>
  <si>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</si>
  <si>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</si>
  <si>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</si>
  <si>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</si>
  <si>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</si>
  <si>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</si>
  <si>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</si>
  <si>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</si>
  <si>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</si>
  <si>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</si>
  <si>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</si>
  <si>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</si>
  <si>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</si>
  <si>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</si>
  <si>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</si>
  <si>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</si>
  <si>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</si>
  <si>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</si>
  <si>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</si>
  <si>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</si>
  <si>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</si>
  <si>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</si>
  <si>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</si>
  <si>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</si>
  <si>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</si>
  <si>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</si>
  <si>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</si>
  <si>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</si>
  <si>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</si>
  <si>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</si>
  <si>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</si>
  <si>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</si>
  <si>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</si>
  <si>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</si>
  <si>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</si>
  <si>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</si>
  <si>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</si>
  <si>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</si>
  <si>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</si>
  <si>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</si>
  <si>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</si>
  <si>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</si>
  <si>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</si>
  <si>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</si>
  <si>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</si>
  <si>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</si>
  <si>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</si>
  <si>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</si>
  <si>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</si>
  <si>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</si>
  <si>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</si>
  <si>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</si>
  <si>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</si>
  <si>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</si>
  <si>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</si>
  <si>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</si>
  <si>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</si>
  <si>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</si>
  <si>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</si>
  <si>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</si>
  <si>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</si>
  <si>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</si>
  <si>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</si>
  <si>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</si>
  <si>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</si>
  <si>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</si>
  <si>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</si>
  <si>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</si>
  <si>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</si>
  <si>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</si>
  <si>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</si>
  <si>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</si>
  <si>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</si>
  <si>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</si>
  <si>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</si>
  <si>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</si>
  <si>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</si>
  <si>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</si>
  <si>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</si>
  <si>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</si>
  <si>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</si>
  <si>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</si>
  <si>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</si>
  <si>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</si>
  <si>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</si>
  <si>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</si>
  <si>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</si>
  <si>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</si>
  <si>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</si>
  <si>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</si>
  <si>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</si>
  <si>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</si>
  <si>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</si>
  <si>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</si>
  <si>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</si>
  <si>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</si>
  <si>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</si>
  <si>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</si>
  <si>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</si>
  <si>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</si>
  <si>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</si>
  <si>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</si>
  <si>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</si>
  <si>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</si>
  <si>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</si>
  <si>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</si>
  <si>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</si>
  <si>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</si>
  <si>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</si>
  <si>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</si>
  <si>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</si>
  <si>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</si>
  <si>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</si>
  <si>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</si>
  <si>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</si>
  <si>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</si>
  <si>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</si>
  <si>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</si>
  <si>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</si>
  <si>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</si>
  <si>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</si>
  <si>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</si>
  <si>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</si>
  <si>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</si>
  <si>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</si>
  <si>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</si>
  <si>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</si>
  <si>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</si>
  <si>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</si>
  <si>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</si>
  <si>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</si>
  <si>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</si>
  <si>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</si>
  <si>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</si>
  <si>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</si>
  <si>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</si>
  <si>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</si>
  <si>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</si>
  <si>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</si>
  <si>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</si>
  <si>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</si>
  <si>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</si>
  <si>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</si>
  <si>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</si>
  <si>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</si>
  <si>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</si>
  <si>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</si>
  <si>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</si>
  <si>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</si>
  <si>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</si>
  <si>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</si>
  <si>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</si>
  <si>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</si>
  <si>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</si>
  <si>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</si>
  <si>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</si>
  <si>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</si>
  <si>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</si>
  <si>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</si>
  <si>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</si>
  <si>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</si>
  <si>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</si>
  <si>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</si>
  <si>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</si>
  <si>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</si>
  <si>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</si>
  <si>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</si>
  <si>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</si>
  <si>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</si>
  <si>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</si>
  <si>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</si>
  <si>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</si>
  <si>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</si>
  <si>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</si>
  <si>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</si>
  <si>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</si>
  <si>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</si>
  <si>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</si>
  <si>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</si>
  <si>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</si>
  <si>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</si>
  <si>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</si>
  <si>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</si>
  <si>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</si>
  <si>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</si>
  <si>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</si>
  <si>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</si>
  <si>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</si>
  <si>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</si>
  <si>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</si>
  <si>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</si>
  <si>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</si>
  <si>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</si>
  <si>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</si>
  <si>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</si>
  <si>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</si>
  <si>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</si>
  <si>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</si>
  <si>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</si>
  <si>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</si>
  <si>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</si>
  <si>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</si>
  <si>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</si>
  <si>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</si>
  <si>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</si>
  <si>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</si>
  <si>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</si>
  <si>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</si>
  <si>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</si>
  <si>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</si>
  <si>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</si>
  <si>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</si>
  <si>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</si>
  <si>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</si>
  <si>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</si>
  <si>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</si>
  <si>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</si>
  <si>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</si>
  <si>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</si>
  <si>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</si>
  <si>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</si>
  <si>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</si>
  <si>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</si>
  <si>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</si>
  <si>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</si>
  <si>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</si>
  <si>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</si>
  <si>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</si>
  <si>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</si>
  <si>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</si>
  <si>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</si>
  <si>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</si>
  <si>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</si>
  <si>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</si>
  <si>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</si>
  <si>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</si>
  <si>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</si>
  <si>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</si>
  <si>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</si>
  <si>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</si>
  <si>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</si>
  <si>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</si>
  <si>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</si>
  <si>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</si>
  <si>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</si>
  <si>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</si>
  <si>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</si>
  <si>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</si>
  <si>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</si>
  <si>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</si>
  <si>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</si>
  <si>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</si>
  <si>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</si>
  <si>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</si>
  <si>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</si>
  <si>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</si>
  <si>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</si>
  <si>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</si>
  <si>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</si>
  <si>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</si>
  <si>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</si>
  <si>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</si>
  <si>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</si>
  <si>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</si>
  <si>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</si>
  <si>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</si>
  <si>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</si>
  <si>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</si>
  <si>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</si>
  <si>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</si>
  <si>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</si>
  <si>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</si>
  <si>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</si>
  <si>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</si>
  <si>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</si>
  <si>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</si>
  <si>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</si>
  <si>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</si>
  <si>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</si>
  <si>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</si>
  <si>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</si>
  <si>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</si>
  <si>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</si>
  <si>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</si>
  <si>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</si>
  <si>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</si>
  <si>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</si>
  <si>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</si>
  <si>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</si>
  <si>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</si>
  <si>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</si>
  <si>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</si>
  <si>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</si>
  <si>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</si>
  <si>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</si>
  <si>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</si>
  <si>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</si>
  <si>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</si>
  <si>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</si>
  <si>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</si>
  <si>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</si>
  <si>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</si>
  <si>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</si>
  <si>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</si>
  <si>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</si>
  <si>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</si>
  <si>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</si>
  <si>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</si>
  <si>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</si>
  <si>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</si>
  <si>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</si>
  <si>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</si>
  <si>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</si>
  <si>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</si>
  <si>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</si>
  <si>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</si>
  <si>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</si>
  <si>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</si>
  <si>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</si>
  <si>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</si>
  <si>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</si>
  <si>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</si>
  <si>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</si>
  <si>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</si>
  <si>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</si>
  <si>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</si>
  <si>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</si>
  <si>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</si>
  <si>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</si>
  <si>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</si>
  <si>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</si>
  <si>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</si>
  <si>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</si>
  <si>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</si>
  <si>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</si>
  <si>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</si>
  <si>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</si>
  <si>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</si>
  <si>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</si>
  <si>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</si>
  <si>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</si>
  <si>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</si>
  <si>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</si>
  <si>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</si>
  <si>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</si>
  <si>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</si>
  <si>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</si>
  <si>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</si>
  <si>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</si>
  <si>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</si>
  <si>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</si>
  <si>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</si>
  <si>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</si>
  <si>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</si>
  <si>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</si>
  <si>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</si>
  <si>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</si>
  <si>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</si>
  <si>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</si>
  <si>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</si>
  <si>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</si>
  <si>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</si>
  <si>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</si>
  <si>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</si>
  <si>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</si>
  <si>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</si>
  <si>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</si>
  <si>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</si>
  <si>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</si>
  <si>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</si>
  <si>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</si>
  <si>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</si>
  <si>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</si>
  <si>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</si>
  <si>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</si>
  <si>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</si>
  <si>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</si>
  <si>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</si>
  <si>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</si>
  <si>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</si>
  <si>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</si>
  <si>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</si>
  <si>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</si>
  <si>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</si>
  <si>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</si>
  <si>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</si>
  <si>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</si>
  <si>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</si>
  <si>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</si>
  <si>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</si>
  <si>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</si>
  <si>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</si>
  <si>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</si>
  <si>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</si>
  <si>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</si>
  <si>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</si>
  <si>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</si>
  <si>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</si>
  <si>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</si>
  <si>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</si>
  <si>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</si>
  <si>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</si>
  <si>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</si>
  <si>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</si>
  <si>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</si>
  <si>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</si>
  <si>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</si>
  <si>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</si>
  <si>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</si>
  <si>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</si>
  <si>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</si>
  <si>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</si>
  <si>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</si>
  <si>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</si>
  <si>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</si>
  <si>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</si>
  <si>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</si>
  <si>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</si>
  <si>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</si>
  <si>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</si>
  <si>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</si>
  <si>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</si>
  <si>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</si>
  <si>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</si>
  <si>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</si>
  <si>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</si>
  <si>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</si>
  <si>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</si>
  <si>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</si>
  <si>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</si>
  <si>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</si>
  <si>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</si>
  <si>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</si>
  <si>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</si>
  <si>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</si>
  <si>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</si>
  <si>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</si>
  <si>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</si>
  <si>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</si>
  <si>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</si>
  <si>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</si>
  <si>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</si>
  <si>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</si>
  <si>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</si>
  <si>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</si>
  <si>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</si>
  <si>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</si>
  <si>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</si>
  <si>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</si>
  <si>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</si>
  <si>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</si>
  <si>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</si>
  <si>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</si>
  <si>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</si>
  <si>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</si>
  <si>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</si>
  <si>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</si>
  <si>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</si>
  <si>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</si>
  <si>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</si>
  <si>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</si>
  <si>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</si>
  <si>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</si>
  <si>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</si>
  <si>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</si>
  <si>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</si>
  <si>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</si>
  <si>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</si>
  <si>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</si>
  <si>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</si>
  <si>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</si>
  <si>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</si>
  <si>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</si>
  <si>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</si>
  <si>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</si>
  <si>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</si>
  <si>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</si>
  <si>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</si>
  <si>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</si>
  <si>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</si>
  <si>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</si>
  <si>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</si>
  <si>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</si>
  <si>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</si>
  <si>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</si>
  <si>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</si>
  <si>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</si>
  <si>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</si>
  <si>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</si>
  <si>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</si>
  <si>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</si>
  <si>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</si>
  <si>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</si>
  <si>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</si>
  <si>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</si>
  <si>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</si>
  <si>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</si>
  <si>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</si>
  <si>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</si>
  <si>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</si>
  <si>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</si>
  <si>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</si>
  <si>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</si>
  <si>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</si>
  <si>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</si>
  <si>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</si>
  <si>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</si>
  <si>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</si>
  <si>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</si>
  <si>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</si>
  <si>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</si>
  <si>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</si>
  <si>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</si>
  <si>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</si>
  <si>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</si>
  <si>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</si>
  <si>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</si>
  <si>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</si>
  <si>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</si>
  <si>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</si>
  <si>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</si>
  <si>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</si>
  <si>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</si>
  <si>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</si>
  <si>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</si>
  <si>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</si>
  <si>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</si>
  <si>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</si>
  <si>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</si>
  <si>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</si>
  <si>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</si>
  <si>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</si>
  <si>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</si>
  <si>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</si>
  <si>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</si>
  <si>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</si>
  <si>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</si>
  <si>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</si>
  <si>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</si>
  <si>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</si>
  <si>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</si>
  <si>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</si>
  <si>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</si>
  <si>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</si>
  <si>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</si>
  <si>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</si>
  <si>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</si>
  <si>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</si>
  <si>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</si>
  <si>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</si>
  <si>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</si>
  <si>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</si>
  <si>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</si>
  <si>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</si>
  <si>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</si>
  <si>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</si>
  <si>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</si>
  <si>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</si>
  <si>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</si>
  <si>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</si>
  <si>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</si>
  <si>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</si>
  <si>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</si>
  <si>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</si>
  <si>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</si>
  <si>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</si>
  <si>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</si>
  <si>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</si>
  <si>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</si>
  <si>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</si>
  <si>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</si>
  <si>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</si>
  <si>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</si>
  <si>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</si>
  <si>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</si>
  <si>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</si>
  <si>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</si>
  <si>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</si>
  <si>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</si>
  <si>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</si>
  <si>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</si>
  <si>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</si>
  <si>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</si>
  <si>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</si>
  <si>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</si>
  <si>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</si>
  <si>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</si>
  <si>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</si>
  <si>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</si>
  <si>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</si>
  <si>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</si>
  <si>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</si>
  <si>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</si>
  <si>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</si>
  <si>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</si>
  <si>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</si>
  <si>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</si>
  <si>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</si>
  <si>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</si>
  <si>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</si>
  <si>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</si>
  <si>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</si>
  <si>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</si>
  <si>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</si>
  <si>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</si>
  <si>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</si>
  <si>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</si>
  <si>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</si>
  <si>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</si>
  <si>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</si>
  <si>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</si>
  <si>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</si>
  <si>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</si>
  <si>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</si>
  <si>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</si>
  <si>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</si>
  <si>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</si>
  <si>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</si>
  <si>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</si>
  <si>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</si>
  <si>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</si>
  <si>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</si>
  <si>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</si>
  <si>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</si>
  <si>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</si>
  <si>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</si>
  <si>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</si>
  <si>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</si>
  <si>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</si>
  <si>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</si>
  <si>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</si>
  <si>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</si>
  <si>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</si>
  <si>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</si>
  <si>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</si>
  <si>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</si>
  <si>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</si>
  <si>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</si>
  <si>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</si>
  <si>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</si>
  <si>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</si>
  <si>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</si>
  <si>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</si>
  <si>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</si>
  <si>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</si>
  <si>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</si>
  <si>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</si>
  <si>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</si>
  <si>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</si>
  <si>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</si>
  <si>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</si>
  <si>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</si>
  <si>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</si>
  <si>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</si>
  <si>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</si>
  <si>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</si>
  <si>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</si>
  <si>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</si>
  <si>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</si>
  <si>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</si>
  <si>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</si>
  <si>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</si>
  <si>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</si>
  <si>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</si>
  <si>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</si>
  <si>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</si>
  <si>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</si>
  <si>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</si>
  <si>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</si>
  <si>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</si>
  <si>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</si>
  <si>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</si>
  <si>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</si>
  <si>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</si>
  <si>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</si>
  <si>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</si>
  <si>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</si>
  <si>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</si>
  <si>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</si>
  <si>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</si>
  <si>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</si>
  <si>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</si>
  <si>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</si>
  <si>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</si>
  <si>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</si>
  <si>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</si>
  <si>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</si>
  <si>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</si>
  <si>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</si>
  <si>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</si>
  <si>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</si>
  <si>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</si>
  <si>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</si>
  <si>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</si>
  <si>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</si>
  <si>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</si>
  <si>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</si>
  <si>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</si>
  <si>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</si>
  <si>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</si>
  <si>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</si>
  <si>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</si>
  <si>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</si>
  <si>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</si>
  <si>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</si>
  <si>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</si>
  <si>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</si>
  <si>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</si>
  <si>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</si>
  <si>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</si>
  <si>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</si>
  <si>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</si>
  <si>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</si>
  <si>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</si>
  <si>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</si>
  <si>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</si>
  <si>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</si>
  <si>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</si>
  <si>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</si>
  <si>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</si>
  <si>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</si>
  <si>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</si>
  <si>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</si>
  <si>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</si>
  <si>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</si>
  <si>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</si>
  <si>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</si>
  <si>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</si>
  <si>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</si>
  <si>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</si>
  <si>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</si>
  <si>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</si>
  <si>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</si>
  <si>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</si>
  <si>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</si>
  <si>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</si>
  <si>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</si>
  <si>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</si>
  <si>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</si>
  <si>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</si>
  <si>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</si>
  <si>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</si>
  <si>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</si>
  <si>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</si>
  <si>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</si>
  <si>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</si>
  <si>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</si>
  <si>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</si>
  <si>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</si>
  <si>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</si>
  <si>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</si>
  <si>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</si>
  <si>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</si>
  <si>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</si>
  <si>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</si>
  <si>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</si>
  <si>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</si>
  <si>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</si>
  <si>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</si>
  <si>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</si>
  <si>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</si>
  <si>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</si>
  <si>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</si>
  <si>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</si>
  <si>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</si>
  <si>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</si>
  <si>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</si>
  <si>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</si>
  <si>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</si>
  <si>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</si>
  <si>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</si>
  <si>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</si>
  <si>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</si>
  <si>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</si>
  <si>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</si>
  <si>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</si>
  <si>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</si>
  <si>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</si>
  <si>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</si>
  <si>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</si>
  <si>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</si>
  <si>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</si>
  <si>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</si>
  <si>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</si>
  <si>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</si>
  <si>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</si>
  <si>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</si>
  <si>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</si>
  <si>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</si>
  <si>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</si>
  <si>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</si>
  <si>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</si>
  <si>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</si>
  <si>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</si>
  <si>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</si>
  <si>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</si>
  <si>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</si>
  <si>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</si>
  <si>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</si>
  <si>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</si>
  <si>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</si>
  <si>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</si>
  <si>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</si>
  <si>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</si>
  <si>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</si>
  <si>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</si>
  <si>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</si>
  <si>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</si>
  <si>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</si>
  <si>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</si>
  <si>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</si>
  <si>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</si>
  <si>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</si>
  <si>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</si>
  <si>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</si>
  <si>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</si>
  <si>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</si>
  <si>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</si>
  <si>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</si>
  <si>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</si>
  <si>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</si>
  <si>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</si>
  <si>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</si>
  <si>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</si>
  <si>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</si>
  <si>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</si>
  <si>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</si>
  <si>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</si>
  <si>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</si>
  <si>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</si>
  <si>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</si>
  <si>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</si>
  <si>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</si>
  <si>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</si>
  <si>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</si>
  <si>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</si>
  <si>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</si>
  <si>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</si>
  <si>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</si>
  <si>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</si>
  <si>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</si>
  <si>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</si>
  <si>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</si>
  <si>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</si>
  <si>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</si>
  <si>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</si>
  <si>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</si>
  <si>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</si>
  <si>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</si>
  <si>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</si>
  <si>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</si>
  <si>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</si>
  <si>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</si>
  <si>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</si>
  <si>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</si>
  <si>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</si>
  <si>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</si>
  <si>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</si>
  <si>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</si>
  <si>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</si>
  <si>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</si>
  <si>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</si>
  <si>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</si>
  <si>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</si>
  <si>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</si>
  <si>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</si>
  <si>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</si>
  <si>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</si>
  <si>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</si>
  <si>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</si>
  <si>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</si>
  <si>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</si>
  <si>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</si>
  <si>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</si>
  <si>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</si>
  <si>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</si>
  <si>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</si>
  <si>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</si>
  <si>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</si>
  <si>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</si>
  <si>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</si>
  <si>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</si>
  <si>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</si>
  <si>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</si>
  <si>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</si>
  <si>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</si>
  <si>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</si>
  <si>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</si>
  <si>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</si>
  <si>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</si>
  <si>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</si>
  <si>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</si>
  <si>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</si>
  <si>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</si>
  <si>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</si>
  <si>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</si>
  <si>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</si>
  <si>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</si>
  <si>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</si>
  <si>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</si>
  <si>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</si>
  <si>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</si>
  <si>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</si>
  <si>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</si>
  <si>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</si>
  <si>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</si>
  <si>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</si>
  <si>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</si>
  <si>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</si>
  <si>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</si>
  <si>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</si>
  <si>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</si>
  <si>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</si>
  <si>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</si>
  <si>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</si>
  <si>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</si>
  <si>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</si>
  <si>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</si>
  <si>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</si>
  <si>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</si>
  <si>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</si>
  <si>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</si>
  <si>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</si>
  <si>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</si>
  <si>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</si>
  <si>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</si>
  <si>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</si>
  <si>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</si>
  <si>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</si>
  <si>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</si>
  <si>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</si>
  <si>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</si>
  <si>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</si>
  <si>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</si>
  <si>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</si>
  <si>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</si>
  <si>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</si>
  <si>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</si>
  <si>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</si>
  <si>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</si>
  <si>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</si>
  <si>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</si>
  <si>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</si>
  <si>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</si>
  <si>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</si>
  <si>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</si>
  <si>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</si>
  <si>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</si>
  <si>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</si>
  <si>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</si>
  <si>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</si>
  <si>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</si>
  <si>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</si>
  <si>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</si>
  <si>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</si>
  <si>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</si>
  <si>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</si>
  <si>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</si>
  <si>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</si>
  <si>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</si>
  <si>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</si>
  <si>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</si>
  <si>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</si>
  <si>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</si>
  <si>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</si>
  <si>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</si>
  <si>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</si>
  <si>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</si>
  <si>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</si>
  <si>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</si>
  <si>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</si>
  <si>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</si>
  <si>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</si>
  <si>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</si>
  <si>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</si>
  <si>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</si>
  <si>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</si>
  <si>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</si>
  <si>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</si>
  <si>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</si>
  <si>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</si>
  <si>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</si>
  <si>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</si>
  <si>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</si>
  <si>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</si>
  <si>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</si>
  <si>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</si>
  <si>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</si>
  <si>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</si>
  <si>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</si>
  <si>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</si>
  <si>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</si>
  <si>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</si>
  <si>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</si>
  <si>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</si>
  <si>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</si>
  <si>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</si>
  <si>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</si>
  <si>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</si>
  <si>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</si>
  <si>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</si>
  <si>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</si>
  <si>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</si>
  <si>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</si>
  <si>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</si>
  <si>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</si>
  <si>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</si>
  <si>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</si>
  <si>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</si>
  <si>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</si>
  <si>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</si>
  <si>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</si>
  <si>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</si>
  <si>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</si>
  <si>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</si>
  <si>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</si>
  <si>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</si>
  <si>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</si>
  <si>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</si>
  <si>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</si>
  <si>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</si>
  <si>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</si>
  <si>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</si>
  <si>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</si>
  <si>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</si>
  <si>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</si>
  <si>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</si>
  <si>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</si>
  <si>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</si>
  <si>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</si>
  <si>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</si>
  <si>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</si>
  <si>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</si>
  <si>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</si>
  <si>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</si>
  <si>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</si>
  <si>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</si>
  <si>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</si>
  <si>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</si>
  <si>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</si>
  <si>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</si>
  <si>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</si>
  <si>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</si>
  <si>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</si>
  <si>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</si>
  <si>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</si>
  <si>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</si>
  <si>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</si>
  <si>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</si>
  <si>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</si>
  <si>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</si>
  <si>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</si>
  <si>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</si>
  <si>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</si>
  <si>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</si>
  <si>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</si>
  <si>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</si>
  <si>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</si>
  <si>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</si>
  <si>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</si>
  <si>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</si>
  <si>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</si>
  <si>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</si>
  <si>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</si>
  <si>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</si>
  <si>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</si>
  <si>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</si>
  <si>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</si>
  <si>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</si>
  <si>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</si>
  <si>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</si>
  <si>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</si>
  <si>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</si>
  <si>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</si>
  <si>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</si>
  <si>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</si>
  <si>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</si>
  <si>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</si>
  <si>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</si>
  <si>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</si>
  <si>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</si>
  <si>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</si>
  <si>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</si>
  <si>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</si>
  <si>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</si>
  <si>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</si>
  <si>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</si>
  <si>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</si>
  <si>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</si>
  <si>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</si>
  <si>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</si>
  <si>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</si>
  <si>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</si>
  <si>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</si>
  <si>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</si>
  <si>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</si>
  <si>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</si>
  <si>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</si>
  <si>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</si>
  <si>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</si>
  <si>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</si>
  <si>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</si>
  <si>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</si>
  <si>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</si>
  <si>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</si>
  <si>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</si>
  <si>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</si>
  <si>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</si>
  <si>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</si>
  <si>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</si>
  <si>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</si>
  <si>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</si>
  <si>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</si>
  <si>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</si>
  <si>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</si>
  <si>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</si>
  <si>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</si>
  <si>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</si>
  <si>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</si>
  <si>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</si>
  <si>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</si>
  <si>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</si>
  <si>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</si>
  <si>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</si>
  <si>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</si>
  <si>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</si>
  <si>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</si>
  <si>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</si>
  <si>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</si>
  <si>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</si>
  <si>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</si>
  <si>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</si>
  <si>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</si>
  <si>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</si>
  <si>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</si>
  <si>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</si>
  <si>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</si>
  <si>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</si>
  <si>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</si>
  <si>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</si>
  <si>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</si>
  <si>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</si>
  <si>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</si>
  <si>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</si>
  <si>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</si>
  <si>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</si>
  <si>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</si>
  <si>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</si>
  <si>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</si>
  <si>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</si>
  <si>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</si>
  <si>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</si>
  <si>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</si>
  <si>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</si>
  <si>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</si>
  <si>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</si>
  <si>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</si>
  <si>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</si>
  <si>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</si>
  <si>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</si>
  <si>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</si>
  <si>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</si>
  <si>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</si>
  <si>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</si>
  <si>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</si>
  <si>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</si>
  <si>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</si>
  <si>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</si>
  <si>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</si>
  <si>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</si>
  <si>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</si>
  <si>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</si>
  <si>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</si>
  <si>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</si>
  <si>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</si>
  <si>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</si>
  <si>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</si>
  <si>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</si>
  <si>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</si>
  <si>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</si>
  <si>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</si>
  <si>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</si>
  <si>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</si>
  <si>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</si>
  <si>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</si>
  <si>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</si>
  <si>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</si>
  <si>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</si>
  <si>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</si>
  <si>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</si>
  <si>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</si>
  <si>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</si>
  <si>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</si>
  <si>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</si>
  <si>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</si>
  <si>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</si>
  <si>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</si>
  <si>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</si>
  <si>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</si>
  <si>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</si>
  <si>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</si>
  <si>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</si>
  <si>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</si>
  <si>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</si>
  <si>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</si>
  <si>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</si>
  <si>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</si>
  <si>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</si>
  <si>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</si>
  <si>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</si>
  <si>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</si>
  <si>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</si>
  <si>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</si>
  <si>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</si>
  <si>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</si>
  <si>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</si>
  <si>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</si>
  <si>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</si>
  <si>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</si>
  <si>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</si>
  <si>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</si>
  <si>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</si>
  <si>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</si>
  <si>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</si>
  <si>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</si>
  <si>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</si>
  <si>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</si>
  <si>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</si>
  <si>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</si>
  <si>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</si>
  <si>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</si>
  <si>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</si>
  <si>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</si>
  <si>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</si>
  <si>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</si>
  <si>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</si>
  <si>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</si>
  <si>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</si>
  <si>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</si>
  <si>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</si>
  <si>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</si>
  <si>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</si>
  <si>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</si>
  <si>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</si>
  <si>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</si>
  <si>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</si>
  <si>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</si>
  <si>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</si>
  <si>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</si>
  <si>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</si>
  <si>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</si>
  <si>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</si>
  <si>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</si>
  <si>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</si>
  <si>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</si>
  <si>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</si>
  <si>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</si>
  <si>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</si>
  <si>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</si>
  <si>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</si>
  <si>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</si>
  <si>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</si>
  <si>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</si>
  <si>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</si>
  <si>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</si>
  <si>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</si>
  <si>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</si>
  <si>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</si>
  <si>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</si>
  <si>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</si>
  <si>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</si>
  <si>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</si>
  <si>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</si>
  <si>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</si>
  <si>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</si>
  <si>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</si>
  <si>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</si>
  <si>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</si>
  <si>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</si>
  <si>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</si>
  <si>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</si>
  <si>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</si>
  <si>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</si>
  <si>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</si>
  <si>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</si>
  <si>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</si>
  <si>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</si>
  <si>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</si>
  <si>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</si>
  <si>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</si>
  <si>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</si>
  <si>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</si>
  <si>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</si>
  <si>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</si>
  <si>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</si>
  <si>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</si>
  <si>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</si>
  <si>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</si>
  <si>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</si>
  <si>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</si>
  <si>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</si>
  <si>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</si>
  <si>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</si>
  <si>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</si>
  <si>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</si>
  <si>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</si>
  <si>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</si>
  <si>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</si>
  <si>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</si>
  <si>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</si>
  <si>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</si>
  <si>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</si>
  <si>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</si>
  <si>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</si>
  <si>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</si>
  <si>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</si>
  <si>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</si>
  <si>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</si>
  <si>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</si>
  <si>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</si>
  <si>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</si>
  <si>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</si>
  <si>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</si>
  <si>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</si>
  <si>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</si>
  <si>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</si>
  <si>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</si>
  <si>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</si>
  <si>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</si>
  <si>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</si>
  <si>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</si>
  <si>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</si>
  <si>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</si>
  <si>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</si>
  <si>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</si>
  <si>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</si>
  <si>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</si>
  <si>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</si>
  <si>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</si>
  <si>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</si>
  <si>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</si>
  <si>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</si>
  <si>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</si>
  <si>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</si>
  <si>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</si>
  <si>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</si>
  <si>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</si>
  <si>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</si>
  <si>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</si>
  <si>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</si>
  <si>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</si>
  <si>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</si>
  <si>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</si>
  <si>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</si>
  <si>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</si>
  <si>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</si>
  <si>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</si>
  <si>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</si>
  <si>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</si>
  <si>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</si>
  <si>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</si>
  <si>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</si>
  <si>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</si>
  <si>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</si>
  <si>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</si>
  <si>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</si>
  <si>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</si>
  <si>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</si>
  <si>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</si>
  <si>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</si>
  <si>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</si>
  <si>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</si>
  <si>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</si>
  <si>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</si>
  <si>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</si>
  <si>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</si>
  <si>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</si>
  <si>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</si>
  <si>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</si>
  <si>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</si>
  <si>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</si>
  <si>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</si>
  <si>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</si>
  <si>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</si>
  <si>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</si>
  <si>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</si>
  <si>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</si>
  <si>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</si>
  <si>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</si>
  <si>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</si>
  <si>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</si>
  <si>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</si>
  <si>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</si>
  <si>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</si>
  <si>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</si>
  <si>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</si>
  <si>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</si>
  <si>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</si>
  <si>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</si>
  <si>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</si>
  <si>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</si>
  <si>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</si>
  <si>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</si>
  <si>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</si>
  <si>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</si>
  <si>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</si>
  <si>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</si>
  <si>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</si>
  <si>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</si>
  <si>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</si>
  <si>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</si>
  <si>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</si>
  <si>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</si>
  <si>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</si>
  <si>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</si>
  <si>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</si>
  <si>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</si>
  <si>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</si>
  <si>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</si>
  <si>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</si>
  <si>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</si>
  <si>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</si>
  <si>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</si>
  <si>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</si>
  <si>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</si>
  <si>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</si>
  <si>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</si>
  <si>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</si>
  <si>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</si>
  <si>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</si>
  <si>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</si>
  <si>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</si>
  <si>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</si>
  <si>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</si>
  <si>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</si>
  <si>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</si>
  <si>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</si>
  <si>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</si>
  <si>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</si>
  <si>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</si>
  <si>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</si>
  <si>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</si>
  <si>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</si>
  <si>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</si>
  <si>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</si>
  <si>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</si>
  <si>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</si>
  <si>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</si>
  <si>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</si>
  <si>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</si>
  <si>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</si>
  <si>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</si>
  <si>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</si>
  <si>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</si>
  <si>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</si>
  <si>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</si>
  <si>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</si>
  <si>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</si>
  <si>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</si>
  <si>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</si>
  <si>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</si>
  <si>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</si>
  <si>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</si>
  <si>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</si>
  <si>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</si>
  <si>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</si>
  <si>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</si>
  <si>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</si>
  <si>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</si>
  <si>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</si>
  <si>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</si>
  <si>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</si>
  <si>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</si>
  <si>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</si>
  <si>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</si>
  <si>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</si>
  <si>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</si>
  <si>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</si>
  <si>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</si>
  <si>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</si>
  <si>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</si>
  <si>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</si>
  <si>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</si>
  <si>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</si>
  <si>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</si>
  <si>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</si>
  <si>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</si>
  <si>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</si>
  <si>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</si>
  <si>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</si>
  <si>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</si>
  <si>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</si>
  <si>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</si>
  <si>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</si>
  <si>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</si>
  <si>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</si>
  <si>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</si>
  <si>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</si>
  <si>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</si>
  <si>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</si>
  <si>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</si>
  <si>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</si>
  <si>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</si>
  <si>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</si>
  <si>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</si>
  <si>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</si>
  <si>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</si>
  <si>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</si>
  <si>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</si>
  <si>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</si>
  <si>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</si>
  <si>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</si>
  <si>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</si>
  <si>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</si>
  <si>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</si>
  <si>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</si>
  <si>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</si>
  <si>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</si>
  <si>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</si>
  <si>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</si>
  <si>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</si>
  <si>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</si>
  <si>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</si>
  <si>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</si>
  <si>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</si>
  <si>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</si>
  <si>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</si>
  <si>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</si>
  <si>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</si>
  <si>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</si>
  <si>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</si>
  <si>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</si>
  <si>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</si>
  <si>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</si>
  <si>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</si>
  <si>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</si>
  <si>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</si>
  <si>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</si>
  <si>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</si>
  <si>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</si>
  <si>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</si>
  <si>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</si>
  <si>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</si>
  <si>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</si>
  <si>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</si>
  <si>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</si>
  <si>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</si>
  <si>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</si>
  <si>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</si>
  <si>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</si>
  <si>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</si>
  <si>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</si>
  <si>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</si>
  <si>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</si>
  <si>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</si>
  <si>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</si>
  <si>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</si>
  <si>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</si>
  <si>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</si>
  <si>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</si>
  <si>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</si>
  <si>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</si>
  <si>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</si>
  <si>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</si>
  <si>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</si>
  <si>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</si>
  <si>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</si>
  <si>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</si>
  <si>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</si>
  <si>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</si>
  <si>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</si>
  <si>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</si>
  <si>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</si>
  <si>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</si>
  <si>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</si>
  <si>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</si>
  <si>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</si>
  <si>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</si>
  <si>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</si>
  <si>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</si>
  <si>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</si>
  <si>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</si>
  <si>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</si>
  <si>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</si>
  <si>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</si>
  <si>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</si>
  <si>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</si>
  <si>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</si>
  <si>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</si>
  <si>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</si>
  <si>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</si>
  <si>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</si>
  <si>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</si>
  <si>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</si>
  <si>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</si>
  <si>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</si>
  <si>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</si>
  <si>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</si>
  <si>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</si>
  <si>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</si>
  <si>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</si>
  <si>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</si>
  <si>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</si>
  <si>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</si>
  <si>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</si>
  <si>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</si>
  <si>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</si>
  <si>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</si>
  <si>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</si>
  <si>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</si>
  <si>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</si>
  <si>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</si>
  <si>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</si>
  <si>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</si>
  <si>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</si>
  <si>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</si>
  <si>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</si>
  <si>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</si>
  <si>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</si>
  <si>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</si>
  <si>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</si>
  <si>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</si>
  <si>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</si>
  <si>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</si>
  <si>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</si>
  <si>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</si>
  <si>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</si>
  <si>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</si>
  <si>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</si>
  <si>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</si>
  <si>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</si>
  <si>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</si>
  <si>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</si>
  <si>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</si>
  <si>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</si>
  <si>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</si>
  <si>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</si>
  <si>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</si>
  <si>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</si>
  <si>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</si>
  <si>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</si>
  <si>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</si>
  <si>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</si>
  <si>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</si>
  <si>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</si>
  <si>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</si>
  <si>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</si>
  <si>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</si>
  <si>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</si>
  <si>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</si>
  <si>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</si>
  <si>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</si>
  <si>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</si>
  <si>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</si>
  <si>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</si>
  <si>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</si>
  <si>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</si>
  <si>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</si>
  <si>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</si>
  <si>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</si>
  <si>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</si>
  <si>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</si>
  <si>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</si>
  <si>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</si>
  <si>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</si>
  <si>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</si>
  <si>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</si>
  <si>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</si>
  <si>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</si>
  <si>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</si>
  <si>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</si>
  <si>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</si>
  <si>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</si>
  <si>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</si>
  <si>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</si>
  <si>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</si>
  <si>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</si>
  <si>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</si>
  <si>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</si>
  <si>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</si>
  <si>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</si>
  <si>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</si>
  <si>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</si>
  <si>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</si>
  <si>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</si>
  <si>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</si>
  <si>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</si>
  <si>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</si>
  <si>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</si>
  <si>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</si>
  <si>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</si>
  <si>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</si>
  <si>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</si>
  <si>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</si>
  <si>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</si>
  <si>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</si>
  <si>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</si>
  <si>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</si>
  <si>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</si>
  <si>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</si>
  <si>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</si>
  <si>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</si>
  <si>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</si>
  <si>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</si>
  <si>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</si>
  <si>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</si>
  <si>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</si>
  <si>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</si>
  <si>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</si>
  <si>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</si>
  <si>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</si>
  <si>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</si>
  <si>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</si>
  <si>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</si>
  <si>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</si>
  <si>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</si>
  <si>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</si>
  <si>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</si>
  <si>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</si>
  <si>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</si>
  <si>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</si>
  <si>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</si>
  <si>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</si>
  <si>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</si>
  <si>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</si>
  <si>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</si>
  <si>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</si>
  <si>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</si>
  <si>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</si>
  <si>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</si>
  <si>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</si>
  <si>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</si>
  <si>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</si>
  <si>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</si>
  <si>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</si>
  <si>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</si>
  <si>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</si>
  <si>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</si>
  <si>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</si>
  <si>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</si>
  <si>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</si>
  <si>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</si>
  <si>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</si>
  <si>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</si>
  <si>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</si>
  <si>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</si>
  <si>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</si>
  <si>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</si>
  <si>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</si>
  <si>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</si>
  <si>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</si>
  <si>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</si>
  <si>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</si>
  <si>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</si>
  <si>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</si>
  <si>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</si>
  <si>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</si>
  <si>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</si>
  <si>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</si>
  <si>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</si>
  <si>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</si>
  <si>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</si>
  <si>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</si>
  <si>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</si>
  <si>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</si>
  <si>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</si>
  <si>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</si>
  <si>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</si>
  <si>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</si>
  <si>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</si>
  <si>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</si>
  <si>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</si>
  <si>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</si>
  <si>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</si>
  <si>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</si>
  <si>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</si>
  <si>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</si>
  <si>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</si>
  <si>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</si>
  <si>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</si>
  <si>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</si>
  <si>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</si>
  <si>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</si>
  <si>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</si>
  <si>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</si>
  <si>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</si>
  <si>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</si>
  <si>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</si>
  <si>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</si>
  <si>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</si>
  <si>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</si>
  <si>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</si>
  <si>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</si>
  <si>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</si>
  <si>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</si>
  <si>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</si>
  <si>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</si>
  <si>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</si>
  <si>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</si>
  <si>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</si>
  <si>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</si>
  <si>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</si>
  <si>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</si>
  <si>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</si>
  <si>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</si>
  <si>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</si>
  <si>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</si>
  <si>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</si>
  <si>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</si>
  <si>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</si>
  <si>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</si>
  <si>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</si>
  <si>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</si>
  <si>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</si>
  <si>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</si>
  <si>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</si>
  <si>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</si>
  <si>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</si>
  <si>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</si>
  <si>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</si>
  <si>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</si>
  <si>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</si>
  <si>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</si>
  <si>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</si>
  <si>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</si>
  <si>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</si>
  <si>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</si>
  <si>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</si>
  <si>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</si>
  <si>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</si>
  <si>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</si>
  <si>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</si>
  <si>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</si>
  <si>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</si>
  <si>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</si>
  <si>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</si>
  <si>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</si>
  <si>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</si>
  <si>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</si>
  <si>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</si>
  <si>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</si>
  <si>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</si>
  <si>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</si>
  <si>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</si>
  <si>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</si>
  <si>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</si>
  <si>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</si>
  <si>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</si>
  <si>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</si>
  <si>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</si>
  <si>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</si>
  <si>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</si>
  <si>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</si>
  <si>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</si>
  <si>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</si>
  <si>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</si>
  <si>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</si>
  <si>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</si>
  <si>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</si>
  <si>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</si>
  <si>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</si>
  <si>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</si>
  <si>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</si>
  <si>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</si>
  <si>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</si>
  <si>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</si>
  <si>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</si>
  <si>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</si>
  <si>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</si>
  <si>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</si>
  <si>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</si>
  <si>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</si>
  <si>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</si>
  <si>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</si>
  <si>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</si>
  <si>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</si>
  <si>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</si>
  <si>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</si>
  <si>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</si>
  <si>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</si>
  <si>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</si>
  <si>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</si>
  <si>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</si>
  <si>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</si>
  <si>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</si>
  <si>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</si>
  <si>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</si>
  <si>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</si>
  <si>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</si>
  <si>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</si>
  <si>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</si>
  <si>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</si>
  <si>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</si>
  <si>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</si>
  <si>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</si>
  <si>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</si>
  <si>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</si>
  <si>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</si>
  <si>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</si>
  <si>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</si>
  <si>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</si>
  <si>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</si>
  <si>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</si>
  <si>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</si>
  <si>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</si>
  <si>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</si>
  <si>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</si>
  <si>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</si>
  <si>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</si>
  <si>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</si>
  <si>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</si>
  <si>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</si>
  <si>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</si>
  <si>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</si>
  <si>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</si>
  <si>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</si>
  <si>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</si>
  <si>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</si>
  <si>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</si>
  <si>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</si>
  <si>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</si>
  <si>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</si>
  <si>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</si>
  <si>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</si>
  <si>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</si>
  <si>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</si>
  <si>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</si>
  <si>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</si>
  <si>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</si>
  <si>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</si>
  <si>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</si>
  <si>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</si>
  <si>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</si>
  <si>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</si>
  <si>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</si>
  <si>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</si>
  <si>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</si>
  <si>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</si>
  <si>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</si>
  <si>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</si>
  <si>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</si>
  <si>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</si>
  <si>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</si>
  <si>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</si>
  <si>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</si>
  <si>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</si>
  <si>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</si>
  <si>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</si>
  <si>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</si>
  <si>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</si>
  <si>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</si>
  <si>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</si>
  <si>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</si>
  <si>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</si>
  <si>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</si>
  <si>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</si>
  <si>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</si>
  <si>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</si>
  <si>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</si>
  <si>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</si>
  <si>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</si>
  <si>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</si>
  <si>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</si>
  <si>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</si>
  <si>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</si>
  <si>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</si>
  <si>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</si>
  <si>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</si>
  <si>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</si>
  <si>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</si>
  <si>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</si>
  <si>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</si>
  <si>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</si>
  <si>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</si>
  <si>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</si>
  <si>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</si>
  <si>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</si>
  <si>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</si>
  <si>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</si>
  <si>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</si>
  <si>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</si>
  <si>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</si>
  <si>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</si>
  <si>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</si>
  <si>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</si>
  <si>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</si>
  <si>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</si>
  <si>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</si>
  <si>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</si>
  <si>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</si>
  <si>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</si>
  <si>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</si>
  <si>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</si>
  <si>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</si>
  <si>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</si>
  <si>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</si>
  <si>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</si>
  <si>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</si>
  <si>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</si>
  <si>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</si>
  <si>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</si>
  <si>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</si>
  <si>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</si>
  <si>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</si>
  <si>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</si>
  <si>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</si>
  <si>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</si>
  <si>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</si>
  <si>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</si>
  <si>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</si>
  <si>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</si>
  <si>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</si>
  <si>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</si>
  <si>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</si>
  <si>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</si>
  <si>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</si>
  <si>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</si>
  <si>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</si>
  <si>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</si>
  <si>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</si>
  <si>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</si>
  <si>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</si>
  <si>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</si>
  <si>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</si>
  <si>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</si>
  <si>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</si>
  <si>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</si>
  <si>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</si>
  <si>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</si>
  <si>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</si>
  <si>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</si>
  <si>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</si>
  <si>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</si>
  <si>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</si>
  <si>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</si>
  <si>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</si>
  <si>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</si>
  <si>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</si>
  <si>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</si>
  <si>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</si>
  <si>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</si>
  <si>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</si>
  <si>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</si>
  <si>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</si>
  <si>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</si>
  <si>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</si>
  <si>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</si>
  <si>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</si>
  <si>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</si>
  <si>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</si>
  <si>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</si>
  <si>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</si>
  <si>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</si>
  <si>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</si>
  <si>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</si>
  <si>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</si>
  <si>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</si>
  <si>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</si>
  <si>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</si>
  <si>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</si>
  <si>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</si>
  <si>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</si>
  <si>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</si>
  <si>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</si>
  <si>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</si>
  <si>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</si>
  <si>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</si>
  <si>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</si>
  <si>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</si>
  <si>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</si>
  <si>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</si>
  <si>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</si>
  <si>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</si>
  <si>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</si>
  <si>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</si>
  <si>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</si>
  <si>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</si>
  <si>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</si>
  <si>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</si>
  <si>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</si>
  <si>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</si>
  <si>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</si>
  <si>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</si>
  <si>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</si>
  <si>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</si>
  <si>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</si>
  <si>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</si>
  <si>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</si>
  <si>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</si>
  <si>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</si>
  <si>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</si>
  <si>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</si>
  <si>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</si>
  <si>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</si>
  <si>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</si>
  <si>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</si>
  <si>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</si>
  <si>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</si>
  <si>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</si>
  <si>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</si>
  <si>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</si>
  <si>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</si>
  <si>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</si>
  <si>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</si>
  <si>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</si>
  <si>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</si>
  <si>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</si>
  <si>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</si>
  <si>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</si>
  <si>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</si>
  <si>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</si>
  <si>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</si>
  <si>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</si>
  <si>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</si>
  <si>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</si>
  <si>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</si>
  <si>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</si>
  <si>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</si>
  <si>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</si>
  <si>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</si>
  <si>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</si>
  <si>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</si>
  <si>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</si>
  <si>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</si>
  <si>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</si>
  <si>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</si>
  <si>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</si>
  <si>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</si>
  <si>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</si>
  <si>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</si>
  <si>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</si>
  <si>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</si>
  <si>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</si>
  <si>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</si>
  <si>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</si>
  <si>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</si>
  <si>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</si>
  <si>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</si>
  <si>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</si>
  <si>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</si>
  <si>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</si>
  <si>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</si>
  <si>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</si>
  <si>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</si>
  <si>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</si>
  <si>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</si>
  <si>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</si>
  <si>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</si>
  <si>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</si>
  <si>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</si>
  <si>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</si>
  <si>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</si>
  <si>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</si>
  <si>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</si>
  <si>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</si>
  <si>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</si>
  <si>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</si>
  <si>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</si>
  <si>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</si>
  <si>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</si>
  <si>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</si>
  <si>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</si>
  <si>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</si>
  <si>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</si>
  <si>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</si>
  <si>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</si>
  <si>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</si>
  <si>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</si>
  <si>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</si>
  <si>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</si>
  <si>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</si>
  <si>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</si>
  <si>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</si>
  <si>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</si>
  <si>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</si>
  <si>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</si>
  <si>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</si>
  <si>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</si>
  <si>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</si>
  <si>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</si>
  <si>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</si>
  <si>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</si>
  <si>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</si>
  <si>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</si>
  <si>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</si>
  <si>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</si>
  <si>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</si>
  <si>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</si>
  <si>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</si>
  <si>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</si>
  <si>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</si>
  <si>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</si>
  <si>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</si>
  <si>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</si>
  <si>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</si>
  <si>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</si>
  <si>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</si>
  <si>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</si>
  <si>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</si>
  <si>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</si>
  <si>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</si>
  <si>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</si>
  <si>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</si>
  <si>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</si>
  <si>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</si>
  <si>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</si>
  <si>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</si>
  <si>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</si>
  <si>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</si>
  <si>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</si>
  <si>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</si>
  <si>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</si>
  <si>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</si>
  <si>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</si>
  <si>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</si>
  <si>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</si>
  <si>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</si>
  <si>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</si>
  <si>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</si>
  <si>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</si>
  <si>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</si>
  <si>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</si>
  <si>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</si>
  <si>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</si>
  <si>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</si>
  <si>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</si>
  <si>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</si>
  <si>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</si>
  <si>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</si>
  <si>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</si>
  <si>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</si>
  <si>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</si>
  <si>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</si>
  <si>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</si>
  <si>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</si>
  <si>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</si>
  <si>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</si>
  <si>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</si>
  <si>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</si>
  <si>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</si>
  <si>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</si>
  <si>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</si>
  <si>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</si>
  <si>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</si>
  <si>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</si>
  <si>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</si>
  <si>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</si>
  <si>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</si>
  <si>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</si>
  <si>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</si>
  <si>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</si>
  <si>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</si>
  <si>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</si>
  <si>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</si>
  <si>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</si>
  <si>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</si>
  <si>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</si>
  <si>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</si>
  <si>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</si>
  <si>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</si>
  <si>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</si>
  <si>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</si>
  <si>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</si>
  <si>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</si>
  <si>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</si>
  <si>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</si>
  <si>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</si>
  <si>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</si>
  <si>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</si>
  <si>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</si>
  <si>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</si>
  <si>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</si>
  <si>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</si>
  <si>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</si>
  <si>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</si>
  <si>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</si>
  <si>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</si>
  <si>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</si>
  <si>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</si>
  <si>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</si>
  <si>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</si>
  <si>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</si>
  <si>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</si>
  <si>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</si>
  <si>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</si>
  <si>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</si>
  <si>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</si>
  <si>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</si>
  <si>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</si>
  <si>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</si>
  <si>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</si>
  <si>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</si>
  <si>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</si>
  <si>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</si>
  <si>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</si>
  <si>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</si>
  <si>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</si>
  <si>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</si>
  <si>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</si>
  <si>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</si>
  <si>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</si>
  <si>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</si>
  <si>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</si>
  <si>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</si>
  <si>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</si>
  <si>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</si>
  <si>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</si>
  <si>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</si>
  <si>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</si>
  <si>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</si>
  <si>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</si>
  <si>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</si>
  <si>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</si>
  <si>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</si>
  <si>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</si>
  <si>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</si>
  <si>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</si>
  <si>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</si>
  <si>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</si>
  <si>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</si>
  <si>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</si>
  <si>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</si>
  <si>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</si>
  <si>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</si>
  <si>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</si>
  <si>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</si>
  <si>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</si>
  <si>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</si>
  <si>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</si>
  <si>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</si>
  <si>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</si>
  <si>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</si>
  <si>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</si>
  <si>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</si>
  <si>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</si>
  <si>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</si>
  <si>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</si>
  <si>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</si>
  <si>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</si>
  <si>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</si>
  <si>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</si>
  <si>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</si>
  <si>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</si>
  <si>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</si>
  <si>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</si>
  <si>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</si>
  <si>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</si>
  <si>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</si>
  <si>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</si>
  <si>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</si>
  <si>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</si>
  <si>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</si>
  <si>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</si>
  <si>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</si>
  <si>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</si>
  <si>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</si>
  <si>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</si>
  <si>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</si>
  <si>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</si>
  <si>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</si>
  <si>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</si>
  <si>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</si>
  <si>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</si>
  <si>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</si>
  <si>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</si>
  <si>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</si>
  <si>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</si>
  <si>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</si>
  <si>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</si>
  <si>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</si>
  <si>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</si>
  <si>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</si>
  <si>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</si>
  <si>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</si>
  <si>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</si>
  <si>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</si>
  <si>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</si>
  <si>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</si>
  <si>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</si>
  <si>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</si>
  <si>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</si>
  <si>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</si>
  <si>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</si>
  <si>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</si>
  <si>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</si>
  <si>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</si>
  <si>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</si>
  <si>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</si>
  <si>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</si>
  <si>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</si>
  <si>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</si>
  <si>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</si>
  <si>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</si>
  <si>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</si>
  <si>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</si>
  <si>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</si>
  <si>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</si>
  <si>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</si>
  <si>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</si>
  <si>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</si>
  <si>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</si>
  <si>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</si>
  <si>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</si>
  <si>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</si>
  <si>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</si>
  <si>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</si>
  <si>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</si>
  <si>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</si>
  <si>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</si>
  <si>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</si>
  <si>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</si>
  <si>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</si>
  <si>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</si>
  <si>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</si>
  <si>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</si>
  <si>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</si>
  <si>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</si>
  <si>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</si>
  <si>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</si>
  <si>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</si>
  <si>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</si>
  <si>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</si>
  <si>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</si>
  <si>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</si>
  <si>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</si>
  <si>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</si>
  <si>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</si>
  <si>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</si>
  <si>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</si>
  <si>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</si>
  <si>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</si>
  <si>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</si>
  <si>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</si>
  <si>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</si>
  <si>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</si>
  <si>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</si>
  <si>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</si>
  <si>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</si>
  <si>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</si>
  <si>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</si>
  <si>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</si>
  <si>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</si>
  <si>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</si>
  <si>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</si>
  <si>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</si>
  <si>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</si>
  <si>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</si>
  <si>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</si>
  <si>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</si>
  <si>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</si>
  <si>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</si>
  <si>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</si>
  <si>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</si>
  <si>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</si>
  <si>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</si>
  <si>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</si>
  <si>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</si>
  <si>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</si>
  <si>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</si>
  <si>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</si>
  <si>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</si>
  <si>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</si>
  <si>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</si>
  <si>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</si>
  <si>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</si>
  <si>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</si>
  <si>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</si>
  <si>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</si>
  <si>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</si>
  <si>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</si>
  <si>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</si>
  <si>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</si>
  <si>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</si>
  <si>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</si>
  <si>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</si>
  <si>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</si>
  <si>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</si>
  <si>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</si>
  <si>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</si>
  <si>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</si>
  <si>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</si>
  <si>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</si>
  <si>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</si>
  <si>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</si>
  <si>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</si>
  <si>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</si>
  <si>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</si>
  <si>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</si>
  <si>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</si>
  <si>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</si>
  <si>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</si>
  <si>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</si>
  <si>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</si>
  <si>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</si>
  <si>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</si>
  <si>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</si>
  <si>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</si>
  <si>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</si>
  <si>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</si>
  <si>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</si>
  <si>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</si>
  <si>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</si>
  <si>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</si>
  <si>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</si>
  <si>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</si>
  <si>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</si>
  <si>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</si>
  <si>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</si>
  <si>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</si>
  <si>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</si>
  <si>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</si>
  <si>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</si>
  <si>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</si>
  <si>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</si>
  <si>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</si>
  <si>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</si>
  <si>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</si>
  <si>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</si>
  <si>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</si>
  <si>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</si>
  <si>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</si>
  <si>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</si>
  <si>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</si>
  <si>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</si>
  <si>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</si>
  <si>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</si>
  <si>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</si>
  <si>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</si>
  <si>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</si>
  <si>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</si>
  <si>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</si>
  <si>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</si>
  <si>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</si>
  <si>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</si>
  <si>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</si>
  <si>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</si>
  <si>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</si>
  <si>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</si>
  <si>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</si>
  <si>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</si>
  <si>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</si>
  <si>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</si>
  <si>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</si>
  <si>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</si>
  <si>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</si>
  <si>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</si>
  <si>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</si>
  <si>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</si>
  <si>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</si>
  <si>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</si>
  <si>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</si>
  <si>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</si>
  <si>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</si>
  <si>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</si>
  <si>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</si>
  <si>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</si>
  <si>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</si>
  <si>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</si>
  <si>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</si>
  <si>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</si>
  <si>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</si>
  <si>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</si>
  <si>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</si>
  <si>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</si>
  <si>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</si>
  <si>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</si>
  <si>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</si>
  <si>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</si>
  <si>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</si>
  <si>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</si>
  <si>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</si>
  <si>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</si>
  <si>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</si>
  <si>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</si>
  <si>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</si>
  <si>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</si>
  <si>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</si>
  <si>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</si>
  <si>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</si>
  <si>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</si>
  <si>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</si>
  <si>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</si>
  <si>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</si>
  <si>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</si>
  <si>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</si>
  <si>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</si>
  <si>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</si>
  <si>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</si>
  <si>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</si>
  <si>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</si>
  <si>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</si>
  <si>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</si>
  <si>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</si>
  <si>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</si>
  <si>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</si>
  <si>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</si>
  <si>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</si>
  <si>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</si>
  <si>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</si>
  <si>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</si>
  <si>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</si>
  <si>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</si>
  <si>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</si>
  <si>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</si>
  <si>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</si>
  <si>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</si>
  <si>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</si>
  <si>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</si>
  <si>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</si>
  <si>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</si>
  <si>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</si>
  <si>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</si>
  <si>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</si>
  <si>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</si>
  <si>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</si>
  <si>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</si>
  <si>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</si>
  <si>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</si>
  <si>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</si>
  <si>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</si>
  <si>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</si>
  <si>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</si>
  <si>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</si>
  <si>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</si>
  <si>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</si>
  <si>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</si>
  <si>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</si>
  <si>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</si>
  <si>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</si>
  <si>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</si>
  <si>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</si>
  <si>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</si>
  <si>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</si>
  <si>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</si>
  <si>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</si>
  <si>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</si>
  <si>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</si>
  <si>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</si>
  <si>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</si>
  <si>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</si>
  <si>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</si>
  <si>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</si>
  <si>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</si>
  <si>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</si>
  <si>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</si>
  <si>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</si>
  <si>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</si>
  <si>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</si>
  <si>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</si>
  <si>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</si>
  <si>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</si>
  <si>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</si>
  <si>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</si>
  <si>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</si>
  <si>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</si>
  <si>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</si>
  <si>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</si>
  <si>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</si>
  <si>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</si>
  <si>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</si>
  <si>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</si>
  <si>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</si>
  <si>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</si>
  <si>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</si>
  <si>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</si>
  <si>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</si>
  <si>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</si>
  <si>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</si>
  <si>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</si>
  <si>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</si>
  <si>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</si>
  <si>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</si>
  <si>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</si>
  <si>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</si>
  <si>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</si>
  <si>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</si>
  <si>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</si>
  <si>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</si>
  <si>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</si>
  <si>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</si>
  <si>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</si>
  <si>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</si>
  <si>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</si>
  <si>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</si>
  <si>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</si>
  <si>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</si>
  <si>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</si>
  <si>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</si>
  <si>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</si>
  <si>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</si>
  <si>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</si>
  <si>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</si>
  <si>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</si>
  <si>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</si>
  <si>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</si>
  <si>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</si>
  <si>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</si>
  <si>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</si>
  <si>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</si>
  <si>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</si>
  <si>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</si>
  <si>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</si>
  <si>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</si>
  <si>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</si>
  <si>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</si>
  <si>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</si>
  <si>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</si>
  <si>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</si>
  <si>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</si>
  <si>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</si>
  <si>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</si>
  <si>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</si>
  <si>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</si>
  <si>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</si>
  <si>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</si>
  <si>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</si>
  <si>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</si>
  <si>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</si>
  <si>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</si>
  <si>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</si>
  <si>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</si>
  <si>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</si>
  <si>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</si>
  <si>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</si>
  <si>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</si>
  <si>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</si>
  <si>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</si>
  <si>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</si>
  <si>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</si>
  <si>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</si>
  <si>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</si>
  <si>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</si>
  <si>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</si>
  <si>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</si>
  <si>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</si>
  <si>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</si>
  <si>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</si>
  <si>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</si>
  <si>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</si>
  <si>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</si>
  <si>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</si>
  <si>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</si>
  <si>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</si>
  <si>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</si>
  <si>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</si>
  <si>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</si>
  <si>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</si>
  <si>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</si>
  <si>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</si>
  <si>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</si>
  <si>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</si>
  <si>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</si>
  <si>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</si>
  <si>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</si>
  <si>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</si>
  <si>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</si>
  <si>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</si>
  <si>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</si>
  <si>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</si>
  <si>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</si>
  <si>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</si>
  <si>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</si>
  <si>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</si>
  <si>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</si>
  <si>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</si>
  <si>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</si>
  <si>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</si>
  <si>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</si>
  <si>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</si>
  <si>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</si>
  <si>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</si>
  <si>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</si>
  <si>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</si>
  <si>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</si>
  <si>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</si>
  <si>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</si>
  <si>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</si>
  <si>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</si>
  <si>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</si>
  <si>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</si>
  <si>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</si>
  <si>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</si>
  <si>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</si>
  <si>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</si>
  <si>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</si>
  <si>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</si>
  <si>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</si>
  <si>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</si>
  <si>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</si>
  <si>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</si>
  <si>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</si>
  <si>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</si>
  <si>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</si>
  <si>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</si>
  <si>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</si>
  <si>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</si>
  <si>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</si>
  <si>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</si>
  <si>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</si>
  <si>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</si>
  <si>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</si>
  <si>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</si>
  <si>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</si>
  <si>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</si>
  <si>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</si>
  <si>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</si>
  <si>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</si>
  <si>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</si>
  <si>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</si>
  <si>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</si>
  <si>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</si>
  <si>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</si>
  <si>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</si>
  <si>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</si>
  <si>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</si>
  <si>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</si>
  <si>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</si>
  <si>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</si>
  <si>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</si>
  <si>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</si>
  <si>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</si>
  <si>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</si>
  <si>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</si>
  <si>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</si>
  <si>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</si>
  <si>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</si>
  <si>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</si>
  <si>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</si>
  <si>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</si>
  <si>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</si>
  <si>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</si>
  <si>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</si>
  <si>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</si>
  <si>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</si>
  <si>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</si>
  <si>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</si>
  <si>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</si>
  <si>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</si>
  <si>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</si>
  <si>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</si>
  <si>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</si>
  <si>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</si>
  <si>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</si>
  <si>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</si>
  <si>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</si>
  <si>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</si>
  <si>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</si>
  <si>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</si>
  <si>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</si>
  <si>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</si>
  <si>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</si>
  <si>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</si>
  <si>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</si>
  <si>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</si>
  <si>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</si>
  <si>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</si>
  <si>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</si>
  <si>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</si>
  <si>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</si>
  <si>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</si>
  <si>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</si>
  <si>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</si>
  <si>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</si>
  <si>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</si>
  <si>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</si>
  <si>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</si>
  <si>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</si>
  <si>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</si>
  <si>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</si>
  <si>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</si>
  <si>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</si>
  <si>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</si>
  <si>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</si>
  <si>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</si>
  <si>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</si>
  <si>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</si>
  <si>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</si>
  <si>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</si>
  <si>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</si>
  <si>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</si>
  <si>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</si>
  <si>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</si>
  <si>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</si>
  <si>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</si>
  <si>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</si>
  <si>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</si>
  <si>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</si>
  <si>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</si>
  <si>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</si>
  <si>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</si>
  <si>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</si>
  <si>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</si>
  <si>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</si>
  <si>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</si>
  <si>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</si>
  <si>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</si>
  <si>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</si>
  <si>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</si>
  <si>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</si>
  <si>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</si>
  <si>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</si>
  <si>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</si>
  <si>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</si>
  <si>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</si>
  <si>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</si>
  <si>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</si>
  <si>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</si>
  <si>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</si>
  <si>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</si>
  <si>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</si>
  <si>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</si>
  <si>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</si>
  <si>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</si>
  <si>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</si>
  <si>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</si>
  <si>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</si>
  <si>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</si>
  <si>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</si>
  <si>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</si>
  <si>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</si>
  <si>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</si>
  <si>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</si>
  <si>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</si>
  <si>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</si>
  <si>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</si>
  <si>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</si>
  <si>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</si>
  <si>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</si>
  <si>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</si>
  <si>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</si>
  <si>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</si>
  <si>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</si>
  <si>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</si>
  <si>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</si>
  <si>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</si>
  <si>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</si>
  <si>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</si>
  <si>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</si>
  <si>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</si>
  <si>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</si>
  <si>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</si>
  <si>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</si>
  <si>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</si>
  <si>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</si>
  <si>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</si>
  <si>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</si>
  <si>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</si>
  <si>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</si>
  <si>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</si>
  <si>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</si>
  <si>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</si>
  <si>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</si>
  <si>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</si>
  <si>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</si>
  <si>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</si>
  <si>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</si>
  <si>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</si>
  <si>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</si>
  <si>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</si>
  <si>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</si>
  <si>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</si>
  <si>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</si>
  <si>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</si>
  <si>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</si>
  <si>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</si>
  <si>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</si>
  <si>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</si>
  <si>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</si>
  <si>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</si>
  <si>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</si>
  <si>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</si>
  <si>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</si>
  <si>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</si>
  <si>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</si>
  <si>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</si>
  <si>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</si>
  <si>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</si>
  <si>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</si>
  <si>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</si>
  <si>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</si>
  <si>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</si>
  <si>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</si>
  <si>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</si>
  <si>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</si>
  <si>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</si>
  <si>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</si>
  <si>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</si>
  <si>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</si>
  <si>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</si>
  <si>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</si>
  <si>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</si>
  <si>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</si>
  <si>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</si>
  <si>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</si>
  <si>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</si>
  <si>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</si>
  <si>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</si>
  <si>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</si>
  <si>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</si>
  <si>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</si>
  <si>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</si>
  <si>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</si>
  <si>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</si>
  <si>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</si>
  <si>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</si>
  <si>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</si>
  <si>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</si>
  <si>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</si>
  <si>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</si>
  <si>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</si>
  <si>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</si>
  <si>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</si>
  <si>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</si>
  <si>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</si>
  <si>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</si>
  <si>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</si>
  <si>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</si>
  <si>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</si>
  <si>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</si>
  <si>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</si>
  <si>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</si>
  <si>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</si>
  <si>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</si>
  <si>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</si>
  <si>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</si>
  <si>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</si>
  <si>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</si>
  <si>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</si>
  <si>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</si>
  <si>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</si>
  <si>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</si>
  <si>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</si>
  <si>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</si>
  <si>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</si>
  <si>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</si>
  <si>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</si>
  <si>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</si>
  <si>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</si>
  <si>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</si>
  <si>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</si>
  <si>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</si>
  <si>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</si>
  <si>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</si>
  <si>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</si>
  <si>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</si>
  <si>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</si>
  <si>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</si>
  <si>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</si>
  <si>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</si>
  <si>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</si>
  <si>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</si>
  <si>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</si>
  <si>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</si>
  <si>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</si>
  <si>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</si>
  <si>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</si>
  <si>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</si>
  <si>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</si>
  <si>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</si>
  <si>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</si>
  <si>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</si>
  <si>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</si>
  <si>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</si>
  <si>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</si>
  <si>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</si>
  <si>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</si>
  <si>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</si>
  <si>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</si>
  <si>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</si>
  <si>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</si>
  <si>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</si>
  <si>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</si>
  <si>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</si>
  <si>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</si>
  <si>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</si>
  <si>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</si>
  <si>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</si>
  <si>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</si>
  <si>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</si>
  <si>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</si>
  <si>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</si>
  <si>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</si>
  <si>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</si>
  <si>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</si>
  <si>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</si>
  <si>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</si>
  <si>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</si>
  <si>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</si>
  <si>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</si>
  <si>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</si>
  <si>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</si>
  <si>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</si>
  <si>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</si>
  <si>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</si>
  <si>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</si>
  <si>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</si>
  <si>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</si>
  <si>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</si>
  <si>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</si>
  <si>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</si>
  <si>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</si>
  <si>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</si>
  <si>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</si>
  <si>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</si>
  <si>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</si>
  <si>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</si>
  <si>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</si>
  <si>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</si>
  <si>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</si>
  <si>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</si>
  <si>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</si>
  <si>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</si>
  <si>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</si>
  <si>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</si>
  <si>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</si>
  <si>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</si>
  <si>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</si>
  <si>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</si>
  <si>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</si>
  <si>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</si>
  <si>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</si>
  <si>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</si>
  <si>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</si>
  <si>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</si>
  <si>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</si>
  <si>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</si>
  <si>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</si>
  <si>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</si>
  <si>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</si>
  <si>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</si>
  <si>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</si>
  <si>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</si>
  <si>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</si>
  <si>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</si>
  <si>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</si>
  <si>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</si>
  <si>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</si>
  <si>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</si>
  <si>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</si>
  <si>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</si>
  <si>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</si>
  <si>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</si>
  <si>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</si>
  <si>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</si>
  <si>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</si>
  <si>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</si>
  <si>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</si>
  <si>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</si>
  <si>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</si>
  <si>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</si>
  <si>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</si>
  <si>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</si>
  <si>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</si>
  <si>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</si>
  <si>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</si>
  <si>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</si>
  <si>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</si>
  <si>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</si>
  <si>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</si>
  <si>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</si>
  <si>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</si>
  <si>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</si>
  <si>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</si>
  <si>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</si>
  <si>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</si>
  <si>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</si>
  <si>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</si>
  <si>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</si>
  <si>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</si>
  <si>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</si>
  <si>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</si>
  <si>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</si>
  <si>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</si>
  <si>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</si>
  <si>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</si>
  <si>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</si>
  <si>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</si>
  <si>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</si>
  <si>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</si>
  <si>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</si>
  <si>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</si>
  <si>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</si>
  <si>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</si>
  <si>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</si>
  <si>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</si>
  <si>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</si>
  <si>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</si>
  <si>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</si>
  <si>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</si>
  <si>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</si>
  <si>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</si>
  <si>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</si>
  <si>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</si>
  <si>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</si>
  <si>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</si>
  <si>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</si>
  <si>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</si>
  <si>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</si>
  <si>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</si>
  <si>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</si>
  <si>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</si>
  <si>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</si>
  <si>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</si>
  <si>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</si>
  <si>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</si>
  <si>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</si>
  <si>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</si>
  <si>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</si>
  <si>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</si>
  <si>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</si>
  <si>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</si>
  <si>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</si>
  <si>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</si>
  <si>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</si>
  <si>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</si>
  <si>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</si>
  <si>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</si>
  <si>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</si>
  <si>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</si>
  <si>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</si>
  <si>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</si>
  <si>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</si>
  <si>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</si>
  <si>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</si>
  <si>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</si>
  <si>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</si>
  <si>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</si>
  <si>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</si>
  <si>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</si>
  <si>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</si>
  <si>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</si>
  <si>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</si>
  <si>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</si>
  <si>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</si>
  <si>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</si>
  <si>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</si>
  <si>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</si>
  <si>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</si>
  <si>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</si>
  <si>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</si>
  <si>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</si>
  <si>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</si>
  <si>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</si>
  <si>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</si>
  <si>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</si>
  <si>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</si>
  <si>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</si>
  <si>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</si>
  <si>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</si>
  <si>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</si>
  <si>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</si>
  <si>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</si>
  <si>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</si>
  <si>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</si>
  <si>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</si>
  <si>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</si>
  <si>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</si>
  <si>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</si>
  <si>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</si>
  <si>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</si>
  <si>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</si>
  <si>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</si>
  <si>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</si>
  <si>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</si>
  <si>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</si>
  <si>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</si>
  <si>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</si>
  <si>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</si>
  <si>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</si>
  <si>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</si>
  <si>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</si>
  <si>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</si>
  <si>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</si>
  <si>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</si>
  <si>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</si>
  <si>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</si>
  <si>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</si>
  <si>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</si>
  <si>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</si>
  <si>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</si>
  <si>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</si>
  <si>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</si>
  <si>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</si>
  <si>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</si>
  <si>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</si>
  <si>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</si>
  <si>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</si>
  <si>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</si>
  <si>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</si>
  <si>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</si>
  <si>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</si>
  <si>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</si>
  <si>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</si>
  <si>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</si>
  <si>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</si>
  <si>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</si>
  <si>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</si>
  <si>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</si>
  <si>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</si>
  <si>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</si>
  <si>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</si>
  <si>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</si>
  <si>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</si>
  <si>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</si>
  <si>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</si>
  <si>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</si>
  <si>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</si>
  <si>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</si>
  <si>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</si>
  <si>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</si>
  <si>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</si>
  <si>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</si>
  <si>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</si>
  <si>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</si>
  <si>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</si>
  <si>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</si>
  <si>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</si>
  <si>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</si>
  <si>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</si>
  <si>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</si>
  <si>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</si>
  <si>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</si>
  <si>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</si>
  <si>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</si>
  <si>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</si>
  <si>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</si>
  <si>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</si>
  <si>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</si>
  <si>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</si>
  <si>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</si>
  <si>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</si>
  <si>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</si>
  <si>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</si>
  <si>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</si>
  <si>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</si>
  <si>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</si>
  <si>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</si>
  <si>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</si>
  <si>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</si>
  <si>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</si>
  <si>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</si>
  <si>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</si>
  <si>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</si>
  <si>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</si>
  <si>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</si>
  <si>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</si>
  <si>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</si>
  <si>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</si>
  <si>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</si>
  <si>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</si>
  <si>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</si>
  <si>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</si>
  <si>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</si>
  <si>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</si>
  <si>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</si>
  <si>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</si>
  <si>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</si>
  <si>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</si>
  <si>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</si>
  <si>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</si>
  <si>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</si>
  <si>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</si>
  <si>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</si>
  <si>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</si>
  <si>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</si>
  <si>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</si>
  <si>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</si>
  <si>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</si>
  <si>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</si>
  <si>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</si>
  <si>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</si>
  <si>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</si>
  <si>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</si>
  <si>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</si>
  <si>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</si>
  <si>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</si>
  <si>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</si>
  <si>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</si>
  <si>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</si>
  <si>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</si>
  <si>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</si>
  <si>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</si>
  <si>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</si>
  <si>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</si>
  <si>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</si>
  <si>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</si>
  <si>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</si>
  <si>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</si>
  <si>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</si>
  <si>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</si>
  <si>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</si>
  <si>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</si>
  <si>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</si>
  <si>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</si>
  <si>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</si>
  <si>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</si>
  <si>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</si>
  <si>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</si>
  <si>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</si>
  <si>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</si>
  <si>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</si>
  <si>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</si>
  <si>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</si>
  <si>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</si>
  <si>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</si>
  <si>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</si>
  <si>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</si>
  <si>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</si>
  <si>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</si>
  <si>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</si>
  <si>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</si>
  <si>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</si>
  <si>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</si>
  <si>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</si>
  <si>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</si>
  <si>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</si>
  <si>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</si>
  <si>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</si>
  <si>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</si>
  <si>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</si>
  <si>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</si>
  <si>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</si>
  <si>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</si>
  <si>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</si>
  <si>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</si>
  <si>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</si>
  <si>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</si>
  <si>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</si>
  <si>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</si>
  <si>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</si>
  <si>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</si>
  <si>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</si>
  <si>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</si>
  <si>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</si>
  <si>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</si>
  <si>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</si>
  <si>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</si>
  <si>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</si>
  <si>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</si>
  <si>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</si>
  <si>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</si>
  <si>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</si>
  <si>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</si>
  <si>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</si>
  <si>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</si>
  <si>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</si>
  <si>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</si>
  <si>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</si>
  <si>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</si>
  <si>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</si>
  <si>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</si>
  <si>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</si>
  <si>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</si>
  <si>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</si>
  <si>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</si>
  <si>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</si>
  <si>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</si>
  <si>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</si>
  <si>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</si>
  <si>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</si>
  <si>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</si>
  <si>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</si>
  <si>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</si>
  <si>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</si>
  <si>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</si>
  <si>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</si>
  <si>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</si>
  <si>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</si>
  <si>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</si>
  <si>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</si>
  <si>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</si>
  <si>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</si>
  <si>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</si>
  <si>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</si>
  <si>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</si>
  <si>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</si>
  <si>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</si>
  <si>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</si>
  <si>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</si>
  <si>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</si>
  <si>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</si>
  <si>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</si>
  <si>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</si>
  <si>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</si>
  <si>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</si>
  <si>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</si>
  <si>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</si>
  <si>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</si>
  <si>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</si>
  <si>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</si>
  <si>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</si>
  <si>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</si>
  <si>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</si>
  <si>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</si>
  <si>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</si>
  <si>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</si>
  <si>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</si>
  <si>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</si>
  <si>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</si>
  <si>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</si>
  <si>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</si>
  <si>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</si>
  <si>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</si>
  <si>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</si>
  <si>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</si>
  <si>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</si>
  <si>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</si>
  <si>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</si>
  <si>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</si>
  <si>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</si>
  <si>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</si>
  <si>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</si>
  <si>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</si>
  <si>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</si>
  <si>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</si>
  <si>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</si>
  <si>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</si>
  <si>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</si>
  <si>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</si>
  <si>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</si>
  <si>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</si>
  <si>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</si>
  <si>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</si>
  <si>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</si>
  <si>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</si>
  <si>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</si>
  <si>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</si>
  <si>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</si>
  <si>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</si>
  <si>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</si>
  <si>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</si>
  <si>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</si>
  <si>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</si>
  <si>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</si>
  <si>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</si>
  <si>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</si>
  <si>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</si>
  <si>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</si>
  <si>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</si>
  <si>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</si>
  <si>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</si>
  <si>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</si>
  <si>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</si>
  <si>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</si>
  <si>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</si>
  <si>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</si>
  <si>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</si>
  <si>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</si>
  <si>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</si>
  <si>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</si>
  <si>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</si>
  <si>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</si>
  <si>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</si>
  <si>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</si>
  <si>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</si>
  <si>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</si>
  <si>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</si>
  <si>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</si>
  <si>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</si>
  <si>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</si>
  <si>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</si>
  <si>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</si>
  <si>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</si>
  <si>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</si>
  <si>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</si>
  <si>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</si>
  <si>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</si>
  <si>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</si>
  <si>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</si>
  <si>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</si>
  <si>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</si>
  <si>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</si>
  <si>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</si>
  <si>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</si>
  <si>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</si>
  <si>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</si>
  <si>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</si>
  <si>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</si>
  <si>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</si>
  <si>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</si>
  <si>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</si>
  <si>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</si>
  <si>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</si>
  <si>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</si>
  <si>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</si>
  <si>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</si>
  <si>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</si>
  <si>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</si>
  <si>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</si>
  <si>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</si>
  <si>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</si>
  <si>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</si>
  <si>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</si>
  <si>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</si>
  <si>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</si>
  <si>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</si>
  <si>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</si>
  <si>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</si>
  <si>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</si>
  <si>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</si>
  <si>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</si>
  <si>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</si>
  <si>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</si>
  <si>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</si>
  <si>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</si>
  <si>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</si>
  <si>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</si>
  <si>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</si>
  <si>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</si>
  <si>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</si>
  <si>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</si>
  <si>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</si>
  <si>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</si>
  <si>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</si>
  <si>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</si>
  <si>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</si>
  <si>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</si>
  <si>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</si>
  <si>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</si>
  <si>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</si>
  <si>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</si>
  <si>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</si>
  <si>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</si>
  <si>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</si>
  <si>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</si>
  <si>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</si>
  <si>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</si>
  <si>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</si>
  <si>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</si>
  <si>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</si>
  <si>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</si>
  <si>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</si>
  <si>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</si>
  <si>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</si>
  <si>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</si>
  <si>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</si>
  <si>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</si>
  <si>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</si>
  <si>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</si>
  <si>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</si>
  <si>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</si>
  <si>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</si>
  <si>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</si>
  <si>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</si>
  <si>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</si>
  <si>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</si>
  <si>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</si>
  <si>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</si>
  <si>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</si>
  <si>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</si>
  <si>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</si>
  <si>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</si>
  <si>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</si>
  <si>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</si>
  <si>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</si>
  <si>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</si>
  <si>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</si>
  <si>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</si>
  <si>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</si>
  <si>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</si>
  <si>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</si>
  <si>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</si>
  <si>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</si>
  <si>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</si>
  <si>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</si>
  <si>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</si>
  <si>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</si>
  <si>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</si>
  <si>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</si>
  <si>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</si>
  <si>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</si>
  <si>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</si>
  <si>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</si>
  <si>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</si>
  <si>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</si>
  <si>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</si>
  <si>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</si>
  <si>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</si>
  <si>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</si>
  <si>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</si>
  <si>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</si>
  <si>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</si>
  <si>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</si>
  <si>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</si>
  <si>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</si>
  <si>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</si>
  <si>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</si>
  <si>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</si>
  <si>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</si>
  <si>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</si>
  <si>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</si>
  <si>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</si>
  <si>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</si>
  <si>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</si>
  <si>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</si>
  <si>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</si>
  <si>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</si>
  <si>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</si>
  <si>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</si>
  <si>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</si>
  <si>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</si>
  <si>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</si>
  <si>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</si>
  <si>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</si>
  <si>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</si>
  <si>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</si>
  <si>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</si>
  <si>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</si>
  <si>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</si>
  <si>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</si>
  <si>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</si>
  <si>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</si>
  <si>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</si>
  <si>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</si>
  <si>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</si>
  <si>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</si>
  <si>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</si>
  <si>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</si>
  <si>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</si>
  <si>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</si>
  <si>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</si>
  <si>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</si>
  <si>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</si>
  <si>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</si>
  <si>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</si>
  <si>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</si>
  <si>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</si>
  <si>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</si>
  <si>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</si>
  <si>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</si>
  <si>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</si>
  <si>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</si>
  <si>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</si>
  <si>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</si>
  <si>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</si>
  <si>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</si>
  <si>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</si>
  <si>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</si>
  <si>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</si>
  <si>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</si>
  <si>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</si>
  <si>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</si>
  <si>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</si>
  <si>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</si>
  <si>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</si>
  <si>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</si>
  <si>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</si>
  <si>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</si>
  <si>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</si>
  <si>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</si>
  <si>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</si>
  <si>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</si>
  <si>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</si>
  <si>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</si>
  <si>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</si>
  <si>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</si>
  <si>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</si>
  <si>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</si>
  <si>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</si>
  <si>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</si>
  <si>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</si>
  <si>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</si>
  <si>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</si>
  <si>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</si>
  <si>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</si>
  <si>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</si>
  <si>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</si>
  <si>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</si>
  <si>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</si>
  <si>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</si>
  <si>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</si>
  <si>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</si>
  <si>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</si>
  <si>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</si>
  <si>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</si>
  <si>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</si>
  <si>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</si>
  <si>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</si>
  <si>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</si>
  <si>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</si>
  <si>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</si>
  <si>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</si>
  <si>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</si>
  <si>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</si>
  <si>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</si>
  <si>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</si>
  <si>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</si>
  <si>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</si>
  <si>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</si>
  <si>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</si>
  <si>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</si>
  <si>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</si>
  <si>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</si>
  <si>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</si>
  <si>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</si>
  <si>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</si>
  <si>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</si>
  <si>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</si>
  <si>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</si>
  <si>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</si>
  <si>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</si>
  <si>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</si>
  <si>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</si>
  <si>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</si>
  <si>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</si>
  <si>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</si>
  <si>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</si>
  <si>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</si>
  <si>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</si>
  <si>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</si>
  <si>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</si>
  <si>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</si>
  <si>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</si>
  <si>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</si>
  <si>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</si>
  <si>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</si>
  <si>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</si>
  <si>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</si>
  <si>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</si>
  <si>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</si>
  <si>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</si>
  <si>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</si>
  <si>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</si>
  <si>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</si>
  <si>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</si>
  <si>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</si>
  <si>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</si>
  <si>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</si>
  <si>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</si>
  <si>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</si>
  <si>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</si>
  <si>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</si>
  <si>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</si>
  <si>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</si>
  <si>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</si>
  <si>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</si>
  <si>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</si>
  <si>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</si>
  <si>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</si>
  <si>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</si>
  <si>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</si>
  <si>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</si>
  <si>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</si>
  <si>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</si>
  <si>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</si>
  <si>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</si>
  <si>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</si>
  <si>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</si>
  <si>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</si>
  <si>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</si>
  <si>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</si>
  <si>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</si>
  <si>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</si>
  <si>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</si>
  <si>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</si>
  <si>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</si>
  <si>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</si>
  <si>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</si>
  <si>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</si>
  <si>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</si>
  <si>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</si>
  <si>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</si>
  <si>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</si>
  <si>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</si>
  <si>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</si>
  <si>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</si>
  <si>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</si>
  <si>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</si>
  <si>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</si>
  <si>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</si>
  <si>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</si>
  <si>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</si>
  <si>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</si>
  <si>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</si>
  <si>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</si>
  <si>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</si>
  <si>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</si>
  <si>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</si>
  <si>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</si>
  <si>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</si>
  <si>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</si>
  <si>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</si>
  <si>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</si>
  <si>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</si>
  <si>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</si>
  <si>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</si>
  <si>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</si>
  <si>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</si>
  <si>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</si>
  <si>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</si>
  <si>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</si>
  <si>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</si>
  <si>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</si>
  <si>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</si>
  <si>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</si>
  <si>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</si>
  <si>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</si>
  <si>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</si>
  <si>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</si>
  <si>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</si>
  <si>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</si>
  <si>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</si>
  <si>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</si>
  <si>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</si>
  <si>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</si>
  <si>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</si>
  <si>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</si>
  <si>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</si>
  <si>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</si>
  <si>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</si>
  <si>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</si>
  <si>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</si>
  <si>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</si>
  <si>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</si>
  <si>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</si>
  <si>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</si>
  <si>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</si>
  <si>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</si>
  <si>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</si>
  <si>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</si>
  <si>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</si>
  <si>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</si>
  <si>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</si>
  <si>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</si>
  <si>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</si>
  <si>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</si>
  <si>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</si>
  <si>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</si>
  <si>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</si>
  <si>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</si>
  <si>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</si>
  <si>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</si>
  <si>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</si>
  <si>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</si>
  <si>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</si>
  <si>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</si>
  <si>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</si>
  <si>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</si>
  <si>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</si>
  <si>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</si>
  <si>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</si>
  <si>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</si>
  <si>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</si>
  <si>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</si>
  <si>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</si>
  <si>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</si>
  <si>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</si>
  <si>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</si>
  <si>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</si>
  <si>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</si>
  <si>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</si>
  <si>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</si>
  <si>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</si>
  <si>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</si>
  <si>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</si>
  <si>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</si>
  <si>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</si>
  <si>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</si>
  <si>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</si>
  <si>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</si>
  <si>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</si>
  <si>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</si>
  <si>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</si>
  <si>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</si>
  <si>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</si>
  <si>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</si>
  <si>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</si>
  <si>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</si>
  <si>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</si>
  <si>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</si>
  <si>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</si>
  <si>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</si>
  <si>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</si>
  <si>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</si>
  <si>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</si>
  <si>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</si>
  <si>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</si>
  <si>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</si>
  <si>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</si>
  <si>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</si>
  <si>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</si>
  <si>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</si>
  <si>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</si>
  <si>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</si>
  <si>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</si>
  <si>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</si>
  <si>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</si>
  <si>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</si>
  <si>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</si>
  <si>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</si>
  <si>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</si>
  <si>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</si>
  <si>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</si>
  <si>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</si>
  <si>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</si>
  <si>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</si>
  <si>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</si>
  <si>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</si>
  <si>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</si>
  <si>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</si>
  <si>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</si>
  <si>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</si>
  <si>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</si>
  <si>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</si>
  <si>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</si>
  <si>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</si>
  <si>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</si>
  <si>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</si>
  <si>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</si>
  <si>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</si>
  <si>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</si>
  <si>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</si>
  <si>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</si>
  <si>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</si>
  <si>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</si>
  <si>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</si>
  <si>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</si>
  <si>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</si>
  <si>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</si>
  <si>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</si>
  <si>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</si>
  <si>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</si>
  <si>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</si>
  <si>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</si>
  <si>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</si>
  <si>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</si>
  <si>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</si>
  <si>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</si>
  <si>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</si>
  <si>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</si>
  <si>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</si>
  <si>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</si>
  <si>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</si>
  <si>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</si>
  <si>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</si>
  <si>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</si>
  <si>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</si>
  <si>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</si>
  <si>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</si>
  <si>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</si>
  <si>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</si>
  <si>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</si>
  <si>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</si>
  <si>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</si>
  <si>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</si>
  <si>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</si>
  <si>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</si>
  <si>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</si>
  <si>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</si>
  <si>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</si>
  <si>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</si>
  <si>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</si>
  <si>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</si>
  <si>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</si>
  <si>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</si>
  <si>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</si>
  <si>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</si>
  <si>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</si>
  <si>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</si>
  <si>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</si>
  <si>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</si>
  <si>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</si>
  <si>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</si>
  <si>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</si>
  <si>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</si>
  <si>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</si>
  <si>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</si>
  <si>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</si>
  <si>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</si>
  <si>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</si>
  <si>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</si>
  <si>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</si>
  <si>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</si>
  <si>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</si>
  <si>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</si>
  <si>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</si>
  <si>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</si>
  <si>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</si>
  <si>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</si>
  <si>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</si>
  <si>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</si>
  <si>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</si>
  <si>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</si>
  <si>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</si>
  <si>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</si>
  <si>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</si>
  <si>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</si>
  <si>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</si>
  <si>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</si>
  <si>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</si>
  <si>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</si>
  <si>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</si>
  <si>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</si>
  <si>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</si>
  <si>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</si>
  <si>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</si>
  <si>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</si>
  <si>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</si>
  <si>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</si>
  <si>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</si>
  <si>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</si>
  <si>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</si>
  <si>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</si>
  <si>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</si>
  <si>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</si>
  <si>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</si>
  <si>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</si>
  <si>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</si>
  <si>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</si>
  <si>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</si>
  <si>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</si>
  <si>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</si>
  <si>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</si>
  <si>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</si>
  <si>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</si>
  <si>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</si>
  <si>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</si>
  <si>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</si>
  <si>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</si>
  <si>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</si>
  <si>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</si>
  <si>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</si>
  <si>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</si>
  <si>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</si>
  <si>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</si>
  <si>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</si>
  <si>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</si>
  <si>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</si>
  <si>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</si>
  <si>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</si>
  <si>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</si>
  <si>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</si>
  <si>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</si>
  <si>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</si>
  <si>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</si>
  <si>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</si>
  <si>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</si>
  <si>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</si>
  <si>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</si>
  <si>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</si>
  <si>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</si>
  <si>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</si>
  <si>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</si>
  <si>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</si>
  <si>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</si>
  <si>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</si>
  <si>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</si>
  <si>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</si>
  <si>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</si>
  <si>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</si>
  <si>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</si>
  <si>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</si>
  <si>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</si>
  <si>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</si>
  <si>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</si>
  <si>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</si>
  <si>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</si>
  <si>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</si>
  <si>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</si>
  <si>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</si>
  <si>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</si>
  <si>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</si>
  <si>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</si>
  <si>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</si>
  <si>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</si>
  <si>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</si>
  <si>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</si>
  <si>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</si>
  <si>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</si>
  <si>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</si>
  <si>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</si>
  <si>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</si>
  <si>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</si>
  <si>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</si>
  <si>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</si>
  <si>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</si>
  <si>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</si>
  <si>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</si>
  <si>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</si>
  <si>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</si>
  <si>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</si>
  <si>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</si>
  <si>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</si>
  <si>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</si>
  <si>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</si>
  <si>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</si>
  <si>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</si>
  <si>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</si>
  <si>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</si>
  <si>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</si>
  <si>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</si>
  <si>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</si>
  <si>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</si>
  <si>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</si>
  <si>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</si>
  <si>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</si>
  <si>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</si>
  <si>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</si>
  <si>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</si>
  <si>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</si>
  <si>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</si>
  <si>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</si>
  <si>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</si>
  <si>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</si>
  <si>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</si>
  <si>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</si>
  <si>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</si>
  <si>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</si>
  <si>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</si>
  <si>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</si>
  <si>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</si>
  <si>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</si>
  <si>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</si>
  <si>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</si>
  <si>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</si>
  <si>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</si>
  <si>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</si>
  <si>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</si>
  <si>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</si>
  <si>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</si>
  <si>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</si>
  <si>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</si>
  <si>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</si>
  <si>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</si>
  <si>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</si>
  <si>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</si>
  <si>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</si>
  <si>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</si>
  <si>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</si>
  <si>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</si>
  <si>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</si>
  <si>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</si>
  <si>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</si>
  <si>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</si>
  <si>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</si>
  <si>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</si>
  <si>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</si>
  <si>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</si>
  <si>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</si>
  <si>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</si>
  <si>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</si>
  <si>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</si>
  <si>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</si>
  <si>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</si>
  <si>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</si>
  <si>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</si>
  <si>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</si>
  <si>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</si>
  <si>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</si>
  <si>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</si>
  <si>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</si>
  <si>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</si>
  <si>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</si>
  <si>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</si>
  <si>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</si>
  <si>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</si>
  <si>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</si>
  <si>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</si>
  <si>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</si>
  <si>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</si>
  <si>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</si>
  <si>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</si>
  <si>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</si>
  <si>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</si>
  <si>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</si>
  <si>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</si>
  <si>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</si>
  <si>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</si>
  <si>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</si>
  <si>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</si>
  <si>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</si>
  <si>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</si>
  <si>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</si>
  <si>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</si>
  <si>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</si>
  <si>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</si>
  <si>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</si>
  <si>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</si>
  <si>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</si>
  <si>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</si>
  <si>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</si>
  <si>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</si>
  <si>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</si>
  <si>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</si>
  <si>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</si>
  <si>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</si>
  <si>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</si>
  <si>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</si>
  <si>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</si>
  <si>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</si>
  <si>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</si>
  <si>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</si>
  <si>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</si>
  <si>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</si>
  <si>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</si>
  <si>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</si>
  <si>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</si>
  <si>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</si>
  <si>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</si>
  <si>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</si>
  <si>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</si>
  <si>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</si>
  <si>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</si>
  <si>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</si>
  <si>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</si>
  <si>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</si>
  <si>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</si>
  <si>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</si>
  <si>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</si>
  <si>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</si>
  <si>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</si>
  <si>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</si>
  <si>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</si>
  <si>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</si>
  <si>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</si>
  <si>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</si>
  <si>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</si>
  <si>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</si>
  <si>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</si>
  <si>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</si>
  <si>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</si>
  <si>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</si>
  <si>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</si>
  <si>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</si>
  <si>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</si>
  <si>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</si>
  <si>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</si>
  <si>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</si>
  <si>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</si>
  <si>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</si>
  <si>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</si>
  <si>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</si>
  <si>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</si>
  <si>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</si>
  <si>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</si>
  <si>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</si>
  <si>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</si>
  <si>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</si>
  <si>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</si>
  <si>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</si>
  <si>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</si>
  <si>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</si>
  <si>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</si>
  <si>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</si>
  <si>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</si>
  <si>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</si>
  <si>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</si>
  <si>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</si>
  <si>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</si>
  <si>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</si>
  <si>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</si>
  <si>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</si>
  <si>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</si>
  <si>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</si>
  <si>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</si>
  <si>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</si>
  <si>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</si>
  <si>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</si>
  <si>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</si>
  <si>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</si>
  <si>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</si>
  <si>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</si>
  <si>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</si>
  <si>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</si>
  <si>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</si>
  <si>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</si>
  <si>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</si>
  <si>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</si>
  <si>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</si>
  <si>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</si>
  <si>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</si>
  <si>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</si>
  <si>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</si>
  <si>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</si>
  <si>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</si>
  <si>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</si>
  <si>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</si>
  <si>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</si>
  <si>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</si>
  <si>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</si>
  <si>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</si>
  <si>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</si>
  <si>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</si>
  <si>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</si>
  <si>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</si>
  <si>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</si>
  <si>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</si>
  <si>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</si>
  <si>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</si>
  <si>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</si>
  <si>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</si>
  <si>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</si>
  <si>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</si>
  <si>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</si>
  <si>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</si>
  <si>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</si>
  <si>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</si>
  <si>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</si>
  <si>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</si>
  <si>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</si>
  <si>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</si>
  <si>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</si>
  <si>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</si>
  <si>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</si>
  <si>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</si>
  <si>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</si>
  <si>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</si>
  <si>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</si>
  <si>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</si>
  <si>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</si>
  <si>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</si>
  <si>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</si>
  <si>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</si>
  <si>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</si>
  <si>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</si>
  <si>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</si>
  <si>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</si>
  <si>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</si>
  <si>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</si>
  <si>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</si>
  <si>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</si>
  <si>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</si>
  <si>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</si>
  <si>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</si>
  <si>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</si>
  <si>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</si>
  <si>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</si>
  <si>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</si>
  <si>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</si>
  <si>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</si>
  <si>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</si>
  <si>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</si>
  <si>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</si>
  <si>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</si>
  <si>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</si>
  <si>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</si>
  <si>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</si>
  <si>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</si>
  <si>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</si>
  <si>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</si>
  <si>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</si>
  <si>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</si>
  <si>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</si>
  <si>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</si>
  <si>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</si>
  <si>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</si>
  <si>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</si>
  <si>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</si>
  <si>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</si>
  <si>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</si>
  <si>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</si>
  <si>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</si>
  <si>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</si>
  <si>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</si>
  <si>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</si>
  <si>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</si>
  <si>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</si>
  <si>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</si>
  <si>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</si>
  <si>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</si>
  <si>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</si>
  <si>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</si>
  <si>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</si>
  <si>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</si>
  <si>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</si>
  <si>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</si>
  <si>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</si>
  <si>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</si>
  <si>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</si>
  <si>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</si>
  <si>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</si>
  <si>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</si>
  <si>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</si>
  <si>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</si>
  <si>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</si>
  <si>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</si>
  <si>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</si>
  <si>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</si>
  <si>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</si>
  <si>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</si>
  <si>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</si>
  <si>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</si>
  <si>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</si>
  <si>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</si>
  <si>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</si>
  <si>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</si>
  <si>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</si>
  <si>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</si>
  <si>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</si>
  <si>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</si>
  <si>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</si>
  <si>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</si>
  <si>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</si>
  <si>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</si>
  <si>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</si>
  <si>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</si>
  <si>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</si>
  <si>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</si>
  <si>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</si>
  <si>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</si>
  <si>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</si>
  <si>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</si>
  <si>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</si>
  <si>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</si>
  <si>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</si>
  <si>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</si>
  <si>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</si>
  <si>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</si>
  <si>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</si>
  <si>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</si>
  <si>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</si>
  <si>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</si>
  <si>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</si>
  <si>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</si>
  <si>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</si>
  <si>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</si>
  <si>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</si>
  <si>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</si>
  <si>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</si>
  <si>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</si>
  <si>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</si>
  <si>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</si>
  <si>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</si>
  <si>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</si>
  <si>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</si>
  <si>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</si>
  <si>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</si>
  <si>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</si>
  <si>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</si>
  <si>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</si>
  <si>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</si>
  <si>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</si>
  <si>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</si>
  <si>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</si>
  <si>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</si>
  <si>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</si>
  <si>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</si>
  <si>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</si>
  <si>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</si>
  <si>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</si>
  <si>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</si>
  <si>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</si>
  <si>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</si>
  <si>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</si>
  <si>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</si>
  <si>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</si>
  <si>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</si>
  <si>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</si>
  <si>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</si>
  <si>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</si>
  <si>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</si>
  <si>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</si>
  <si>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</si>
  <si>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</si>
  <si>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</si>
  <si>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</si>
  <si>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</si>
  <si>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</si>
  <si>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</si>
  <si>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</si>
  <si>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</si>
  <si>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</si>
  <si>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</si>
  <si>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</si>
  <si>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</si>
  <si>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</si>
  <si>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</si>
  <si>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</si>
  <si>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</si>
  <si>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</si>
  <si>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</si>
  <si>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</si>
  <si>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</si>
  <si>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</si>
  <si>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</si>
  <si>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</si>
  <si>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</si>
  <si>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</si>
  <si>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</si>
  <si>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</si>
  <si>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</si>
  <si>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</si>
  <si>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</si>
  <si>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</si>
  <si>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</si>
  <si>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</si>
  <si>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</si>
  <si>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</si>
  <si>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</si>
  <si>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</si>
  <si>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</si>
  <si>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</si>
  <si>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</si>
  <si>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</si>
  <si>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</si>
  <si>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</si>
  <si>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</si>
  <si>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</si>
  <si>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</si>
  <si>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</si>
  <si>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</si>
  <si>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</si>
  <si>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</si>
  <si>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</si>
  <si>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</si>
  <si>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</si>
  <si>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</si>
  <si>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</si>
  <si>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</si>
  <si>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</si>
  <si>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</si>
  <si>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</si>
  <si>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</si>
  <si>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</si>
  <si>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</si>
  <si>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</si>
  <si>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</si>
  <si>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</si>
  <si>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</si>
  <si>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</si>
  <si>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</si>
  <si>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</si>
  <si>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</si>
  <si>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</si>
  <si>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</si>
  <si>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</si>
  <si>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</si>
  <si>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</si>
  <si>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</si>
  <si>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</si>
  <si>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</si>
  <si>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</si>
  <si>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</si>
  <si>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</si>
  <si>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</si>
  <si>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</si>
  <si>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</si>
  <si>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</si>
  <si>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</si>
  <si>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</si>
  <si>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</si>
  <si>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</si>
  <si>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</si>
  <si>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</si>
  <si>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</si>
  <si>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</si>
  <si>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</si>
  <si>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</si>
  <si>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</si>
  <si>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</si>
  <si>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</si>
  <si>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</si>
  <si>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</si>
  <si>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</si>
  <si>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</si>
  <si>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</si>
  <si>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</si>
  <si>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</si>
  <si>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</si>
  <si>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</si>
  <si>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</si>
  <si>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</si>
  <si>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</si>
  <si>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</si>
  <si>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</si>
  <si>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</si>
  <si>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</si>
  <si>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</si>
  <si>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</si>
  <si>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</si>
  <si>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</si>
  <si>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</si>
  <si>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</si>
  <si>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</si>
  <si>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</si>
  <si>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</si>
  <si>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</si>
  <si>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</si>
  <si>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</si>
  <si>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</si>
  <si>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</si>
  <si>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</si>
  <si>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</si>
  <si>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</si>
  <si>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</si>
  <si>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</si>
  <si>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</si>
  <si>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</si>
  <si>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</si>
  <si>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</si>
  <si>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</si>
  <si>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</si>
  <si>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</si>
  <si>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</si>
  <si>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</si>
  <si>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</si>
  <si>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</si>
  <si>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</si>
  <si>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</si>
  <si>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</si>
  <si>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</si>
  <si>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</si>
  <si>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</si>
  <si>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</si>
  <si>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</si>
  <si>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</si>
  <si>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</si>
  <si>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</si>
  <si>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</si>
  <si>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</si>
  <si>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</si>
  <si>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</si>
  <si>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</si>
  <si>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</si>
  <si>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</si>
  <si>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</si>
  <si>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</si>
  <si>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</si>
  <si>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</si>
  <si>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</si>
  <si>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</si>
  <si>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</si>
  <si>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</si>
  <si>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</si>
  <si>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</si>
  <si>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</si>
  <si>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</si>
  <si>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</si>
  <si>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</si>
  <si>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</si>
  <si>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</si>
  <si>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</si>
  <si>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</si>
  <si>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</si>
  <si>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</si>
  <si>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</si>
  <si>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</si>
  <si>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</si>
  <si>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</si>
  <si>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</si>
  <si>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</si>
  <si>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</si>
  <si>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</si>
  <si>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</si>
  <si>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</si>
  <si>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</si>
  <si>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</si>
  <si>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</si>
  <si>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</si>
  <si>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</si>
  <si>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</si>
  <si>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</si>
  <si>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</si>
  <si>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</si>
  <si>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</si>
  <si>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</si>
  <si>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</si>
  <si>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</si>
  <si>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</si>
  <si>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</si>
  <si>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</si>
  <si>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</si>
  <si>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</si>
  <si>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</si>
  <si>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</si>
  <si>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</si>
  <si>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</si>
  <si>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</si>
  <si>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</si>
  <si>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</si>
  <si>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</si>
  <si>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</si>
  <si>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</si>
  <si>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</si>
  <si>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</si>
  <si>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</si>
  <si>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</si>
  <si>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</si>
  <si>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</si>
  <si>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</si>
  <si>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</si>
  <si>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</si>
  <si>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</si>
  <si>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</si>
  <si>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</si>
  <si>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</si>
  <si>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</si>
  <si>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</si>
  <si>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</si>
  <si>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</si>
  <si>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</si>
  <si>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</si>
  <si>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</si>
  <si>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</si>
  <si>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</si>
  <si>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</si>
  <si>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</si>
  <si>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</si>
  <si>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</si>
  <si>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</si>
  <si>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</si>
  <si>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</si>
  <si>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</si>
  <si>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</si>
  <si>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</si>
  <si>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</si>
  <si>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</si>
  <si>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</si>
  <si>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</si>
  <si>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</si>
  <si>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</si>
  <si>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</si>
  <si>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</si>
  <si>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</si>
  <si>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</si>
  <si>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</si>
  <si>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</si>
  <si>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</si>
  <si>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</si>
  <si>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</si>
  <si>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</si>
  <si>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</si>
  <si>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</si>
  <si>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</si>
  <si>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</si>
  <si>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</si>
  <si>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</si>
  <si>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</si>
  <si>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</si>
  <si>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</si>
  <si>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</si>
  <si>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</si>
  <si>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</si>
  <si>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</si>
  <si>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</si>
  <si>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</si>
  <si>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</si>
  <si>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</si>
  <si>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</si>
  <si>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</si>
  <si>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</si>
  <si>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</si>
  <si>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</si>
  <si>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</si>
  <si>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</si>
  <si>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</si>
  <si>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</si>
  <si>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</si>
  <si>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</si>
  <si>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</si>
  <si>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</si>
  <si>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</si>
  <si>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</si>
  <si>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</si>
  <si>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</si>
  <si>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</si>
  <si>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</si>
  <si>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</si>
  <si>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</si>
  <si>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</si>
  <si>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</si>
  <si>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</si>
  <si>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</si>
  <si>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</si>
  <si>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</si>
  <si>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</si>
  <si>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</si>
  <si>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</si>
  <si>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</si>
  <si>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</si>
  <si>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</si>
  <si>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</si>
  <si>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</si>
  <si>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</si>
  <si>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</si>
  <si>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</si>
  <si>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</si>
  <si>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</si>
  <si>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</si>
  <si>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</si>
  <si>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</si>
  <si>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</si>
  <si>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</si>
  <si>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</si>
  <si>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</si>
  <si>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</si>
  <si>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</si>
  <si>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</si>
  <si>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</si>
  <si>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</si>
  <si>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</si>
  <si>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</si>
  <si>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</si>
  <si>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</si>
  <si>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</si>
  <si>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</si>
  <si>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</si>
  <si>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</si>
  <si>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</si>
  <si>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</si>
  <si>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</si>
  <si>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</si>
  <si>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</si>
  <si>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</si>
  <si>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</si>
  <si>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</si>
  <si>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</si>
  <si>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</si>
  <si>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</si>
  <si>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</si>
  <si>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</si>
  <si>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</si>
  <si>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</si>
  <si>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</si>
  <si>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</si>
  <si>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</si>
  <si>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</si>
  <si>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</si>
  <si>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</si>
  <si>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</si>
  <si>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</si>
  <si>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</si>
  <si>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</si>
  <si>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</si>
  <si>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</si>
  <si>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</si>
  <si>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</si>
  <si>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</si>
  <si>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</si>
  <si>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</si>
  <si>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</si>
  <si>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</si>
  <si>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</si>
  <si>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</si>
  <si>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</si>
  <si>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</si>
  <si>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</si>
  <si>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</si>
  <si>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</si>
  <si>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</si>
  <si>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</si>
  <si>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</si>
  <si>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</si>
  <si>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</si>
  <si>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</si>
  <si>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</si>
  <si>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</si>
  <si>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</si>
  <si>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</si>
  <si>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</si>
  <si>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</si>
  <si>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</si>
  <si>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</si>
  <si>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</si>
  <si>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</si>
  <si>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</si>
  <si>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</si>
  <si>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</si>
  <si>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</si>
  <si>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</si>
  <si>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</si>
  <si>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</si>
  <si>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</si>
  <si>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</si>
  <si>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</si>
  <si>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</si>
  <si>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</si>
  <si>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</si>
  <si>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</si>
  <si>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</si>
  <si>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</si>
  <si>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</si>
  <si>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</si>
  <si>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</si>
  <si>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</si>
  <si>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</si>
  <si>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</si>
  <si>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</si>
  <si>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</si>
  <si>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</si>
  <si>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</si>
  <si>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</si>
  <si>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</si>
  <si>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</si>
  <si>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</si>
  <si>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</si>
  <si>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</si>
  <si>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</si>
  <si>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</si>
  <si>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</si>
  <si>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</si>
  <si>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</si>
  <si>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</si>
  <si>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</si>
  <si>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</si>
  <si>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</si>
  <si>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</si>
  <si>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</si>
  <si>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</si>
  <si>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</si>
  <si>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</si>
  <si>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</si>
  <si>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</si>
  <si>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</si>
  <si>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</si>
  <si>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</si>
  <si>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</si>
  <si>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</si>
  <si>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</si>
  <si>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</si>
  <si>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</si>
  <si>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</si>
  <si>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</si>
  <si>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</si>
  <si>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</si>
  <si>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</si>
  <si>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</si>
  <si>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</si>
  <si>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</si>
  <si>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</si>
  <si>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</si>
  <si>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</si>
  <si>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</si>
  <si>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</si>
  <si>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</si>
  <si>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</si>
  <si>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</si>
  <si>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</si>
  <si>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</si>
  <si>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</si>
  <si>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</si>
  <si>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</si>
  <si>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</si>
  <si>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</si>
  <si>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</si>
  <si>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</si>
  <si>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</si>
  <si>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</si>
  <si>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</si>
  <si>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</si>
  <si>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</si>
  <si>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</si>
  <si>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</si>
  <si>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</si>
  <si>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</si>
  <si>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</si>
  <si>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</si>
  <si>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</si>
  <si>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</si>
  <si>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</si>
  <si>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</si>
  <si>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</si>
  <si>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</si>
  <si>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</si>
  <si>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</si>
  <si>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</si>
  <si>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</si>
  <si>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</si>
  <si>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</si>
  <si>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</si>
  <si>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</si>
  <si>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</si>
  <si>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</si>
  <si>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</si>
  <si>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</si>
  <si>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</si>
  <si>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</si>
  <si>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</si>
  <si>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</si>
  <si>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</si>
  <si>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</si>
  <si>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</si>
  <si>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</si>
  <si>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</si>
  <si>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</si>
  <si>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</si>
  <si>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</si>
  <si>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</si>
  <si>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</si>
  <si>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</si>
  <si>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</si>
  <si>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</si>
  <si>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</si>
  <si>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</si>
  <si>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</si>
  <si>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</si>
  <si>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</si>
  <si>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</si>
  <si>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</si>
  <si>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</si>
  <si>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</si>
  <si>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</si>
  <si>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</si>
  <si>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</si>
  <si>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</si>
  <si>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</si>
  <si>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</si>
  <si>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</si>
  <si>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</si>
  <si>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</si>
  <si>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</si>
  <si>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</si>
  <si>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</si>
  <si>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</si>
  <si>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</si>
  <si>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</si>
  <si>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</si>
  <si>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</si>
  <si>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</si>
  <si>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</si>
  <si>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</si>
  <si>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</si>
  <si>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</si>
  <si>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</si>
  <si>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</si>
  <si>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</si>
  <si>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</si>
  <si>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</si>
  <si>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</si>
  <si>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</si>
  <si>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</si>
  <si>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</si>
  <si>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</si>
  <si>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</si>
  <si>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</si>
  <si>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</si>
  <si>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</si>
  <si>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</si>
  <si>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</si>
  <si>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</si>
  <si>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</si>
  <si>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</si>
  <si>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</si>
  <si>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</si>
  <si>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</si>
  <si>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</si>
  <si>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</si>
  <si>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</si>
  <si>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</si>
  <si>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</si>
  <si>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</si>
  <si>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</si>
  <si>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</si>
  <si>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</si>
  <si>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</si>
  <si>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</si>
  <si>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</si>
  <si>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</si>
  <si>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</si>
  <si>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</si>
  <si>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</si>
  <si>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</si>
  <si>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</si>
  <si>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</si>
  <si>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</si>
  <si>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</si>
  <si>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</si>
  <si>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</si>
  <si>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</si>
  <si>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</si>
  <si>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</si>
  <si>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</si>
  <si>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</si>
  <si>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</si>
  <si>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</si>
  <si>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</si>
  <si>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</si>
  <si>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</si>
  <si>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</si>
  <si>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</si>
  <si>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</si>
  <si>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</si>
  <si>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</si>
  <si>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</si>
  <si>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</si>
  <si>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</si>
  <si>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</si>
  <si>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</si>
  <si>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</si>
  <si>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</si>
  <si>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</si>
  <si>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</si>
  <si>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</si>
  <si>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</si>
  <si>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</si>
  <si>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</si>
  <si>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</si>
  <si>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</si>
  <si>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</si>
  <si>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</si>
  <si>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</si>
  <si>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</si>
  <si>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</si>
  <si>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</si>
  <si>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</si>
  <si>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</si>
  <si>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</si>
  <si>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</si>
  <si>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</si>
  <si>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</si>
  <si>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</si>
  <si>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</si>
  <si>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</si>
  <si>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</si>
  <si>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</si>
  <si>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</si>
  <si>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</si>
  <si>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</si>
  <si>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</si>
  <si>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</si>
  <si>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</si>
  <si>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</si>
  <si>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</si>
  <si>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</si>
  <si>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</si>
  <si>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</si>
  <si>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</si>
  <si>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</si>
  <si>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</si>
  <si>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</si>
  <si>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</si>
  <si>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</si>
  <si>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</si>
  <si>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</si>
  <si>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</si>
  <si>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</si>
  <si>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</si>
  <si>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</si>
  <si>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</si>
  <si>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</si>
  <si>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</si>
  <si>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</si>
  <si>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</si>
  <si>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</si>
  <si>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</si>
  <si>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</si>
  <si>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</si>
  <si>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</si>
  <si>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</si>
  <si>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</si>
  <si>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</si>
  <si>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</si>
  <si>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</si>
  <si>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</si>
  <si>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</si>
  <si>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</si>
  <si>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</si>
  <si>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</si>
  <si>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</si>
  <si>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</si>
  <si>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</si>
  <si>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</si>
  <si>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</si>
  <si>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</si>
  <si>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</si>
  <si>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</si>
  <si>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</si>
  <si>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</si>
  <si>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</si>
  <si>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</si>
  <si>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</si>
  <si>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</si>
  <si>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</si>
  <si>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</si>
  <si>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</si>
  <si>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</si>
  <si>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</si>
  <si>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</si>
  <si>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</si>
  <si>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</si>
  <si>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</si>
  <si>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</si>
  <si>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</si>
  <si>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</si>
  <si>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</si>
  <si>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</si>
  <si>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</si>
  <si>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</si>
  <si>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</si>
  <si>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</si>
  <si>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</si>
  <si>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</si>
  <si>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</si>
  <si>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</si>
  <si>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</si>
  <si>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</si>
  <si>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</si>
  <si>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</si>
  <si>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</si>
  <si>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</si>
  <si>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</si>
  <si>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</si>
  <si>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</si>
  <si>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</si>
  <si>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</si>
  <si>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</si>
  <si>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</si>
  <si>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</si>
  <si>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</si>
  <si>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</si>
  <si>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</si>
  <si>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</si>
  <si>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</si>
  <si>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</si>
  <si>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</si>
  <si>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</si>
  <si>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</si>
  <si>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</si>
  <si>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</si>
  <si>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</si>
  <si>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</si>
  <si>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</si>
  <si>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</si>
  <si>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</si>
  <si>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</si>
  <si>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</si>
  <si>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</si>
  <si>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</si>
  <si>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</si>
  <si>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</si>
  <si>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</si>
  <si>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</si>
  <si>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</si>
  <si>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</si>
  <si>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</si>
  <si>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</si>
  <si>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</si>
  <si>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</si>
  <si>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</si>
  <si>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</si>
  <si>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</si>
  <si>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</si>
  <si>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</si>
  <si>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</si>
  <si>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</si>
  <si>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</si>
  <si>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</si>
  <si>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</si>
  <si>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</si>
  <si>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</si>
  <si>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</si>
  <si>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</si>
  <si>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</si>
  <si>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</si>
  <si>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</si>
  <si>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</si>
  <si>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</si>
  <si>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</si>
  <si>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</si>
  <si>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</si>
  <si>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</si>
  <si>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</si>
  <si>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</si>
  <si>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</si>
  <si>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</si>
  <si>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</si>
  <si>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</si>
  <si>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</si>
  <si>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</si>
  <si>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</si>
  <si>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</si>
  <si>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</si>
  <si>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</si>
  <si>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</si>
  <si>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</si>
  <si>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</si>
  <si>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</si>
  <si>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</si>
  <si>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</si>
  <si>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</si>
  <si>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</si>
  <si>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</si>
  <si>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</si>
  <si>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</si>
  <si>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</si>
  <si>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</si>
  <si>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</si>
  <si>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</si>
  <si>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</si>
  <si>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</si>
  <si>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</si>
  <si>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</si>
  <si>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</si>
  <si>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</si>
  <si>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</si>
  <si>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</si>
  <si>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</si>
  <si>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</si>
  <si>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</si>
  <si>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</si>
  <si>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</si>
  <si>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</si>
  <si>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</si>
  <si>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</si>
  <si>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</si>
  <si>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</si>
  <si>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</si>
  <si>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</si>
  <si>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</si>
  <si>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</si>
  <si>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</si>
  <si>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</si>
  <si>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</si>
  <si>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</si>
  <si>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</si>
  <si>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</si>
  <si>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</si>
  <si>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</si>
  <si>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</si>
  <si>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</si>
  <si>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</si>
  <si>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</si>
  <si>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</si>
  <si>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</si>
  <si>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</si>
  <si>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</si>
  <si>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</si>
  <si>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</si>
  <si>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</si>
  <si>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</si>
  <si>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</si>
  <si>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</si>
  <si>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</si>
  <si>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</si>
  <si>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</si>
  <si>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</si>
  <si>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</si>
  <si>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</si>
  <si>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</si>
  <si>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</si>
  <si>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</si>
  <si>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</si>
  <si>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</si>
  <si>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</si>
  <si>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</si>
  <si>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</si>
  <si>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</si>
  <si>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</si>
  <si>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</si>
  <si>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</si>
  <si>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</si>
  <si>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</si>
  <si>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</si>
  <si>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</si>
  <si>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</si>
  <si>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</si>
  <si>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</si>
  <si>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</si>
  <si>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</si>
  <si>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</si>
  <si>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</si>
  <si>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</si>
  <si>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</si>
  <si>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</si>
  <si>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</si>
  <si>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</si>
  <si>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</si>
  <si>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</si>
  <si>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</si>
  <si>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</si>
  <si>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</si>
  <si>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</si>
  <si>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</si>
  <si>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</si>
  <si>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</si>
  <si>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</si>
  <si>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</si>
  <si>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</si>
  <si>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</si>
  <si>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</si>
  <si>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</si>
  <si>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</si>
  <si>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</si>
  <si>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</si>
  <si>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</si>
  <si>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</si>
  <si>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</si>
  <si>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</si>
  <si>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</si>
  <si>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</si>
  <si>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</si>
  <si>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</si>
  <si>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</si>
  <si>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</si>
  <si>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</si>
  <si>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</si>
  <si>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</si>
  <si>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</si>
  <si>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</si>
  <si>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</si>
  <si>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</si>
  <si>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</si>
  <si>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</si>
  <si>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</si>
  <si>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</si>
  <si>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</si>
  <si>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</si>
  <si>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</si>
  <si>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</si>
  <si>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</si>
  <si>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</si>
  <si>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</si>
  <si>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</si>
  <si>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</si>
  <si>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</si>
  <si>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</si>
  <si>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</si>
  <si>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</si>
  <si>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</si>
  <si>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</si>
  <si>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</si>
  <si>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</si>
  <si>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</si>
  <si>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</si>
  <si>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</si>
  <si>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</si>
  <si>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</si>
  <si>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</si>
  <si>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</si>
  <si>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</si>
  <si>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</si>
  <si>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</si>
  <si>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</si>
  <si>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</si>
  <si>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</si>
  <si>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</si>
  <si>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</si>
  <si>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</si>
  <si>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</si>
  <si>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</si>
  <si>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</si>
  <si>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</si>
  <si>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</si>
  <si>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</si>
  <si>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</si>
  <si>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</si>
  <si>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</si>
  <si>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</si>
  <si>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</si>
  <si>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</si>
  <si>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</si>
  <si>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</si>
  <si>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</si>
  <si>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</si>
  <si>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</si>
  <si>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</si>
  <si>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</si>
  <si>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</si>
  <si>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</si>
  <si>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</si>
  <si>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</si>
  <si>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</si>
  <si>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</si>
  <si>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</si>
  <si>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</si>
  <si>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</si>
  <si>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</si>
  <si>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</si>
  <si>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</si>
  <si>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</si>
  <si>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</si>
  <si>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</si>
  <si>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</si>
  <si>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</si>
  <si>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</si>
  <si>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</si>
  <si>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</si>
  <si>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</si>
  <si>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</si>
  <si>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</si>
  <si>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</si>
  <si>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</si>
  <si>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</si>
  <si>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</si>
  <si>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</si>
  <si>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</si>
  <si>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</si>
  <si>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</si>
  <si>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</si>
  <si>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</si>
  <si>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</si>
  <si>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</si>
  <si>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</si>
  <si>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</si>
  <si>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</si>
  <si>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</si>
  <si>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</si>
  <si>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</si>
  <si>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</si>
  <si>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</si>
  <si>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</si>
  <si>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</si>
  <si>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</si>
  <si>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</si>
  <si>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</si>
  <si>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</si>
  <si>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</si>
  <si>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</si>
  <si>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</si>
  <si>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</si>
  <si>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</si>
  <si>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</si>
  <si>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</si>
  <si>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</si>
  <si>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</si>
  <si>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</si>
  <si>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</si>
  <si>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</si>
  <si>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</si>
  <si>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</si>
  <si>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</si>
  <si>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</si>
  <si>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</si>
  <si>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</si>
  <si>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</si>
  <si>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</si>
  <si>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</si>
  <si>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</si>
  <si>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</si>
  <si>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</si>
  <si>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</si>
  <si>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</si>
  <si>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</si>
  <si>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</si>
  <si>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</si>
  <si>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</si>
  <si>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</si>
  <si>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</si>
  <si>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</si>
  <si>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</si>
  <si>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</si>
  <si>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</si>
  <si>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</si>
  <si>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</si>
  <si>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</si>
  <si>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</si>
  <si>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</si>
  <si>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</si>
  <si>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</si>
  <si>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</si>
  <si>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</si>
  <si>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</si>
  <si>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</si>
  <si>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</si>
  <si>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</si>
  <si>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</si>
  <si>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</si>
  <si>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</si>
  <si>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</si>
  <si>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</si>
  <si>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</si>
  <si>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</si>
  <si>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</si>
  <si>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</si>
  <si>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</si>
  <si>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</si>
  <si>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</si>
  <si>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</si>
  <si>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</si>
  <si>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</si>
  <si>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</si>
  <si>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</si>
  <si>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</si>
  <si>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</si>
  <si>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</si>
  <si>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</si>
  <si>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</si>
  <si>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</si>
  <si>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</si>
  <si>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</si>
  <si>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</si>
  <si>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</si>
  <si>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</si>
  <si>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</si>
  <si>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</si>
  <si>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</si>
  <si>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</si>
  <si>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</si>
  <si>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</si>
  <si>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</si>
  <si>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</si>
  <si>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</si>
  <si>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</si>
  <si>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</si>
  <si>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</si>
  <si>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</si>
  <si>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</si>
  <si>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</si>
  <si>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</si>
  <si>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</si>
  <si>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</si>
  <si>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</si>
  <si>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</si>
  <si>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</si>
  <si>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</si>
  <si>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</si>
  <si>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</si>
  <si>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</si>
  <si>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</si>
  <si>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</si>
  <si>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</si>
  <si>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</si>
  <si>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</si>
  <si>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</si>
  <si>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</si>
  <si>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</si>
  <si>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</si>
  <si>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</si>
  <si>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</si>
  <si>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</si>
  <si>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</si>
  <si>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</si>
  <si>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</si>
  <si>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</si>
  <si>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</si>
  <si>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</si>
  <si>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</si>
  <si>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</si>
  <si>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</si>
  <si>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</si>
  <si>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</si>
  <si>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</si>
  <si>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</si>
  <si>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</si>
  <si>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</si>
  <si>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</si>
  <si>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</si>
  <si>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</si>
  <si>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</si>
  <si>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</si>
  <si>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</si>
  <si>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</si>
  <si>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</si>
  <si>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</si>
  <si>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</si>
  <si>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</si>
  <si>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</si>
  <si>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</si>
  <si>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</si>
  <si>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</si>
  <si>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</si>
  <si>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</si>
  <si>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</si>
  <si>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</si>
  <si>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</si>
  <si>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</si>
  <si>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</si>
  <si>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</si>
  <si>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</si>
  <si>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</si>
  <si>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</si>
  <si>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</si>
  <si>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</si>
  <si>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</si>
  <si>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</si>
  <si>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</si>
  <si>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</si>
  <si>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</si>
  <si>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</si>
  <si>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</si>
  <si>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</si>
  <si>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</si>
  <si>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</si>
  <si>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</si>
  <si>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</si>
  <si>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</si>
  <si>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</si>
  <si>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</si>
  <si>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</si>
  <si>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</si>
  <si>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</si>
  <si>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</si>
  <si>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</si>
  <si>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</si>
  <si>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</si>
  <si>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</si>
  <si>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</si>
  <si>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</si>
  <si>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</si>
  <si>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</si>
  <si>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</si>
  <si>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</si>
  <si>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</si>
  <si>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</si>
  <si>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</si>
  <si>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</si>
  <si>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</si>
  <si>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</si>
  <si>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</si>
  <si>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</si>
  <si>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</si>
  <si>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</si>
  <si>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</si>
  <si>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</si>
  <si>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</si>
  <si>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</si>
  <si>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</si>
  <si>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</si>
  <si>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</si>
  <si>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</si>
  <si>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</si>
  <si>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</si>
  <si>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</si>
  <si>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</si>
  <si>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</si>
  <si>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</si>
  <si>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</si>
  <si>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</si>
  <si>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</si>
  <si>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</si>
  <si>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</si>
  <si>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</si>
  <si>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</si>
  <si>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</si>
  <si>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</si>
  <si>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</si>
  <si>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</si>
  <si>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</si>
  <si>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</si>
  <si>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</si>
  <si>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</si>
  <si>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</si>
  <si>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</si>
  <si>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</si>
  <si>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</si>
  <si>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</si>
  <si>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</si>
  <si>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</si>
  <si>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</si>
  <si>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</si>
  <si>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</si>
  <si>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</si>
  <si>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</si>
  <si>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</si>
  <si>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</si>
  <si>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</si>
  <si>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</si>
  <si>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</si>
  <si>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</si>
  <si>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</si>
  <si>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</si>
  <si>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</si>
  <si>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</si>
  <si>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</si>
  <si>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</si>
  <si>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</si>
  <si>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</si>
  <si>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</si>
  <si>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</si>
  <si>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</si>
  <si>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</si>
  <si>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</si>
  <si>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</si>
  <si>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</si>
  <si>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</si>
  <si>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</si>
  <si>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</si>
  <si>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</si>
  <si>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</si>
  <si>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</si>
  <si>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</si>
  <si>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</si>
  <si>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</si>
  <si>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</si>
  <si>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</si>
  <si>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</si>
  <si>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</si>
  <si>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</si>
  <si>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</si>
  <si>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</si>
  <si>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</si>
  <si>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</si>
  <si>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</si>
  <si>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</si>
  <si>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</si>
  <si>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</si>
  <si>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</si>
  <si>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</si>
  <si>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</si>
  <si>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</si>
  <si>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</si>
  <si>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</si>
  <si>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</si>
  <si>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</si>
  <si>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</si>
  <si>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</si>
  <si>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</si>
  <si>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</si>
  <si>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</si>
  <si>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</si>
  <si>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</si>
  <si>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</si>
  <si>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</si>
  <si>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</si>
  <si>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</si>
  <si>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</si>
  <si>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</si>
  <si>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</si>
  <si>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</si>
  <si>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</si>
  <si>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</si>
  <si>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</si>
  <si>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</si>
  <si>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</si>
  <si>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</si>
  <si>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</si>
  <si>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</si>
  <si>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</si>
  <si>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</si>
  <si>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</si>
  <si>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</si>
  <si>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</si>
  <si>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</si>
  <si>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</si>
  <si>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</si>
  <si>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</si>
  <si>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</si>
  <si>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</si>
  <si>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</si>
  <si>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</si>
  <si>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</si>
  <si>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</si>
  <si>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</si>
  <si>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</si>
  <si>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</si>
  <si>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</si>
  <si>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</si>
  <si>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</si>
  <si>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</si>
  <si>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</si>
  <si>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</si>
  <si>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</si>
  <si>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</si>
  <si>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</si>
  <si>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</si>
  <si>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</si>
  <si>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</si>
  <si>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</si>
  <si>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</si>
  <si>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</si>
  <si>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</si>
  <si>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</si>
  <si>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</si>
  <si>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</si>
  <si>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</si>
  <si>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</si>
  <si>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</si>
  <si>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</si>
  <si>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</si>
  <si>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</si>
  <si>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</si>
  <si>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</si>
  <si>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</si>
  <si>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</si>
  <si>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</si>
  <si>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</si>
  <si>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</si>
  <si>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</si>
  <si>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</si>
  <si>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</si>
  <si>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</si>
  <si>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</si>
  <si>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</si>
  <si>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</si>
  <si>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</si>
  <si>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</si>
  <si>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</si>
  <si>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</si>
  <si>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</si>
  <si>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</si>
  <si>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</si>
  <si>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</si>
  <si>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</si>
  <si>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</si>
  <si>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</si>
  <si>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</si>
  <si>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</si>
  <si>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</si>
  <si>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</si>
  <si>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</si>
  <si>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</si>
  <si>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</si>
  <si>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</si>
  <si>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</si>
  <si>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</si>
  <si>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</si>
  <si>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</si>
  <si>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</si>
  <si>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</si>
  <si>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</si>
  <si>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</si>
  <si>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</si>
  <si>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</si>
  <si>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</si>
  <si>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</si>
  <si>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</si>
  <si>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</si>
  <si>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</si>
  <si>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</si>
  <si>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</si>
  <si>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</si>
  <si>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</si>
  <si>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</si>
  <si>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</si>
  <si>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</si>
  <si>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</si>
  <si>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</si>
  <si>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</si>
  <si>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</si>
  <si>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</si>
  <si>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</si>
  <si>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</si>
  <si>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</si>
  <si>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</si>
  <si>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</si>
  <si>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</si>
  <si>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</si>
  <si>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</si>
  <si>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</si>
  <si>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</si>
  <si>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</si>
  <si>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</si>
  <si>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</si>
  <si>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</si>
  <si>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</si>
  <si>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</si>
  <si>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</si>
  <si>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</si>
  <si>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</si>
  <si>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</si>
  <si>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</si>
  <si>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</si>
  <si>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</si>
  <si>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</si>
  <si>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</si>
  <si>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</si>
  <si>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</si>
  <si>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</si>
  <si>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</si>
  <si>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</si>
  <si>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</si>
  <si>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</si>
  <si>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</si>
  <si>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</si>
  <si>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</si>
  <si>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</si>
  <si>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</si>
  <si>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</si>
  <si>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</si>
  <si>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</si>
  <si>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</si>
  <si>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</si>
  <si>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</si>
  <si>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</si>
  <si>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</si>
  <si>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</si>
  <si>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</si>
  <si>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</si>
  <si>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</si>
  <si>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</si>
  <si>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</si>
  <si>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</si>
  <si>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</si>
  <si>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</si>
  <si>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</si>
  <si>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</si>
  <si>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</si>
  <si>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</si>
  <si>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</si>
  <si>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</si>
  <si>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</si>
  <si>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</si>
  <si>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</si>
  <si>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</si>
  <si>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</si>
  <si>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</si>
  <si>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</si>
  <si>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</si>
  <si>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</si>
  <si>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</si>
  <si>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</si>
  <si>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</si>
  <si>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</si>
  <si>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</si>
  <si>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</si>
  <si>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</si>
  <si>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</si>
  <si>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</si>
  <si>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</si>
  <si>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</si>
  <si>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</si>
  <si>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</si>
  <si>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</si>
  <si>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</si>
  <si>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</si>
  <si>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</si>
  <si>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</si>
  <si>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</si>
  <si>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</si>
  <si>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</si>
  <si>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</si>
  <si>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</si>
  <si>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</si>
  <si>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</si>
  <si>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</si>
  <si>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</si>
  <si>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</si>
  <si>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</si>
  <si>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</si>
  <si>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</si>
  <si>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</si>
  <si>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</si>
  <si>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</si>
  <si>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</si>
  <si>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</si>
  <si>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</si>
  <si>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</si>
  <si>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</si>
  <si>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</si>
  <si>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</si>
  <si>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</si>
  <si>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</si>
  <si>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</si>
  <si>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</si>
  <si>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</si>
  <si>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</si>
  <si>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</si>
  <si>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</si>
  <si>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</si>
  <si>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</si>
  <si>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</si>
  <si>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</si>
  <si>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</si>
  <si>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</si>
  <si>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</si>
  <si>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</si>
  <si>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</si>
  <si>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</si>
  <si>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</si>
  <si>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</si>
  <si>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</si>
  <si>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</si>
  <si>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</si>
  <si>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</si>
  <si>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</si>
  <si>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</si>
  <si>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</si>
  <si>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</si>
  <si>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</si>
  <si>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</si>
  <si>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</si>
  <si>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</si>
  <si>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</si>
  <si>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</si>
  <si>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</si>
  <si>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</si>
  <si>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</si>
  <si>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</si>
  <si>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</si>
  <si>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</si>
  <si>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</si>
  <si>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</si>
  <si>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</si>
  <si>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</si>
  <si>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</si>
  <si>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</si>
  <si>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</si>
  <si>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</si>
  <si>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</si>
  <si>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</si>
  <si>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</si>
  <si>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</si>
  <si>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</si>
  <si>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</si>
  <si>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</si>
  <si>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</si>
  <si>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</si>
  <si>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</si>
  <si>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</si>
  <si>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</si>
  <si>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</si>
  <si>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</si>
  <si>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</si>
  <si>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</si>
  <si>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</si>
  <si>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</si>
  <si>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</si>
  <si>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</si>
  <si>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</si>
  <si>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</si>
  <si>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</si>
  <si>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</si>
  <si>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</si>
  <si>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</si>
  <si>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</si>
  <si>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</si>
  <si>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</si>
  <si>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</si>
  <si>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</si>
  <si>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</si>
  <si>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</si>
  <si>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</si>
  <si>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</si>
  <si>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</si>
  <si>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</si>
  <si>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</si>
  <si>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</si>
  <si>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</si>
  <si>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</si>
  <si>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</si>
  <si>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</si>
  <si>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</si>
  <si>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</si>
  <si>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</si>
  <si>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</si>
  <si>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</si>
  <si>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</si>
  <si>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</si>
  <si>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</si>
  <si>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</si>
  <si>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</si>
  <si>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</si>
  <si>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</si>
  <si>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</si>
  <si>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</si>
  <si>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</si>
  <si>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</si>
  <si>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</si>
  <si>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</si>
  <si>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</si>
  <si>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</si>
  <si>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</si>
  <si>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</si>
  <si>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</si>
  <si>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</si>
  <si>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</si>
  <si>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</si>
  <si>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</si>
  <si>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</si>
  <si>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</si>
  <si>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</si>
  <si>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</si>
  <si>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</si>
  <si>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</si>
  <si>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</si>
  <si>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</si>
  <si>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</si>
  <si>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</si>
  <si>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</si>
  <si>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</si>
  <si>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</si>
  <si>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</si>
  <si>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</si>
  <si>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</si>
  <si>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</si>
  <si>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</si>
  <si>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</si>
  <si>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</si>
  <si>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</si>
  <si>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</si>
  <si>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</si>
  <si>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</si>
  <si>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</si>
  <si>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</si>
  <si>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</si>
  <si>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</si>
  <si>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</si>
  <si>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</si>
  <si>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</si>
  <si>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</si>
  <si>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</si>
  <si>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</si>
  <si>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</si>
  <si>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</si>
  <si>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</si>
  <si>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</si>
  <si>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</si>
  <si>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</si>
  <si>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</si>
  <si>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</si>
  <si>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</si>
  <si>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</si>
  <si>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</si>
  <si>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</si>
  <si>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</si>
  <si>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</si>
  <si>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</si>
  <si>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</si>
  <si>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</si>
  <si>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</si>
  <si>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</si>
  <si>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</si>
  <si>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</si>
  <si>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</si>
  <si>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</si>
  <si>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</si>
  <si>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</si>
  <si>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</si>
  <si>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</si>
  <si>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</si>
  <si>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</si>
  <si>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</si>
  <si>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</si>
  <si>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</si>
  <si>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</si>
  <si>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</si>
  <si>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</si>
  <si>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</si>
  <si>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</si>
  <si>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</si>
  <si>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</si>
  <si>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</si>
  <si>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</si>
  <si>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</si>
  <si>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</si>
  <si>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</si>
  <si>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</si>
  <si>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</si>
  <si>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</si>
  <si>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</si>
  <si>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</si>
  <si>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</si>
  <si>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</si>
  <si>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</si>
  <si>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</si>
  <si>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</si>
  <si>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</si>
  <si>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</si>
  <si>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</si>
  <si>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</si>
  <si>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</si>
  <si>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</si>
  <si>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</si>
  <si>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</si>
  <si>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</si>
  <si>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</si>
  <si>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</si>
  <si>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</si>
  <si>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</si>
  <si>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</si>
  <si>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</si>
  <si>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</si>
  <si>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</si>
  <si>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</si>
  <si>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</si>
  <si>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</si>
  <si>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</si>
  <si>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</si>
  <si>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</si>
  <si>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</si>
  <si>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</si>
  <si>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</si>
  <si>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</si>
  <si>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</si>
  <si>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</si>
  <si>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</si>
  <si>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</si>
  <si>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</si>
  <si>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</si>
  <si>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</si>
  <si>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</si>
  <si>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</si>
  <si>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</si>
  <si>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</si>
  <si>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</si>
  <si>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</si>
  <si>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</si>
  <si>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</si>
  <si>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</si>
  <si>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</si>
  <si>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</si>
  <si>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</si>
  <si>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</si>
  <si>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</si>
  <si>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</si>
  <si>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</si>
  <si>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</si>
  <si>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</si>
  <si>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</si>
  <si>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</si>
  <si>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</si>
  <si>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</si>
  <si>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</si>
  <si>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</si>
  <si>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</si>
  <si>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</si>
  <si>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</si>
  <si>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</si>
  <si>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</si>
  <si>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</si>
  <si>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</si>
  <si>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</si>
  <si>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</si>
  <si>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</si>
  <si>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</si>
  <si>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</si>
  <si>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</si>
  <si>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</si>
  <si>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</si>
  <si>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</si>
  <si>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</si>
  <si>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</si>
  <si>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</si>
  <si>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</si>
  <si>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</si>
  <si>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</si>
  <si>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</si>
  <si>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</si>
  <si>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</si>
  <si>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</si>
  <si>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</si>
  <si>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</si>
  <si>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</si>
  <si>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</si>
  <si>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</si>
  <si>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</si>
  <si>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</si>
  <si>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</si>
  <si>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</si>
  <si>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</si>
  <si>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</si>
  <si>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</si>
  <si>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</si>
  <si>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</si>
  <si>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</si>
  <si>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</si>
  <si>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</si>
  <si>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</si>
  <si>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</si>
  <si>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</si>
  <si>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</si>
  <si>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</si>
  <si>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</si>
  <si>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</si>
  <si>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</si>
  <si>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</si>
  <si>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</si>
  <si>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</si>
  <si>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</si>
  <si>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</si>
  <si>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</si>
  <si>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</si>
  <si>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</si>
  <si>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</si>
  <si>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</si>
  <si>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</si>
  <si>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</si>
  <si>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</si>
  <si>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</si>
  <si>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</si>
  <si>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</si>
  <si>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</si>
  <si>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</si>
  <si>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</si>
  <si>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</si>
  <si>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</si>
  <si>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</si>
  <si>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</si>
  <si>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</si>
  <si>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</si>
  <si>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</si>
  <si>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</si>
  <si>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</si>
  <si>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</si>
  <si>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</si>
  <si>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</si>
  <si>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</si>
  <si>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</si>
  <si>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</si>
  <si>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</si>
  <si>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</si>
  <si>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</si>
  <si>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</si>
  <si>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</si>
  <si>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</si>
  <si>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</si>
  <si>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</si>
  <si>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</si>
  <si>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</si>
  <si>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</si>
  <si>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</si>
  <si>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</si>
  <si>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</si>
  <si>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</si>
  <si>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</si>
  <si>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</si>
  <si>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</si>
  <si>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</si>
  <si>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</si>
  <si>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</si>
  <si>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</si>
  <si>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</si>
  <si>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</si>
  <si>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</si>
  <si>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</si>
  <si>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</si>
  <si>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</si>
  <si>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</si>
  <si>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</si>
  <si>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</si>
  <si>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</si>
  <si>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</si>
  <si>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</si>
  <si>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</si>
  <si>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</si>
  <si>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</si>
  <si>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</si>
  <si>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</si>
  <si>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</si>
  <si>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</si>
  <si>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</si>
  <si>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</si>
  <si>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</si>
  <si>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</si>
  <si>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</si>
  <si>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</si>
  <si>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</si>
  <si>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</si>
  <si>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</si>
  <si>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</si>
  <si>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</si>
  <si>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</si>
  <si>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</si>
  <si>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</si>
  <si>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</si>
  <si>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</si>
  <si>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</si>
  <si>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</si>
  <si>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</si>
  <si>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</si>
  <si>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</si>
  <si>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</si>
  <si>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</si>
  <si>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</si>
  <si>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</si>
  <si>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</si>
  <si>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</si>
  <si>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</si>
  <si>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</si>
  <si>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</si>
  <si>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</si>
  <si>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</si>
  <si>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</si>
  <si>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</si>
  <si>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</si>
  <si>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</si>
  <si>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</si>
  <si>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</si>
  <si>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</si>
  <si>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</si>
  <si>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</si>
  <si>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</si>
  <si>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</si>
  <si>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</si>
  <si>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</si>
  <si>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</si>
  <si>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</si>
  <si>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</si>
  <si>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</si>
  <si>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</si>
  <si>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</si>
  <si>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</si>
  <si>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</si>
  <si>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</si>
  <si>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</si>
  <si>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</si>
  <si>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</si>
  <si>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</si>
  <si>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</si>
  <si>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</si>
  <si>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</si>
  <si>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</si>
  <si>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</si>
  <si>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</si>
  <si>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</si>
  <si>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</si>
  <si>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</si>
  <si>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</si>
  <si>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</si>
  <si>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</si>
  <si>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</si>
  <si>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</si>
  <si>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</si>
  <si>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</si>
  <si>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</si>
  <si>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</si>
  <si>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</si>
  <si>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</si>
  <si>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</si>
  <si>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</si>
  <si>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</si>
  <si>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</si>
  <si>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</si>
  <si>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</si>
  <si>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</si>
  <si>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</si>
  <si>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</si>
  <si>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</si>
  <si>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</si>
  <si>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</si>
  <si>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</si>
  <si>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</si>
  <si>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</si>
  <si>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</si>
  <si>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</si>
  <si>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</si>
  <si>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</si>
  <si>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</si>
  <si>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</si>
  <si>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</si>
  <si>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</si>
  <si>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</si>
  <si>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</si>
  <si>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</si>
  <si>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</si>
  <si>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</si>
  <si>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</si>
  <si>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</si>
  <si>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</si>
  <si>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</si>
  <si>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</si>
  <si>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</si>
  <si>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</si>
  <si>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</si>
  <si>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</si>
  <si>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</si>
  <si>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</si>
  <si>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</si>
  <si>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</si>
  <si>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</si>
  <si>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</si>
  <si>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</si>
  <si>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</si>
  <si>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</si>
  <si>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</si>
  <si>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</si>
  <si>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</si>
  <si>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</si>
  <si>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</si>
  <si>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</si>
  <si>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</si>
  <si>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</si>
  <si>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</si>
  <si>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</si>
  <si>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</si>
  <si>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</si>
  <si>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</si>
  <si>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</si>
  <si>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</si>
  <si>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</si>
  <si>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</si>
  <si>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</si>
  <si>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</si>
  <si>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</si>
  <si>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</si>
  <si>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</si>
  <si>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</si>
  <si>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</si>
  <si>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</si>
  <si>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</si>
  <si>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</si>
  <si>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</si>
  <si>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</si>
  <si>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</si>
  <si>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</si>
  <si>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</si>
  <si>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</si>
  <si>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</si>
  <si>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</si>
  <si>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</si>
  <si>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</si>
  <si>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</si>
  <si>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</si>
  <si>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</si>
  <si>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</si>
  <si>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</si>
  <si>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</si>
  <si>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</si>
  <si>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</si>
  <si>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</si>
  <si>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</si>
  <si>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</si>
  <si>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</si>
  <si>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</si>
  <si>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</si>
  <si>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</si>
  <si>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</si>
  <si>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</si>
  <si>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</si>
  <si>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</si>
  <si>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</si>
  <si>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</si>
  <si>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</si>
  <si>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</si>
  <si>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</si>
  <si>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</si>
  <si>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</si>
  <si>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</si>
  <si>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</si>
  <si>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</si>
  <si>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</si>
  <si>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</si>
  <si>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</si>
  <si>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</si>
  <si>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</si>
  <si>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</si>
  <si>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</si>
  <si>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</si>
  <si>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</si>
  <si>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</si>
  <si>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</si>
  <si>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</si>
  <si>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</si>
  <si>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</si>
  <si>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</si>
  <si>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</si>
  <si>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</si>
  <si>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</si>
  <si>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</si>
  <si>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</si>
  <si>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</si>
  <si>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</si>
  <si>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</si>
  <si>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</si>
  <si>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</si>
  <si>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</si>
  <si>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</si>
  <si>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</si>
  <si>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</si>
  <si>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</si>
  <si>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</si>
  <si>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</si>
  <si>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</si>
  <si>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</si>
  <si>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</si>
  <si>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</si>
  <si>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</si>
  <si>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</si>
  <si>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</si>
  <si>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</si>
  <si>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</si>
  <si>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</si>
  <si>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</si>
  <si>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</si>
  <si>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</si>
  <si>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</si>
  <si>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</si>
  <si>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</si>
  <si>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</si>
  <si>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</si>
  <si>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</si>
  <si>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</si>
  <si>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</si>
  <si>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</si>
  <si>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</si>
  <si>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</si>
  <si>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</si>
  <si>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</si>
  <si>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</si>
  <si>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</si>
  <si>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</si>
  <si>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</si>
  <si>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</si>
  <si>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</si>
  <si>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</si>
  <si>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</si>
  <si>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</si>
  <si>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</si>
  <si>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</si>
  <si>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</si>
  <si>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</si>
  <si>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</si>
  <si>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</si>
  <si>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</si>
  <si>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</si>
  <si>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</si>
  <si>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</si>
  <si>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</si>
  <si>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</si>
  <si>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</si>
  <si>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</si>
  <si>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</si>
  <si>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</si>
  <si>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</si>
  <si>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</si>
  <si>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</si>
  <si>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</si>
  <si>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</si>
  <si>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</si>
  <si>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</si>
  <si>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</si>
  <si>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</si>
  <si>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</si>
  <si>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</si>
  <si>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</si>
  <si>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</si>
  <si>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</si>
  <si>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</si>
  <si>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</si>
  <si>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</si>
  <si>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</si>
  <si>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</si>
  <si>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</si>
  <si>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</si>
  <si>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</si>
  <si>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</si>
  <si>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</si>
  <si>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</si>
  <si>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</si>
  <si>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</si>
  <si>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</si>
  <si>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</si>
  <si>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</si>
  <si>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</si>
  <si>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</si>
  <si>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</si>
  <si>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</si>
  <si>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</si>
  <si>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</si>
  <si>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</si>
  <si>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</si>
  <si>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</si>
  <si>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</si>
  <si>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</si>
  <si>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</si>
  <si>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</si>
  <si>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</si>
  <si>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</si>
  <si>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</si>
  <si>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</si>
  <si>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</si>
  <si>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</si>
  <si>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</si>
  <si>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</si>
  <si>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</si>
  <si>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</si>
  <si>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</si>
  <si>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</si>
  <si>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</si>
  <si>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</si>
  <si>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</si>
  <si>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</si>
  <si>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</si>
  <si>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</si>
  <si>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</si>
  <si>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</si>
  <si>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</si>
  <si>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</si>
  <si>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</si>
  <si>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</si>
  <si>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</si>
  <si>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</si>
  <si>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</si>
  <si>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</si>
  <si>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</si>
  <si>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</si>
  <si>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</si>
  <si>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</si>
  <si>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</si>
  <si>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</si>
  <si>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</si>
  <si>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</si>
  <si>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</si>
  <si>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</si>
  <si>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</si>
  <si>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</si>
  <si>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</si>
  <si>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</si>
  <si>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</si>
  <si>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</si>
  <si>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</si>
  <si>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</si>
  <si>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</si>
  <si>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</si>
  <si>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</si>
  <si>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</si>
  <si>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</si>
  <si>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</si>
  <si>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</si>
  <si>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</si>
  <si>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</si>
  <si>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</si>
  <si>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</si>
  <si>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</si>
  <si>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</si>
  <si>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</si>
  <si>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</si>
  <si>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</si>
  <si>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</si>
  <si>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</si>
  <si>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</si>
  <si>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</si>
  <si>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</si>
  <si>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</si>
  <si>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</si>
  <si>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</si>
  <si>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</si>
  <si>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</si>
  <si>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</si>
  <si>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</si>
  <si>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</si>
  <si>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</si>
  <si>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</si>
  <si>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</si>
  <si>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</si>
  <si>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</si>
  <si>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</si>
  <si>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</si>
  <si>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</si>
  <si>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</si>
  <si>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</si>
  <si>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</si>
  <si>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</si>
  <si>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</si>
  <si>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</si>
  <si>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</si>
  <si>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</si>
  <si>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</si>
  <si>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</si>
  <si>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</si>
  <si>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</si>
  <si>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</si>
  <si>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</si>
  <si>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</si>
  <si>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</si>
  <si>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</si>
  <si>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</si>
  <si>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</si>
  <si>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</si>
  <si>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</si>
  <si>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</si>
  <si>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</si>
  <si>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</si>
  <si>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</si>
  <si>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</si>
  <si>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</si>
  <si>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</si>
  <si>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</si>
  <si>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</si>
  <si>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</si>
  <si>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</si>
  <si>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</si>
  <si>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</si>
  <si>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</si>
  <si>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</si>
  <si>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</si>
  <si>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</si>
  <si>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</si>
  <si>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</si>
  <si>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</si>
  <si>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</si>
  <si>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</si>
  <si>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</si>
  <si>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</si>
  <si>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</si>
  <si>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</si>
  <si>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</si>
  <si>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</si>
  <si>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</si>
  <si>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</si>
  <si>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</si>
  <si>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</si>
  <si>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</si>
  <si>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</si>
  <si>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</si>
  <si>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</si>
  <si>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</si>
  <si>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</si>
  <si>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</si>
  <si>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</si>
  <si>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</si>
  <si>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</si>
  <si>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</si>
  <si>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</si>
  <si>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</si>
  <si>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</si>
  <si>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</si>
  <si>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</si>
  <si>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</si>
  <si>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</si>
  <si>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</si>
  <si>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</si>
  <si>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</si>
  <si>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</si>
  <si>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</si>
  <si>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</si>
  <si>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</si>
  <si>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</si>
  <si>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</si>
  <si>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</si>
  <si>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</si>
  <si>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</si>
  <si>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</si>
  <si>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</si>
  <si>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</si>
  <si>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</si>
  <si>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</si>
  <si>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</si>
  <si>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</si>
  <si>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</si>
  <si>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</si>
  <si>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</si>
  <si>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</si>
  <si>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</si>
  <si>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</si>
  <si>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</si>
  <si>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</si>
  <si>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</si>
  <si>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</si>
  <si>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</si>
  <si>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</si>
  <si>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</si>
  <si>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</si>
  <si>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</si>
  <si>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</si>
  <si>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</si>
  <si>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</si>
  <si>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</si>
  <si>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</si>
  <si>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</si>
  <si>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</si>
  <si>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</si>
  <si>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</si>
  <si>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</si>
  <si>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</si>
  <si>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</si>
  <si>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</si>
  <si>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</si>
  <si>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</si>
  <si>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</si>
  <si>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</si>
  <si>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</si>
  <si>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</si>
  <si>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</si>
  <si>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</si>
  <si>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</si>
  <si>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</si>
  <si>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</si>
  <si>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</si>
  <si>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</si>
  <si>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</si>
  <si>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</si>
  <si>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</si>
  <si>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</si>
  <si>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</si>
  <si>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</si>
  <si>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</si>
  <si>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</si>
  <si>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</si>
  <si>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</si>
  <si>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</si>
  <si>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</si>
  <si>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</si>
  <si>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</si>
  <si>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</si>
  <si>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</si>
  <si>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</si>
  <si>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</si>
  <si>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</si>
  <si>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</si>
  <si>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</si>
  <si>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</si>
  <si>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</si>
  <si>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</si>
  <si>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</si>
  <si>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</si>
  <si>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</si>
  <si>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</si>
  <si>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</si>
  <si>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</si>
  <si>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</si>
  <si>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</si>
  <si>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</si>
  <si>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</si>
  <si>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</si>
  <si>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</si>
  <si>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</si>
  <si>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</si>
  <si>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</si>
  <si>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</si>
  <si>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</si>
  <si>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</si>
  <si>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</si>
  <si>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</si>
  <si>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</si>
  <si>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</si>
  <si>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</si>
  <si>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</si>
  <si>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</si>
  <si>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</si>
  <si>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</si>
  <si>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</si>
  <si>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</si>
  <si>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</si>
  <si>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</si>
  <si>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</si>
  <si>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</si>
  <si>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</si>
  <si>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</si>
  <si>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</si>
  <si>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</si>
  <si>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</si>
  <si>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</si>
  <si>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</si>
  <si>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</si>
  <si>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</si>
  <si>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</si>
  <si>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</si>
  <si>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</si>
  <si>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</si>
  <si>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</si>
  <si>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</si>
  <si>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</si>
  <si>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</si>
  <si>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</si>
  <si>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</si>
  <si>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</si>
  <si>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</si>
  <si>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</si>
  <si>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</si>
  <si>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</si>
  <si>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</si>
  <si>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</si>
  <si>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</si>
  <si>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</si>
  <si>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</si>
  <si>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</si>
  <si>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</si>
  <si>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</si>
  <si>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</si>
  <si>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</si>
  <si>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</si>
  <si>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</si>
  <si>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</si>
  <si>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</si>
  <si>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</si>
  <si>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</si>
  <si>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</si>
  <si>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</si>
  <si>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</si>
  <si>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</si>
  <si>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</si>
  <si>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</si>
  <si>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</si>
  <si>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</si>
  <si>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</si>
  <si>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</si>
  <si>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</si>
  <si>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</si>
  <si>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</si>
  <si>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</si>
  <si>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</si>
  <si>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</si>
  <si>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</si>
  <si>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</si>
  <si>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</si>
  <si>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</si>
  <si>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</si>
  <si>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</si>
  <si>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</si>
  <si>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</si>
  <si>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</si>
  <si>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</si>
  <si>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</si>
  <si>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</si>
  <si>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</si>
  <si>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</si>
  <si>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</si>
  <si>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</si>
  <si>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</si>
  <si>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</si>
  <si>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</si>
  <si>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</si>
  <si>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</si>
  <si>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</si>
  <si>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</si>
  <si>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</si>
  <si>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</si>
  <si>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</si>
  <si>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</si>
  <si>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</si>
  <si>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</si>
  <si>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</si>
  <si>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</si>
  <si>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</si>
  <si>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</si>
  <si>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</si>
  <si>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</si>
  <si>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</si>
  <si>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</si>
  <si>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</si>
  <si>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</si>
  <si>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</si>
  <si>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</si>
  <si>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</si>
  <si>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</si>
  <si>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</si>
  <si>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</si>
  <si>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</si>
  <si>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</si>
  <si>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</si>
  <si>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</si>
  <si>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</si>
  <si>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</si>
  <si>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</si>
  <si>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</si>
  <si>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</si>
  <si>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</si>
  <si>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</si>
  <si>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</si>
  <si>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</si>
  <si>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</si>
  <si>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</si>
  <si>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</si>
  <si>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</si>
  <si>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</si>
  <si>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</si>
  <si>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</si>
  <si>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</si>
  <si>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</si>
  <si>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</si>
  <si>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</si>
  <si>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</si>
  <si>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</si>
  <si>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</si>
  <si>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</si>
  <si>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</si>
  <si>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</si>
  <si>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</si>
  <si>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</si>
  <si>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</si>
  <si>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</si>
  <si>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</si>
  <si>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</si>
  <si>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</si>
  <si>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</si>
  <si>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</si>
  <si>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</si>
  <si>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</si>
  <si>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</si>
  <si>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</si>
  <si>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</si>
  <si>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</si>
  <si>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</si>
  <si>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</si>
  <si>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</si>
  <si>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</si>
  <si>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</si>
  <si>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</si>
  <si>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</si>
  <si>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</si>
  <si>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</si>
  <si>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</si>
  <si>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</si>
  <si>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</si>
  <si>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</si>
  <si>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</si>
  <si>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</si>
  <si>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</si>
  <si>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</si>
  <si>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</si>
  <si>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</si>
  <si>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</si>
  <si>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</si>
  <si>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</si>
  <si>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</si>
  <si>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</si>
  <si>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</si>
  <si>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</si>
  <si>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</si>
  <si>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</si>
  <si>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</si>
  <si>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</si>
  <si>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</si>
  <si>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</si>
  <si>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</si>
  <si>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</si>
  <si>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</si>
  <si>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</si>
  <si>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</si>
  <si>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</si>
  <si>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</si>
  <si>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</si>
  <si>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</si>
  <si>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</si>
  <si>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</si>
  <si>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</si>
  <si>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</si>
  <si>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</si>
  <si>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</si>
  <si>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</si>
  <si>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</si>
  <si>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</si>
  <si>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</si>
  <si>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</si>
  <si>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</si>
  <si>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</si>
  <si>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</si>
  <si>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</si>
  <si>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</si>
  <si>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</si>
  <si>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</si>
  <si>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</si>
  <si>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</si>
  <si>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</si>
  <si>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</si>
  <si>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</si>
  <si>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</si>
  <si>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</si>
  <si>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</si>
  <si>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</si>
  <si>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</si>
  <si>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</si>
  <si>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</si>
  <si>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</si>
  <si>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</si>
  <si>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</si>
  <si>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</si>
  <si>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</si>
  <si>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</si>
  <si>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</si>
  <si>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</si>
  <si>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</si>
  <si>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</si>
  <si>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</si>
  <si>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</si>
  <si>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</si>
  <si>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</si>
  <si>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</si>
  <si>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</si>
  <si>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</si>
  <si>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</si>
  <si>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</si>
  <si>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</si>
  <si>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</si>
  <si>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</si>
  <si>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</si>
  <si>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</si>
  <si>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</si>
  <si>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</si>
  <si>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</si>
  <si>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</si>
  <si>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</si>
  <si>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</si>
  <si>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</si>
  <si>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</si>
  <si>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</si>
  <si>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</si>
  <si>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</si>
  <si>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</si>
  <si>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</si>
  <si>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</si>
  <si>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</si>
  <si>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</si>
  <si>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</si>
  <si>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</si>
  <si>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</si>
  <si>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</si>
  <si>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</si>
  <si>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</si>
  <si>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</si>
  <si>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</si>
  <si>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</si>
  <si>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</si>
  <si>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</si>
  <si>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</si>
  <si>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</si>
  <si>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</si>
  <si>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</si>
  <si>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</si>
  <si>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</si>
  <si>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</si>
  <si>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</si>
  <si>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</si>
  <si>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</si>
  <si>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</si>
  <si>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</si>
  <si>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</si>
  <si>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</si>
  <si>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</si>
  <si>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</si>
  <si>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</si>
  <si>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</si>
  <si>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</si>
  <si>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</si>
  <si>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</si>
  <si>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</si>
  <si>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</si>
  <si>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</si>
  <si>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</si>
  <si>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</si>
  <si>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</si>
  <si>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</si>
  <si>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</si>
  <si>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</si>
  <si>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</si>
  <si>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</si>
  <si>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</si>
  <si>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</si>
  <si>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</si>
  <si>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</si>
  <si>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</si>
  <si>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</si>
  <si>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</si>
  <si>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</si>
  <si>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</si>
  <si>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</si>
  <si>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</si>
  <si>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</si>
  <si>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</si>
  <si>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</si>
  <si>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</si>
  <si>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</si>
  <si>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</si>
  <si>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</si>
  <si>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</si>
  <si>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</si>
  <si>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</si>
  <si>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</si>
  <si>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</si>
  <si>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</si>
  <si>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</si>
  <si>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</si>
  <si>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</si>
  <si>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</si>
  <si>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</si>
  <si>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</si>
  <si>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</si>
  <si>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</si>
  <si>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</si>
  <si>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</si>
  <si>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</si>
  <si>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</si>
  <si>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</si>
  <si>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</si>
  <si>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</si>
  <si>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</si>
  <si>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</si>
  <si>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</si>
  <si>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</si>
  <si>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</si>
  <si>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</si>
  <si>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</si>
  <si>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</si>
  <si>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</si>
  <si>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</si>
  <si>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</si>
  <si>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</si>
  <si>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</si>
  <si>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</si>
  <si>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</si>
  <si>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</si>
  <si>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</si>
  <si>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</si>
  <si>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</si>
  <si>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</si>
  <si>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</si>
  <si>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</si>
  <si>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</si>
  <si>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</si>
  <si>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</si>
  <si>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</si>
  <si>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</si>
  <si>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</si>
  <si>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</si>
  <si>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</si>
  <si>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</si>
  <si>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</si>
  <si>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</si>
  <si>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</si>
  <si>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</si>
  <si>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</si>
  <si>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</si>
  <si>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</si>
  <si>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</si>
  <si>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</si>
  <si>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</si>
  <si>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</si>
  <si>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</si>
  <si>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</si>
  <si>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</si>
  <si>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</si>
  <si>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</si>
  <si>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</si>
  <si>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</si>
  <si>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</si>
  <si>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</si>
  <si>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</si>
  <si>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</si>
  <si>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</si>
  <si>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</si>
  <si>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</si>
  <si>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</si>
  <si>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</si>
  <si>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</si>
  <si>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</si>
  <si>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</si>
  <si>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</si>
  <si>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</si>
  <si>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</si>
  <si>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</si>
  <si>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</si>
  <si>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</si>
  <si>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</si>
  <si>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</si>
  <si>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</si>
  <si>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</si>
  <si>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</si>
  <si>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</si>
  <si>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</si>
  <si>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</si>
  <si>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</si>
  <si>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</si>
  <si>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</si>
  <si>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</si>
  <si>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</si>
  <si>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</si>
  <si>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</si>
  <si>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</si>
  <si>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</si>
  <si>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</si>
  <si>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</si>
  <si>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</si>
  <si>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</si>
  <si>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</si>
  <si>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</si>
  <si>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</si>
  <si>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</si>
  <si>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</si>
  <si>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</si>
  <si>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</si>
  <si>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</si>
  <si>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</si>
  <si>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</si>
  <si>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</si>
  <si>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</si>
  <si>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</si>
  <si>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</si>
  <si>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</si>
  <si>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</si>
  <si>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</si>
  <si>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</si>
  <si>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</si>
  <si>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</si>
  <si>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</si>
  <si>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</si>
  <si>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</si>
  <si>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</si>
  <si>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</si>
  <si>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</si>
  <si>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</si>
  <si>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</si>
  <si>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</si>
  <si>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</si>
  <si>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</si>
  <si>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</si>
  <si>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</si>
  <si>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</si>
  <si>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</si>
  <si>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</si>
  <si>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</si>
  <si>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</si>
  <si>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</si>
  <si>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</si>
  <si>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</si>
  <si>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</si>
  <si>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</si>
  <si>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</si>
  <si>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</si>
  <si>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</si>
  <si>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</si>
  <si>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</si>
  <si>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</si>
  <si>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</si>
  <si>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</si>
  <si>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</si>
  <si>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</si>
  <si>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</si>
  <si>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</si>
  <si>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</si>
  <si>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</si>
  <si>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</si>
  <si>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</si>
  <si>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</si>
  <si>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</si>
  <si>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</si>
  <si>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</si>
  <si>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</si>
  <si>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</si>
  <si>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</si>
  <si>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</si>
  <si>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</si>
  <si>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</si>
  <si>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</si>
  <si>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</si>
  <si>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</si>
  <si>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</si>
  <si>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</si>
  <si>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</si>
  <si>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</si>
  <si>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</si>
  <si>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</si>
  <si>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</si>
  <si>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</si>
  <si>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</si>
  <si>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</si>
  <si>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</si>
  <si>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</si>
  <si>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</si>
  <si>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</si>
  <si>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</si>
  <si>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</si>
  <si>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</si>
  <si>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</si>
  <si>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</si>
  <si>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</si>
  <si>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</si>
  <si>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</si>
  <si>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</si>
  <si>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</si>
  <si>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</si>
  <si>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</si>
  <si>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</si>
  <si>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</si>
  <si>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</si>
  <si>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</si>
  <si>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</si>
  <si>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</si>
  <si>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</si>
  <si>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</si>
  <si>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</si>
  <si>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</si>
  <si>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</si>
  <si>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</si>
  <si>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</si>
  <si>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</si>
  <si>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</si>
  <si>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</si>
  <si>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</si>
  <si>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</si>
  <si>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</si>
  <si>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</si>
  <si>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</si>
  <si>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</si>
  <si>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</si>
  <si>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</si>
  <si>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</si>
  <si>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</si>
  <si>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</si>
  <si>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</si>
  <si>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</si>
  <si>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</si>
  <si>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</si>
  <si>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</si>
  <si>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</si>
  <si>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</si>
  <si>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</si>
  <si>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</si>
  <si>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</si>
  <si>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</si>
  <si>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</si>
  <si>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</si>
  <si>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</si>
  <si>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</si>
  <si>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</si>
  <si>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</si>
  <si>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</si>
  <si>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</si>
  <si>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</si>
  <si>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</si>
  <si>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</si>
  <si>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</si>
  <si>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</si>
  <si>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</si>
  <si>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</si>
  <si>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</si>
  <si>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</si>
  <si>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</si>
  <si>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</si>
  <si>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</si>
  <si>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</si>
  <si>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</si>
  <si>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</si>
  <si>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</si>
  <si>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</si>
  <si>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</si>
  <si>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</si>
  <si>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</si>
  <si>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</si>
  <si>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</si>
  <si>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</si>
  <si>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</si>
  <si>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</si>
  <si>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</si>
  <si>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</si>
  <si>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</si>
  <si>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</si>
  <si>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</si>
  <si>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</si>
  <si>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</si>
  <si>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</si>
  <si>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</si>
  <si>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</si>
  <si>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</si>
  <si>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</si>
  <si>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</si>
  <si>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</si>
  <si>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</si>
  <si>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</si>
  <si>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</si>
  <si>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</si>
  <si>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</si>
  <si>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</si>
  <si>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</si>
  <si>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</si>
  <si>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</si>
  <si>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</si>
  <si>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</si>
  <si>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</si>
  <si>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</si>
  <si>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</si>
  <si>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</si>
  <si>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</si>
  <si>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</si>
  <si>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</si>
  <si>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</si>
  <si>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</si>
  <si>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</si>
  <si>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</si>
  <si>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</si>
  <si>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</si>
  <si>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</si>
  <si>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</si>
  <si>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</si>
  <si>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</si>
  <si>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</si>
  <si>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</si>
  <si>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</si>
  <si>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</si>
  <si>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</si>
  <si>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</si>
  <si>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</si>
  <si>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</si>
  <si>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</si>
  <si>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</si>
  <si>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</si>
  <si>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</si>
  <si>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</si>
  <si>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</si>
  <si>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</si>
  <si>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</si>
  <si>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</si>
  <si>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</si>
  <si>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</si>
  <si>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</si>
  <si>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</si>
  <si>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</si>
  <si>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</si>
  <si>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</si>
  <si>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</si>
  <si>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</si>
  <si>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</si>
  <si>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</si>
  <si>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</si>
  <si>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</si>
  <si>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</si>
  <si>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</si>
  <si>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</si>
  <si>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</si>
  <si>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</si>
  <si>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</si>
  <si>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</si>
  <si>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</si>
  <si>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</si>
  <si>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</si>
  <si>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</si>
  <si>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</si>
  <si>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</si>
  <si>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</si>
  <si>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</si>
  <si>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</si>
  <si>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</si>
  <si>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</si>
  <si>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</si>
  <si>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</si>
  <si>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</si>
  <si>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</si>
  <si>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</si>
  <si>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</si>
  <si>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</si>
  <si>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</si>
  <si>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</si>
  <si>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</si>
  <si>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</si>
  <si>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</si>
  <si>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</si>
  <si>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</si>
  <si>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</si>
  <si>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</si>
  <si>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</si>
  <si>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</si>
  <si>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</si>
  <si>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</si>
  <si>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</si>
  <si>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</si>
  <si>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</si>
  <si>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</si>
  <si>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</si>
  <si>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</si>
  <si>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</si>
  <si>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</si>
  <si>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</si>
  <si>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</si>
  <si>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</si>
  <si>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</si>
  <si>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</si>
  <si>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</si>
  <si>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</si>
  <si>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</si>
  <si>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</si>
  <si>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</si>
  <si>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</si>
  <si>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</si>
  <si>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</si>
  <si>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</si>
  <si>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</si>
  <si>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</si>
  <si>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</si>
  <si>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</si>
  <si>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</si>
  <si>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</si>
  <si>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</si>
  <si>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</si>
  <si>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</si>
  <si>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</si>
  <si>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</si>
  <si>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</si>
  <si>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</si>
  <si>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</si>
  <si>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</si>
  <si>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</si>
  <si>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</si>
  <si>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</si>
  <si>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</si>
  <si>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</si>
  <si>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</si>
  <si>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</si>
  <si>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</si>
  <si>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</si>
  <si>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</si>
  <si>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</si>
  <si>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</si>
  <si>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</si>
  <si>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</si>
  <si>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</si>
  <si>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</si>
  <si>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</si>
  <si>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</si>
  <si>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</si>
  <si>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</si>
  <si>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</si>
  <si>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</si>
  <si>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</si>
  <si>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</si>
  <si>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</si>
  <si>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</si>
  <si>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</si>
  <si>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</si>
  <si>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</si>
  <si>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</si>
  <si>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</si>
  <si>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</si>
  <si>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</si>
  <si>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</si>
  <si>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</si>
  <si>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</si>
  <si>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</si>
  <si>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</si>
  <si>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</si>
  <si>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</si>
  <si>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</si>
  <si>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</si>
  <si>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</si>
  <si>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</si>
  <si>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</si>
  <si>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</si>
  <si>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</si>
  <si>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</si>
  <si>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</si>
  <si>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</si>
  <si>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</si>
  <si>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</si>
  <si>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</si>
  <si>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</si>
  <si>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</si>
  <si>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</si>
  <si>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</si>
  <si>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</si>
  <si>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</si>
  <si>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</si>
  <si>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</si>
  <si>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</si>
  <si>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</si>
  <si>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</si>
  <si>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</si>
  <si>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</si>
  <si>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</si>
  <si>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</si>
  <si>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</si>
  <si>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</si>
  <si>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</si>
  <si>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</si>
  <si>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</si>
  <si>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</si>
  <si>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</si>
  <si>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</si>
  <si>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</si>
  <si>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</si>
  <si>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</si>
  <si>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</si>
  <si>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</si>
  <si>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</si>
  <si>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</si>
  <si>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</si>
  <si>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</si>
  <si>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</si>
  <si>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</si>
  <si>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</si>
  <si>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</si>
  <si>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</si>
  <si>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</si>
  <si>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</si>
  <si>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</si>
  <si>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</si>
  <si>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</si>
  <si>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</si>
  <si>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</si>
  <si>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</si>
  <si>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</si>
  <si>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</si>
  <si>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</si>
  <si>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</si>
  <si>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</si>
  <si>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</si>
  <si>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</si>
  <si>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</si>
  <si>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</si>
  <si>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</si>
  <si>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</si>
  <si>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</si>
  <si>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</si>
  <si>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</si>
  <si>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</si>
  <si>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</si>
  <si>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</si>
  <si>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</si>
  <si>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</si>
  <si>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</si>
  <si>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</si>
  <si>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</si>
  <si>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</si>
  <si>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</si>
  <si>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</si>
  <si>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</si>
  <si>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</si>
  <si>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</si>
  <si>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</si>
  <si>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</si>
  <si>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</si>
  <si>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</si>
  <si>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</si>
  <si>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</si>
  <si>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</si>
  <si>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</si>
  <si>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</si>
  <si>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</si>
  <si>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</si>
  <si>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</si>
  <si>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</si>
  <si>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</si>
  <si>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</si>
  <si>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</si>
  <si>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</si>
  <si>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</si>
  <si>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</si>
  <si>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</si>
  <si>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</si>
  <si>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</si>
  <si>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</si>
  <si>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</si>
  <si>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</si>
  <si>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</si>
  <si>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</si>
  <si>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</si>
  <si>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</si>
  <si>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</si>
  <si>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</si>
  <si>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</si>
  <si>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</si>
  <si>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</si>
  <si>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</si>
  <si>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</si>
  <si>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</si>
  <si>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</si>
  <si>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</si>
  <si>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</si>
  <si>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</si>
  <si>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</si>
  <si>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</si>
  <si>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</si>
  <si>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</si>
  <si>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</si>
  <si>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</si>
  <si>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</si>
  <si>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</si>
  <si>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</si>
  <si>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</si>
  <si>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</si>
  <si>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</si>
  <si>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</si>
  <si>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</si>
  <si>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</si>
  <si>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</si>
  <si>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</si>
  <si>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</si>
  <si>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</si>
  <si>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</si>
  <si>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</si>
  <si>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</si>
  <si>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</si>
  <si>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</si>
  <si>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</si>
  <si>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</si>
  <si>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</si>
  <si>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</si>
  <si>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</si>
  <si>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</si>
  <si>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</si>
  <si>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</si>
  <si>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</si>
  <si>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</si>
  <si>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</si>
  <si>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</si>
  <si>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</si>
  <si>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</si>
  <si>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</si>
  <si>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</si>
  <si>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</si>
  <si>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</si>
  <si>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</si>
  <si>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</si>
  <si>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</si>
  <si>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</si>
  <si>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</si>
  <si>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</si>
  <si>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</si>
  <si>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</si>
  <si>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</si>
  <si>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</si>
  <si>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</si>
  <si>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</si>
  <si>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</si>
  <si>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</si>
  <si>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</si>
  <si>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</si>
  <si>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</si>
  <si>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</si>
  <si>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</si>
  <si>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</si>
  <si>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</si>
  <si>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</si>
  <si>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</si>
  <si>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</si>
  <si>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</si>
  <si>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</si>
  <si>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</si>
  <si>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</si>
  <si>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</si>
  <si>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</si>
  <si>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</si>
  <si>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</si>
  <si>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</si>
  <si>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</si>
  <si>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</si>
  <si>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</si>
  <si>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</si>
  <si>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</si>
  <si>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</si>
  <si>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</si>
  <si>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</si>
  <si>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</si>
  <si>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</si>
  <si>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</si>
  <si>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</si>
  <si>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</si>
  <si>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</si>
  <si>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</si>
  <si>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</si>
  <si>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</si>
  <si>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</si>
  <si>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</si>
  <si>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</si>
  <si>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</si>
  <si>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</si>
  <si>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</si>
  <si>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</si>
  <si>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</si>
  <si>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</si>
  <si>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</si>
  <si>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</si>
  <si>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</si>
  <si>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</si>
  <si>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</si>
  <si>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</si>
  <si>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</si>
  <si>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</si>
  <si>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</si>
  <si>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</si>
  <si>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</si>
  <si>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</si>
  <si>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</si>
  <si>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</si>
  <si>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</si>
  <si>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</si>
  <si>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</si>
  <si>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</si>
  <si>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</si>
  <si>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</si>
  <si>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</si>
  <si>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</si>
  <si>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</si>
  <si>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</si>
  <si>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</si>
  <si>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</si>
  <si>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</si>
  <si>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</si>
  <si>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</si>
  <si>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</si>
  <si>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</si>
  <si>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</si>
  <si>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</si>
  <si>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</si>
  <si>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</si>
  <si>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</si>
  <si>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</si>
  <si>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</si>
  <si>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</si>
  <si>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</si>
  <si>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</si>
  <si>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</si>
  <si>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</si>
  <si>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</si>
  <si>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</si>
  <si>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</si>
  <si>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</si>
  <si>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</si>
  <si>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</si>
  <si>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</si>
  <si>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</si>
  <si>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</si>
  <si>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</si>
  <si>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</si>
  <si>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</si>
  <si>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</si>
  <si>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</si>
  <si>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</si>
  <si>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</si>
  <si>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</si>
  <si>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</si>
  <si>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</si>
  <si>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</si>
  <si>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</si>
  <si>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</si>
  <si>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</si>
  <si>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</si>
  <si>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</si>
  <si>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</si>
  <si>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</si>
  <si>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</si>
  <si>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</si>
  <si>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</si>
  <si>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</si>
  <si>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</si>
  <si>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</si>
  <si>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</si>
  <si>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</si>
  <si>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</si>
  <si>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</si>
  <si>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</si>
  <si>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</si>
  <si>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</si>
  <si>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</si>
  <si>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</si>
  <si>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</si>
  <si>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</si>
  <si>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</si>
  <si>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</si>
  <si>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</si>
  <si>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</si>
  <si>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</si>
  <si>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</si>
  <si>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</si>
  <si>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</si>
  <si>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</si>
  <si>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</si>
  <si>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</si>
  <si>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</si>
  <si>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</si>
  <si>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</si>
  <si>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</si>
  <si>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</si>
  <si>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</si>
  <si>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</si>
  <si>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</si>
  <si>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</si>
  <si>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</si>
  <si>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</si>
  <si>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</si>
  <si>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</si>
  <si>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</si>
  <si>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</si>
  <si>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</si>
  <si>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</si>
  <si>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</si>
  <si>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</si>
  <si>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</si>
  <si>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</si>
  <si>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</si>
  <si>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</si>
  <si>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</si>
  <si>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</si>
  <si>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</si>
  <si>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</si>
  <si>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</si>
  <si>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</si>
  <si>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</si>
  <si>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</si>
  <si>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</si>
  <si>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</si>
  <si>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</si>
  <si>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</si>
  <si>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</si>
  <si>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</si>
  <si>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</si>
  <si>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</si>
  <si>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</si>
  <si>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</si>
  <si>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</si>
  <si>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</si>
  <si>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</si>
  <si>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</si>
  <si>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</si>
  <si>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</si>
  <si>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</si>
  <si>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</si>
  <si>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</si>
  <si>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</si>
  <si>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</si>
  <si>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</si>
  <si>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</si>
  <si>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</si>
  <si>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</si>
  <si>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</si>
  <si>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</si>
  <si>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</si>
  <si>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</si>
  <si>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</si>
  <si>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</si>
  <si>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</si>
  <si>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</si>
  <si>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</si>
  <si>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</si>
  <si>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</si>
  <si>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</si>
  <si>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</si>
  <si>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</si>
  <si>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</si>
  <si>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</si>
  <si>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</si>
  <si>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</si>
  <si>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</si>
  <si>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</si>
  <si>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</si>
  <si>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</si>
  <si>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</si>
  <si>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</si>
  <si>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</si>
  <si>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</si>
  <si>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</si>
  <si>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</si>
  <si>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</si>
  <si>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</si>
  <si>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</si>
  <si>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</si>
  <si>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</si>
  <si>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</si>
  <si>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</si>
  <si>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</si>
  <si>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</si>
  <si>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</si>
  <si>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</si>
  <si>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</si>
  <si>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</si>
  <si>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</si>
  <si>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</si>
  <si>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</si>
  <si>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</si>
  <si>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</si>
  <si>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</si>
  <si>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</si>
  <si>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</si>
  <si>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</si>
  <si>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</si>
  <si>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</si>
  <si>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</si>
  <si>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</si>
  <si>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</si>
  <si>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</si>
  <si>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</si>
  <si>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</si>
  <si>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</si>
  <si>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</si>
  <si>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</si>
  <si>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</si>
  <si>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</si>
  <si>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</si>
  <si>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</si>
  <si>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</si>
  <si>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</si>
  <si>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</si>
  <si>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</si>
  <si>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</si>
  <si>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</si>
  <si>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</si>
  <si>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</si>
  <si>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</si>
  <si>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</si>
  <si>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</si>
  <si>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</si>
  <si>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</si>
  <si>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</si>
  <si>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</si>
  <si>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</si>
  <si>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</si>
  <si>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</si>
  <si>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</si>
  <si>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</si>
  <si>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</si>
  <si>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</si>
  <si>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</si>
  <si>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</si>
  <si>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</si>
  <si>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</si>
  <si>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</si>
  <si>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</si>
  <si>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</si>
  <si>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</si>
  <si>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</si>
  <si>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</si>
  <si>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</si>
  <si>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</si>
  <si>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</si>
  <si>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</si>
  <si>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</si>
  <si>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</si>
  <si>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</si>
  <si>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</si>
  <si>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</si>
  <si>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</si>
  <si>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</si>
  <si>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</si>
  <si>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</si>
  <si>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</si>
  <si>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</si>
  <si>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</si>
  <si>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</si>
  <si>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</si>
  <si>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</si>
  <si>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</si>
  <si>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</si>
  <si>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</si>
  <si>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</si>
  <si>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</si>
  <si>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</si>
  <si>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</si>
  <si>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</si>
  <si>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</si>
  <si>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</si>
  <si>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</si>
  <si>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</si>
  <si>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</si>
  <si>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</si>
  <si>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</si>
  <si>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</si>
  <si>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</si>
  <si>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</si>
  <si>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</si>
  <si>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</si>
  <si>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</si>
  <si>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</si>
  <si>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</si>
  <si>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</si>
  <si>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</si>
  <si>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</si>
  <si>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</si>
  <si>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</si>
  <si>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</si>
  <si>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</si>
  <si>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</si>
  <si>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</si>
  <si>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</si>
  <si>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</si>
  <si>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</si>
  <si>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</si>
  <si>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</si>
  <si>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</si>
  <si>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</si>
  <si>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</si>
  <si>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</si>
  <si>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</si>
  <si>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</si>
  <si>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</si>
  <si>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</si>
  <si>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</si>
  <si>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</si>
  <si>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</si>
  <si>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</si>
  <si>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</si>
  <si>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</si>
  <si>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</si>
  <si>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</si>
  <si>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</si>
  <si>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</si>
  <si>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</si>
  <si>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</si>
  <si>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</si>
  <si>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</si>
  <si>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</si>
  <si>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</si>
  <si>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</si>
  <si>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</si>
  <si>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</si>
  <si>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</si>
  <si>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</si>
  <si>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</si>
  <si>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</si>
  <si>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</si>
  <si>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</si>
  <si>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</si>
  <si>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</si>
  <si>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</si>
  <si>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</si>
  <si>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</si>
  <si>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</si>
  <si>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</si>
  <si>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</si>
  <si>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</si>
  <si>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</si>
  <si>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</si>
  <si>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</si>
  <si>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</si>
  <si>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</si>
  <si>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</si>
  <si>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</si>
  <si>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</si>
  <si>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</si>
  <si>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</si>
  <si>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</si>
  <si>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</si>
  <si>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</si>
  <si>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</si>
  <si>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</si>
  <si>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</si>
  <si>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</si>
  <si>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</si>
  <si>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</si>
  <si>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</si>
  <si>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</si>
  <si>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</si>
  <si>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</si>
  <si>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</si>
  <si>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</si>
  <si>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</si>
  <si>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</si>
  <si>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</si>
  <si>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</si>
  <si>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</si>
  <si>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</si>
  <si>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</si>
  <si>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</si>
  <si>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</si>
  <si>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</si>
  <si>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</si>
  <si>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</si>
  <si>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</si>
  <si>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</si>
  <si>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</si>
  <si>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</si>
  <si>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</si>
  <si>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</si>
  <si>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</si>
  <si>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</si>
  <si>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</si>
  <si>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</si>
  <si>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</si>
  <si>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</si>
  <si>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</si>
  <si>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</si>
  <si>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</si>
  <si>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</si>
  <si>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</si>
  <si>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</si>
  <si>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</si>
  <si>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</si>
  <si>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</si>
  <si>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</si>
  <si>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</si>
  <si>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</si>
  <si>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</si>
  <si>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</si>
  <si>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</si>
  <si>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</si>
  <si>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</si>
  <si>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</si>
  <si>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</si>
  <si>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</si>
  <si>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</si>
  <si>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</si>
  <si>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</si>
  <si>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</si>
  <si>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</si>
  <si>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</si>
  <si>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</si>
  <si>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</si>
  <si>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</si>
  <si>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</si>
  <si>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</si>
  <si>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</si>
  <si>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</si>
  <si>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</si>
  <si>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</si>
  <si>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</si>
  <si>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</si>
  <si>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</si>
  <si>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</si>
  <si>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</si>
  <si>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</si>
  <si>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</si>
  <si>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</si>
  <si>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</si>
  <si>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</si>
  <si>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</si>
  <si>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</si>
  <si>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</si>
  <si>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</si>
  <si>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</si>
  <si>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</si>
  <si>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</si>
  <si>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</si>
  <si>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</si>
  <si>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</si>
  <si>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</si>
  <si>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</si>
  <si>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</si>
  <si>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</si>
  <si>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</si>
  <si>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</si>
  <si>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</si>
  <si>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</si>
  <si>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</si>
  <si>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</si>
  <si>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</si>
  <si>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</si>
  <si>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</si>
  <si>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</si>
  <si>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</si>
  <si>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</si>
  <si>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</si>
  <si>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</si>
  <si>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</si>
  <si>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</si>
  <si>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</si>
  <si>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</si>
  <si>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</si>
  <si>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</si>
  <si>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</si>
  <si>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</si>
  <si>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</si>
  <si>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</si>
  <si>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</si>
  <si>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</si>
  <si>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</si>
  <si>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</si>
  <si>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</si>
  <si>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</si>
  <si>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</si>
  <si>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</si>
  <si>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</si>
  <si>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</si>
  <si>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</si>
  <si>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</si>
  <si>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</si>
  <si>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</si>
  <si>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</si>
  <si>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</si>
  <si>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</si>
  <si>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</si>
  <si>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</si>
  <si>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</si>
  <si>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</si>
  <si>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</si>
  <si>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</si>
  <si>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</si>
  <si>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</si>
  <si>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</si>
  <si>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</si>
  <si>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</si>
  <si>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</si>
  <si>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</si>
  <si>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</si>
  <si>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</si>
  <si>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</si>
  <si>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</si>
  <si>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</si>
  <si>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</si>
  <si>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</si>
  <si>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</si>
  <si>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</si>
  <si>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</si>
  <si>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</si>
  <si>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</si>
  <si>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</si>
  <si>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</si>
  <si>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</si>
  <si>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</si>
  <si>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</si>
  <si>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</si>
  <si>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</si>
  <si>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</si>
  <si>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</si>
  <si>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</si>
  <si>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</si>
  <si>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</si>
  <si>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</si>
  <si>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</si>
  <si>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</si>
  <si>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</si>
  <si>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</si>
  <si>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</si>
  <si>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</si>
  <si>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</si>
  <si>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</si>
  <si>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</si>
  <si>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</si>
  <si>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</si>
  <si>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</si>
  <si>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</si>
  <si>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</si>
  <si>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</si>
  <si>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</si>
  <si>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</si>
  <si>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</si>
  <si>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</si>
  <si>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</si>
  <si>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</si>
  <si>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</si>
  <si>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</si>
  <si>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</si>
  <si>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</si>
  <si>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</si>
  <si>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</si>
  <si>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</si>
  <si>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</si>
  <si>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</si>
  <si>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</si>
  <si>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</si>
  <si>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</si>
  <si>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</si>
  <si>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</si>
  <si>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</si>
  <si>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</si>
  <si>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</si>
  <si>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</si>
  <si>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</si>
  <si>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</si>
  <si>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</si>
  <si>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</si>
  <si>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</si>
  <si>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</si>
  <si>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</si>
  <si>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</si>
  <si>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</si>
  <si>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</si>
  <si>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</si>
  <si>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</si>
  <si>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</si>
  <si>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</si>
  <si>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</si>
  <si>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</si>
  <si>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</si>
  <si>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</si>
  <si>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</si>
  <si>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</si>
  <si>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</si>
  <si>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</si>
  <si>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</si>
  <si>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</si>
  <si>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</si>
  <si>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</si>
  <si>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</si>
  <si>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</si>
  <si>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</si>
  <si>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</si>
  <si>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</si>
  <si>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</si>
  <si>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</si>
  <si>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</si>
  <si>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</si>
  <si>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</si>
  <si>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</si>
  <si>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</si>
  <si>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</si>
  <si>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</si>
  <si>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</si>
  <si>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</si>
  <si>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</si>
  <si>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</si>
  <si>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</si>
  <si>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</si>
  <si>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</si>
  <si>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</si>
  <si>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</si>
  <si>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</si>
  <si>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</si>
  <si>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</si>
  <si>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</si>
  <si>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</si>
  <si>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</si>
  <si>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</si>
  <si>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</si>
  <si>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</si>
  <si>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</si>
  <si>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</si>
  <si>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</si>
  <si>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</si>
  <si>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</si>
  <si>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</si>
  <si>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</si>
  <si>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</si>
  <si>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</si>
  <si>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</si>
  <si>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</si>
  <si>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</si>
  <si>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</si>
  <si>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</si>
  <si>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</si>
  <si>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</si>
  <si>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</si>
  <si>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</si>
  <si>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</si>
  <si>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</si>
  <si>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</si>
  <si>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</si>
  <si>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</si>
  <si>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</si>
  <si>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</si>
  <si>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</si>
  <si>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</si>
  <si>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</si>
  <si>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</si>
  <si>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</si>
  <si>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</si>
  <si>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</si>
  <si>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</si>
  <si>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</si>
  <si>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</si>
  <si>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</si>
  <si>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</si>
  <si>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</si>
  <si>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</si>
  <si>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</si>
  <si>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</si>
  <si>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</si>
  <si>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</si>
  <si>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</si>
  <si>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</si>
  <si>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</si>
  <si>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</si>
  <si>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</si>
  <si>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</si>
  <si>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</si>
  <si>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</si>
  <si>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</si>
  <si>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</si>
  <si>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</si>
  <si>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</si>
  <si>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</si>
  <si>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</si>
  <si>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</si>
  <si>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</si>
  <si>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</si>
  <si>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</si>
  <si>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</si>
  <si>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</si>
  <si>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</si>
  <si>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</si>
  <si>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</si>
  <si>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</si>
  <si>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</si>
  <si>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</si>
  <si>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</si>
  <si>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</si>
  <si>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</si>
  <si>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</si>
  <si>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</si>
  <si>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</si>
  <si>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</si>
  <si>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</si>
  <si>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</si>
  <si>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</si>
  <si>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</si>
  <si>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</si>
  <si>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</si>
  <si>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</si>
  <si>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</si>
  <si>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</si>
  <si>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</si>
  <si>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</si>
  <si>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</si>
  <si>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</si>
  <si>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</si>
  <si>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</si>
  <si>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</si>
  <si>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</si>
  <si>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</si>
  <si>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</si>
  <si>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</si>
  <si>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</si>
  <si>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</si>
  <si>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</si>
  <si>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</si>
  <si>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</si>
  <si>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</si>
  <si>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</si>
  <si>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</si>
  <si>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</si>
  <si>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</si>
  <si>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</si>
  <si>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</si>
  <si>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</si>
  <si>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</si>
  <si>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</si>
  <si>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</si>
  <si>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</si>
  <si>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</si>
  <si>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</si>
  <si>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</si>
  <si>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</si>
  <si>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</si>
  <si>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</si>
  <si>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</si>
  <si>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</si>
  <si>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</si>
  <si>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</si>
  <si>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</si>
  <si>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</si>
  <si>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</si>
  <si>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</si>
  <si>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</si>
  <si>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</si>
  <si>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</si>
  <si>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</si>
  <si>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</si>
  <si>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</si>
  <si>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</si>
  <si>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</si>
  <si>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</si>
  <si>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</si>
  <si>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</si>
  <si>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</si>
  <si>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</si>
  <si>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</si>
  <si>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</si>
  <si>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</si>
  <si>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</si>
  <si>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</si>
  <si>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</si>
  <si>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</si>
  <si>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</si>
  <si>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</si>
  <si>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</si>
  <si>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</si>
  <si>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</si>
  <si>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</si>
  <si>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</si>
  <si>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</si>
  <si>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</si>
  <si>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</si>
  <si>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</si>
  <si>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</si>
  <si>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</si>
  <si>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</si>
  <si>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</si>
  <si>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</si>
  <si>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</si>
  <si>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</si>
  <si>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</si>
  <si>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</si>
  <si>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</si>
  <si>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</si>
  <si>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</si>
  <si>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</si>
  <si>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</si>
  <si>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</si>
  <si>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</si>
  <si>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</si>
  <si>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</si>
  <si>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</si>
  <si>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</si>
  <si>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</si>
  <si>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</si>
  <si>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</si>
  <si>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</si>
  <si>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</si>
  <si>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</si>
  <si>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</si>
  <si>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</si>
  <si>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</si>
  <si>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</si>
  <si>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</si>
  <si>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</si>
  <si>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</si>
  <si>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</si>
  <si>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</si>
  <si>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</si>
  <si>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</si>
  <si>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</si>
  <si>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</si>
  <si>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</si>
  <si>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</si>
  <si>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</si>
  <si>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</si>
  <si>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</si>
  <si>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</si>
  <si>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</si>
  <si>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</si>
  <si>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</si>
  <si>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</si>
  <si>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</si>
  <si>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</si>
  <si>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</si>
  <si>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</si>
  <si>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</si>
  <si>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</si>
  <si>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</si>
  <si>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</si>
  <si>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</si>
  <si>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</si>
  <si>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</si>
  <si>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</si>
  <si>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</si>
  <si>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</si>
  <si>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</si>
  <si>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</si>
  <si>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</si>
  <si>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</si>
  <si>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</si>
  <si>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</si>
  <si>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</si>
  <si>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</si>
  <si>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</si>
  <si>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</si>
  <si>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</si>
  <si>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</si>
  <si>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</si>
  <si>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</si>
  <si>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</si>
  <si>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</si>
  <si>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</si>
  <si>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</si>
  <si>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</si>
  <si>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</si>
  <si>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</si>
  <si>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</si>
  <si>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</si>
  <si>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</si>
  <si>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</si>
  <si>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</si>
  <si>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</si>
  <si>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</si>
  <si>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</si>
  <si>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</si>
  <si>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</si>
  <si>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</si>
  <si>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</si>
  <si>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</si>
  <si>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</si>
  <si>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</si>
  <si>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</si>
  <si>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</si>
  <si>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</si>
  <si>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</si>
  <si>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</si>
  <si>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</si>
  <si>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</si>
  <si>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</si>
  <si>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</si>
  <si>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</si>
  <si>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</si>
  <si>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</si>
  <si>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</si>
  <si>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</si>
  <si>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</si>
  <si>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</si>
  <si>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</si>
  <si>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</si>
  <si>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</si>
  <si>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</si>
  <si>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</si>
  <si>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</si>
  <si>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</si>
  <si>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</si>
  <si>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</si>
  <si>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</si>
  <si>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</si>
  <si>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</si>
  <si>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</si>
  <si>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</si>
  <si>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</si>
  <si>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</si>
  <si>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</si>
  <si>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</si>
  <si>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</si>
  <si>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</si>
  <si>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</si>
  <si>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</si>
  <si>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</si>
  <si>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</si>
  <si>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</si>
  <si>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</si>
  <si>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</si>
  <si>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</si>
  <si>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</si>
  <si>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</si>
  <si>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</si>
  <si>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</si>
  <si>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</si>
  <si>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</si>
  <si>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</si>
  <si>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</si>
  <si>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</si>
  <si>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</si>
  <si>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</si>
  <si>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</si>
  <si>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</si>
  <si>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</si>
  <si>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</si>
  <si>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</si>
  <si>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</si>
  <si>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</si>
  <si>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</si>
  <si>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</si>
  <si>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</si>
  <si>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</si>
  <si>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</si>
  <si>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</si>
  <si>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</si>
  <si>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</si>
  <si>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</si>
  <si>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</si>
  <si>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</si>
  <si>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</si>
  <si>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</si>
  <si>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</si>
  <si>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</si>
  <si>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</si>
  <si>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</si>
  <si>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</si>
  <si>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</si>
  <si>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</si>
  <si>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</si>
  <si>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</si>
  <si>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</si>
  <si>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</si>
  <si>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</si>
  <si>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</si>
  <si>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</si>
  <si>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</si>
  <si>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</si>
  <si>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</si>
  <si>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</si>
  <si>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</si>
  <si>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</si>
  <si>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</si>
  <si>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</si>
  <si>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</si>
  <si>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</si>
  <si>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</si>
  <si>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</si>
  <si>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</si>
  <si>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</si>
  <si>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</si>
  <si>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</si>
  <si>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</si>
  <si>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</si>
  <si>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</si>
  <si>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</si>
  <si>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</si>
  <si>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</si>
  <si>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</si>
  <si>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</si>
  <si>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</si>
  <si>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</si>
  <si>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</si>
  <si>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</si>
  <si>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</si>
  <si>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</si>
  <si>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</si>
  <si>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</si>
  <si>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</si>
  <si>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</si>
  <si>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</si>
  <si>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</si>
  <si>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</si>
  <si>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</si>
  <si>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</si>
  <si>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</si>
  <si>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</si>
  <si>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</si>
  <si>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</si>
  <si>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</si>
  <si>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</si>
  <si>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</si>
  <si>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</si>
  <si>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</si>
  <si>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</si>
  <si>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</si>
  <si>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</si>
  <si>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</si>
  <si>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</si>
  <si>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</si>
  <si>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</si>
  <si>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</si>
  <si>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</si>
  <si>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</si>
  <si>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</si>
  <si>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</si>
  <si>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</si>
  <si>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</si>
  <si>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</si>
  <si>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</si>
  <si>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</si>
  <si>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</si>
  <si>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</si>
  <si>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</si>
  <si>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</si>
  <si>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</si>
  <si>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</si>
  <si>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</si>
  <si>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</si>
  <si>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</si>
  <si>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</si>
  <si>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</si>
  <si>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</si>
  <si>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</si>
  <si>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</si>
  <si>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</si>
  <si>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</si>
  <si>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</si>
  <si>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</si>
  <si>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</si>
  <si>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</si>
  <si>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</si>
  <si>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</si>
  <si>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</si>
  <si>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</si>
  <si>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</si>
  <si>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</si>
  <si>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</si>
  <si>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</si>
  <si>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</si>
  <si>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</si>
  <si>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</si>
  <si>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</si>
  <si>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</si>
  <si>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</si>
  <si>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</si>
  <si>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</si>
  <si>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</si>
  <si>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</si>
  <si>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</si>
  <si>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</si>
  <si>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</si>
  <si>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</si>
  <si>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</si>
  <si>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</si>
  <si>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</si>
  <si>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</si>
  <si>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</si>
  <si>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</si>
  <si>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</si>
  <si>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</si>
  <si>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</si>
  <si>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</si>
  <si>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</si>
  <si>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</si>
  <si>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</si>
  <si>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</si>
  <si>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</si>
  <si>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</si>
  <si>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</si>
  <si>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</si>
  <si>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</si>
  <si>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</si>
  <si>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</si>
  <si>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</si>
  <si>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</si>
  <si>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</si>
  <si>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</si>
  <si>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</si>
  <si>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</si>
  <si>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</si>
  <si>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</si>
  <si>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</si>
  <si>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</si>
  <si>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</si>
  <si>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</si>
  <si>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</si>
  <si>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</si>
  <si>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</si>
  <si>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</si>
  <si>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</si>
  <si>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</si>
  <si>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</si>
  <si>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</si>
  <si>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</si>
  <si>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</si>
  <si>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</si>
  <si>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</si>
  <si>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</si>
  <si>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</si>
  <si>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</si>
  <si>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</si>
  <si>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</si>
  <si>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</si>
  <si>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</si>
  <si>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</si>
  <si>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</si>
  <si>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</si>
  <si>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</si>
  <si>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</si>
  <si>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</si>
  <si>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</si>
  <si>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</si>
  <si>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</si>
  <si>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</si>
  <si>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</si>
  <si>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</si>
  <si>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</si>
  <si>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</si>
  <si>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</si>
  <si>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</si>
  <si>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</si>
  <si>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</si>
  <si>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</si>
  <si>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</si>
  <si>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</si>
  <si>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</si>
  <si>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</si>
  <si>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</si>
  <si>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</si>
  <si>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</si>
  <si>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</si>
  <si>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</si>
  <si>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</si>
  <si>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</si>
  <si>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</si>
  <si>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</si>
  <si>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</si>
  <si>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</si>
  <si>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</si>
  <si>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</si>
  <si>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</si>
  <si>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</si>
  <si>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</si>
  <si>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</si>
  <si>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</si>
  <si>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</si>
  <si>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</si>
  <si>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</si>
  <si>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</si>
  <si>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</si>
  <si>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</si>
  <si>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</si>
  <si>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</si>
  <si>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</si>
  <si>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</si>
  <si>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</si>
  <si>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</si>
  <si>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</si>
  <si>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</si>
  <si>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</si>
  <si>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</si>
  <si>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</si>
  <si>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</si>
  <si>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</si>
  <si>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</si>
  <si>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</si>
  <si>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</si>
  <si>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</si>
  <si>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</si>
  <si>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</si>
  <si>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</si>
  <si>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</si>
  <si>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</si>
  <si>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</si>
  <si>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</si>
  <si>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</si>
  <si>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</si>
  <si>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</si>
  <si>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</si>
  <si>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</si>
  <si>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</si>
  <si>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</si>
  <si>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</si>
  <si>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</si>
  <si>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</si>
  <si>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</si>
  <si>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</si>
  <si>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</si>
  <si>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</si>
  <si>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</si>
  <si>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</si>
  <si>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</si>
  <si>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</si>
  <si>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</si>
  <si>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</si>
  <si>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</si>
  <si>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</si>
  <si>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</si>
  <si>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</si>
  <si>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</si>
  <si>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</si>
  <si>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</si>
  <si>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</si>
  <si>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</si>
  <si>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</si>
  <si>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</si>
  <si>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</si>
  <si>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</si>
  <si>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</si>
  <si>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</si>
  <si>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</si>
  <si>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</si>
  <si>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</si>
  <si>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</si>
  <si>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</si>
  <si>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</si>
  <si>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</si>
  <si>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</si>
  <si>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</si>
  <si>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</si>
  <si>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</si>
  <si>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</si>
  <si>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</si>
  <si>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</si>
  <si>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</si>
  <si>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</si>
  <si>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</si>
  <si>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</si>
  <si>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</si>
  <si>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</si>
  <si>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</si>
  <si>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</si>
  <si>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</si>
  <si>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</si>
  <si>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</si>
  <si>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</si>
  <si>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</si>
  <si>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</si>
  <si>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</si>
  <si>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</si>
  <si>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</si>
  <si>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</si>
  <si>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</si>
  <si>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</si>
  <si>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</si>
  <si>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</si>
  <si>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</si>
  <si>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</si>
  <si>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</si>
  <si>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</si>
  <si>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</si>
  <si>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</si>
  <si>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</si>
  <si>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</si>
  <si>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</si>
  <si>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</si>
  <si>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</si>
  <si>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</si>
  <si>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</si>
  <si>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</si>
  <si>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</si>
  <si>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</si>
  <si>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</si>
  <si>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</si>
  <si>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</si>
  <si>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</si>
  <si>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</si>
  <si>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</si>
  <si>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</si>
  <si>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</si>
  <si>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</si>
  <si>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</si>
  <si>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</si>
  <si>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</si>
  <si>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</si>
  <si>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</si>
  <si>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</si>
  <si>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</si>
  <si>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</si>
  <si>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</si>
  <si>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</si>
  <si>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</si>
  <si>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</si>
  <si>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</si>
  <si>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</si>
  <si>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</si>
  <si>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</si>
  <si>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</si>
  <si>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</si>
  <si>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</si>
  <si>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</si>
  <si>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</si>
  <si>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</si>
  <si>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</si>
  <si>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</si>
  <si>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</si>
  <si>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</si>
  <si>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</si>
  <si>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</si>
  <si>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</si>
  <si>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</si>
  <si>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</si>
  <si>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</si>
  <si>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</si>
  <si>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</si>
  <si>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</si>
  <si>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</si>
  <si>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</si>
  <si>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</si>
  <si>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</si>
  <si>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</si>
  <si>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</si>
  <si>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</si>
  <si>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</si>
  <si>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</si>
  <si>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</si>
  <si>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</si>
  <si>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</si>
  <si>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</si>
  <si>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</si>
  <si>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</si>
  <si>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</si>
  <si>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</si>
  <si>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</si>
  <si>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</si>
  <si>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</si>
  <si>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</si>
  <si>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</si>
  <si>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</si>
  <si>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</si>
  <si>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</si>
  <si>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</si>
  <si>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</si>
  <si>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</si>
  <si>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</si>
  <si>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</si>
  <si>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</si>
  <si>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</si>
  <si>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</si>
  <si>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</si>
  <si>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</si>
  <si>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</si>
  <si>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</si>
  <si>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</si>
  <si>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</si>
  <si>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</si>
  <si>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</si>
  <si>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</si>
  <si>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</si>
  <si>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</si>
  <si>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</si>
  <si>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</si>
  <si>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</si>
  <si>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</si>
  <si>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</si>
  <si>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</si>
  <si>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</si>
  <si>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</si>
  <si>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</si>
  <si>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</si>
  <si>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</si>
  <si>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</si>
  <si>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</si>
  <si>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</si>
  <si>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</si>
  <si>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</si>
  <si>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</si>
  <si>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</si>
  <si>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</si>
  <si>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</si>
  <si>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</si>
  <si>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</si>
  <si>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</si>
  <si>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</si>
  <si>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</si>
  <si>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</si>
  <si>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</si>
  <si>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</si>
  <si>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</si>
  <si>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</si>
  <si>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</si>
  <si>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</si>
  <si>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</si>
  <si>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</si>
  <si>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</si>
  <si>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</si>
  <si>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</si>
  <si>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</si>
  <si>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</si>
  <si>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</si>
  <si>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</si>
  <si>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</si>
  <si>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</si>
  <si>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</si>
  <si>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</si>
  <si>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</si>
  <si>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</si>
  <si>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</si>
  <si>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</si>
  <si>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</si>
  <si>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</si>
  <si>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</si>
  <si>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</si>
  <si>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</si>
  <si>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</si>
  <si>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</si>
  <si>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</si>
  <si>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</si>
  <si>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</si>
  <si>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</si>
  <si>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</si>
  <si>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</si>
  <si>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</si>
  <si>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</si>
  <si>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</si>
  <si>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</si>
  <si>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</si>
  <si>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</si>
  <si>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</si>
  <si>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</si>
  <si>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</si>
  <si>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</si>
  <si>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</si>
  <si>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</si>
  <si>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</si>
  <si>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</si>
  <si>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</si>
  <si>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</si>
  <si>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</si>
  <si>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</si>
  <si>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</si>
  <si>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</si>
  <si>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</si>
  <si>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</si>
  <si>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</si>
  <si>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</si>
  <si>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</si>
  <si>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</si>
  <si>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</si>
  <si>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</si>
  <si>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</si>
  <si>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</si>
  <si>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</si>
  <si>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</si>
  <si>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</si>
  <si>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</si>
  <si>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</si>
  <si>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</si>
  <si>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</si>
  <si>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</si>
  <si>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</si>
  <si>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</si>
  <si>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</si>
  <si>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</si>
  <si>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</si>
  <si>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</si>
  <si>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</si>
  <si>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</si>
  <si>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</si>
  <si>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</si>
  <si>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</si>
  <si>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</si>
  <si>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</si>
  <si>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</si>
  <si>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</si>
  <si>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</si>
  <si>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</si>
  <si>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</si>
  <si>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</si>
  <si>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</si>
  <si>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</si>
  <si>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</si>
  <si>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</si>
  <si>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</si>
  <si>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</si>
  <si>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</si>
  <si>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</si>
  <si>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</si>
  <si>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</si>
  <si>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</si>
  <si>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</si>
  <si>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</si>
  <si>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</si>
  <si>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</si>
  <si>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</si>
  <si>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</si>
  <si>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</si>
  <si>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</si>
  <si>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</si>
  <si>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</si>
  <si>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</si>
  <si>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</si>
  <si>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</si>
  <si>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</si>
  <si>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</si>
  <si>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</si>
  <si>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</si>
  <si>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</si>
  <si>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</si>
  <si>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</si>
  <si>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</si>
  <si>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</si>
  <si>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</si>
  <si>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</si>
  <si>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</si>
  <si>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</si>
  <si>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</si>
  <si>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</si>
  <si>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</si>
  <si>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</si>
  <si>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</si>
  <si>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</si>
  <si>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</si>
  <si>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</si>
  <si>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</si>
  <si>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</si>
  <si>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</si>
  <si>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</si>
  <si>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</si>
  <si>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</si>
  <si>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</si>
  <si>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</si>
  <si>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</si>
  <si>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</si>
  <si>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</si>
  <si>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</si>
  <si>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</si>
  <si>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</si>
  <si>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</si>
  <si>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</si>
  <si>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</si>
  <si>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</si>
  <si>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</si>
  <si>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</si>
  <si>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</si>
  <si>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</si>
  <si>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</si>
  <si>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</si>
  <si>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</si>
  <si>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</si>
  <si>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</si>
  <si>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</si>
  <si>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</si>
  <si>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</si>
  <si>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</si>
  <si>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</si>
  <si>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</si>
  <si>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</si>
  <si>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</si>
  <si>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</si>
  <si>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</si>
  <si>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</si>
  <si>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</si>
  <si>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</si>
  <si>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</si>
  <si>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</si>
  <si>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</si>
  <si>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</si>
  <si>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</si>
  <si>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</si>
  <si>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</si>
  <si>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</si>
  <si>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</si>
  <si>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</si>
  <si>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</si>
  <si>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</si>
  <si>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</si>
  <si>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</si>
  <si>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</si>
  <si>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</si>
  <si>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</si>
  <si>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</si>
  <si>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</si>
  <si>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</si>
  <si>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</si>
  <si>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</si>
  <si>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</si>
  <si>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</si>
  <si>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</si>
  <si>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</si>
  <si>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</si>
  <si>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</si>
  <si>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</si>
  <si>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</si>
  <si>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</si>
  <si>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</si>
  <si>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</si>
  <si>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</si>
  <si>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</si>
  <si>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</si>
  <si>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</si>
  <si>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</si>
  <si>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</si>
  <si>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</si>
  <si>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</si>
  <si>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</si>
  <si>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</si>
  <si>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</si>
  <si>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</si>
  <si>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</si>
  <si>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</si>
  <si>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</si>
  <si>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</si>
  <si>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</si>
  <si>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</si>
  <si>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</si>
  <si>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</si>
  <si>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</si>
  <si>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</si>
  <si>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</si>
  <si>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</si>
  <si>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</si>
  <si>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</si>
  <si>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</si>
  <si>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</si>
  <si>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</si>
  <si>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</si>
  <si>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</si>
  <si>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</si>
  <si>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</si>
  <si>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</si>
  <si>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</si>
  <si>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</si>
  <si>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</si>
  <si>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</si>
  <si>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</si>
  <si>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</si>
  <si>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</si>
  <si>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</si>
  <si>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</si>
  <si>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</si>
  <si>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</si>
  <si>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</si>
  <si>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</si>
  <si>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</si>
  <si>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</si>
  <si>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</si>
  <si>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</si>
  <si>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</si>
  <si>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</si>
  <si>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</si>
  <si>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</si>
  <si>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</si>
  <si>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</si>
  <si>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</si>
  <si>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</si>
  <si>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</si>
  <si>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</si>
  <si>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</si>
  <si>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</si>
  <si>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</si>
  <si>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</si>
  <si>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</si>
  <si>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</si>
  <si>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</si>
  <si>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</si>
  <si>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</si>
  <si>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</si>
  <si>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</si>
  <si>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</si>
  <si>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</si>
  <si>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</si>
  <si>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</si>
  <si>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</si>
  <si>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</si>
  <si>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</si>
  <si>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</si>
  <si>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</si>
  <si>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</si>
  <si>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</si>
  <si>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</si>
  <si>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</si>
  <si>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</si>
  <si>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</si>
  <si>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</si>
  <si>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</si>
  <si>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</si>
  <si>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</si>
  <si>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</si>
  <si>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</si>
  <si>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</si>
  <si>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</si>
  <si>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</si>
  <si>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</si>
  <si>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</si>
  <si>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</si>
  <si>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</si>
  <si>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</si>
  <si>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</si>
  <si>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</si>
  <si>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</si>
  <si>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</si>
  <si>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</si>
  <si>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</si>
  <si>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</si>
  <si>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</si>
  <si>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</si>
  <si>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</si>
  <si>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</si>
  <si>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</si>
  <si>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</si>
  <si>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</si>
  <si>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</si>
  <si>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</si>
  <si>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</si>
  <si>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</si>
  <si>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</si>
  <si>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</si>
  <si>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</si>
  <si>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</si>
  <si>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</si>
  <si>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</si>
  <si>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</si>
  <si>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</si>
  <si>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</si>
  <si>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</si>
  <si>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</si>
  <si>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</si>
  <si>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</si>
  <si>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</si>
  <si>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</si>
  <si>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</si>
  <si>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</si>
  <si>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</si>
  <si>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</si>
  <si>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</si>
  <si>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</si>
  <si>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</si>
  <si>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</si>
  <si>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</si>
  <si>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</si>
  <si>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</si>
  <si>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</si>
  <si>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</si>
  <si>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</si>
  <si>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</si>
  <si>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</si>
  <si>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</si>
  <si>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</si>
  <si>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</si>
  <si>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</si>
  <si>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</si>
  <si>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</si>
  <si>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</si>
  <si>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</si>
  <si>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</si>
  <si>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</si>
  <si>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</si>
  <si>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</si>
  <si>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</si>
  <si>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</si>
  <si>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</si>
  <si>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</si>
  <si>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</si>
  <si>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</si>
  <si>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</si>
  <si>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</si>
  <si>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</si>
  <si>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</si>
  <si>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</si>
  <si>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</si>
  <si>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</si>
  <si>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</si>
  <si>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</si>
  <si>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</si>
  <si>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</si>
  <si>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</si>
  <si>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</si>
  <si>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</si>
  <si>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</si>
  <si>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</si>
  <si>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</si>
  <si>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</si>
  <si>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</si>
  <si>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</si>
  <si>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</si>
  <si>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</si>
  <si>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</si>
  <si>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</si>
  <si>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</si>
  <si>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</si>
  <si>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</si>
  <si>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</si>
  <si>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</si>
  <si>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</si>
  <si>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</si>
  <si>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</si>
  <si>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</si>
  <si>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</si>
  <si>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</si>
  <si>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</si>
  <si>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</si>
  <si>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</si>
  <si>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</si>
  <si>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</si>
  <si>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</si>
  <si>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</si>
  <si>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</si>
  <si>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</si>
  <si>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</si>
  <si>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</si>
  <si>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</si>
  <si>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</si>
  <si>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</si>
  <si>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</si>
  <si>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</si>
  <si>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</si>
  <si>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</si>
  <si>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</si>
  <si>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</si>
  <si>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</si>
  <si>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</si>
  <si>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</si>
  <si>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</si>
  <si>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</si>
  <si>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</si>
  <si>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</si>
  <si>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</si>
  <si>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</si>
  <si>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</si>
  <si>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</si>
  <si>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</si>
  <si>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</si>
  <si>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</si>
  <si>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</si>
  <si>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</si>
  <si>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</si>
  <si>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</si>
  <si>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</si>
  <si>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</si>
  <si>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</si>
  <si>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</si>
  <si>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</si>
  <si>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</si>
  <si>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</si>
  <si>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</si>
  <si>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</si>
  <si>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</si>
  <si>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</si>
  <si>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</si>
  <si>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</si>
  <si>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</si>
  <si>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</si>
  <si>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</si>
  <si>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</si>
  <si>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</si>
  <si>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</si>
  <si>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</si>
  <si>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</si>
  <si>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</si>
  <si>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</si>
  <si>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</si>
  <si>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</si>
  <si>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</si>
  <si>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</si>
  <si>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</si>
  <si>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</si>
  <si>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</si>
  <si>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</si>
  <si>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</si>
  <si>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</si>
  <si>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</si>
  <si>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</si>
  <si>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</si>
  <si>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</si>
  <si>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</si>
  <si>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</si>
  <si>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</si>
  <si>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</si>
  <si>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</si>
  <si>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</si>
  <si>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</si>
  <si>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</si>
  <si>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</si>
  <si>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</si>
  <si>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</si>
  <si>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</si>
  <si>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</si>
  <si>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</si>
  <si>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</si>
  <si>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</si>
  <si>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</si>
  <si>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</si>
  <si>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</si>
  <si>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</si>
  <si>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</si>
  <si>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</si>
  <si>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</si>
  <si>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</si>
  <si>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</si>
  <si>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</si>
  <si>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</si>
  <si>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</si>
  <si>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</si>
  <si>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</si>
  <si>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</si>
  <si>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</si>
  <si>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</si>
  <si>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</si>
  <si>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</si>
  <si>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</si>
  <si>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</si>
  <si>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</si>
  <si>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</si>
  <si>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</si>
  <si>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</si>
  <si>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</si>
  <si>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</si>
  <si>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</si>
  <si>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</si>
  <si>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</si>
  <si>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</si>
  <si>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</si>
  <si>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</si>
  <si>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</si>
  <si>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</si>
  <si>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</si>
  <si>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</si>
  <si>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</si>
  <si>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</si>
  <si>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</si>
  <si>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</si>
  <si>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</si>
  <si>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</si>
  <si>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</si>
  <si>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</si>
  <si>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</si>
  <si>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</si>
  <si>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</si>
  <si>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</si>
  <si>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</si>
  <si>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</si>
  <si>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</si>
  <si>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</si>
  <si>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</si>
  <si>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</si>
  <si>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</si>
  <si>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</si>
  <si>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</si>
  <si>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</si>
  <si>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</si>
  <si>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</si>
  <si>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</si>
  <si>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</si>
  <si>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</si>
  <si>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</si>
  <si>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</si>
  <si>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</si>
  <si>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</si>
  <si>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</si>
  <si>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</si>
  <si>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</si>
  <si>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</si>
  <si>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</si>
  <si>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</si>
  <si>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</si>
  <si>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</si>
  <si>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</si>
  <si>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</si>
  <si>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</si>
  <si>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</si>
  <si>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</si>
  <si>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</si>
  <si>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</si>
  <si>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</si>
  <si>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</si>
  <si>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</si>
  <si>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</si>
  <si>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</si>
  <si>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</si>
  <si>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</si>
  <si>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</si>
  <si>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</si>
  <si>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</si>
  <si>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</si>
  <si>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</si>
  <si>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</si>
  <si>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</si>
  <si>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</si>
  <si>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</si>
  <si>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</si>
  <si>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</si>
  <si>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</si>
  <si>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</si>
  <si>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</si>
  <si>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</si>
  <si>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</si>
  <si>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</si>
  <si>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</si>
  <si>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</si>
  <si>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</si>
  <si>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</si>
  <si>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</si>
  <si>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</si>
  <si>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</si>
  <si>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</si>
  <si>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</si>
  <si>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</si>
  <si>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</si>
  <si>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</si>
  <si>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</si>
  <si>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</si>
  <si>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</si>
  <si>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</si>
  <si>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</si>
  <si>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</si>
  <si>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</si>
  <si>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</si>
  <si>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</si>
  <si>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</si>
  <si>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</si>
  <si>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</si>
  <si>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</si>
  <si>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</si>
  <si>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</si>
  <si>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</si>
  <si>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</si>
  <si>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</si>
  <si>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</si>
  <si>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</si>
  <si>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</si>
  <si>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</si>
  <si>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</si>
  <si>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</si>
  <si>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</si>
  <si>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</si>
  <si>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</si>
  <si>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</si>
  <si>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</si>
  <si>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</si>
  <si>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</si>
  <si>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</si>
  <si>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</si>
  <si>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</si>
  <si>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</si>
  <si>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</si>
  <si>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</si>
  <si>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</si>
  <si>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</si>
  <si>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</si>
  <si>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</si>
  <si>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</si>
  <si>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</si>
  <si>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</si>
  <si>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</si>
  <si>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</si>
  <si>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</si>
  <si>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</si>
  <si>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</si>
  <si>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</si>
  <si>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</si>
  <si>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</si>
  <si>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</si>
  <si>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</si>
  <si>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</si>
  <si>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</si>
  <si>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</si>
  <si>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</si>
  <si>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</si>
  <si>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</si>
  <si>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</si>
  <si>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</si>
  <si>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</si>
  <si>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</si>
  <si>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</si>
  <si>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</si>
  <si>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</si>
  <si>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</si>
  <si>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</si>
  <si>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</si>
  <si>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</si>
  <si>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</si>
  <si>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</si>
  <si>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</si>
  <si>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</si>
  <si>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</si>
  <si>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</si>
  <si>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</si>
  <si>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</si>
  <si>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</si>
  <si>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</si>
  <si>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</si>
  <si>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</si>
  <si>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</si>
  <si>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</si>
  <si>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</si>
  <si>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</si>
  <si>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</si>
  <si>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</si>
  <si>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</si>
  <si>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</si>
  <si>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</si>
  <si>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</si>
  <si>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</si>
  <si>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</si>
  <si>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</si>
  <si>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</si>
  <si>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</si>
  <si>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</si>
  <si>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</si>
  <si>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</si>
  <si>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</si>
  <si>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</si>
  <si>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</si>
  <si>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</si>
  <si>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</si>
  <si>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</si>
  <si>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</si>
  <si>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</si>
  <si>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</si>
  <si>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</si>
  <si>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</si>
  <si>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</si>
  <si>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</si>
  <si>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</si>
  <si>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</si>
  <si>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</si>
  <si>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</si>
  <si>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</si>
  <si>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</si>
  <si>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</si>
  <si>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</si>
  <si>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</si>
  <si>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</si>
  <si>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</si>
  <si>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</si>
  <si>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</si>
  <si>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</si>
  <si>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</si>
  <si>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</si>
  <si>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</si>
  <si>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</si>
  <si>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</si>
  <si>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</si>
  <si>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</si>
  <si>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</si>
  <si>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</si>
  <si>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</si>
  <si>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</si>
  <si>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</si>
  <si>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</si>
  <si>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</si>
  <si>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</si>
  <si>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</si>
  <si>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</si>
  <si>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</si>
  <si>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</si>
  <si>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</si>
  <si>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</si>
  <si>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</si>
  <si>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</si>
  <si>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</si>
  <si>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</si>
  <si>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</si>
  <si>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</si>
  <si>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</si>
  <si>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</si>
  <si>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</si>
  <si>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</si>
  <si>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</si>
  <si>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</si>
  <si>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</si>
  <si>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</si>
  <si>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</si>
  <si>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</si>
  <si>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</si>
  <si>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</si>
  <si>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</si>
  <si>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</si>
  <si>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</si>
  <si>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</si>
  <si>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</si>
  <si>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</si>
  <si>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</si>
  <si>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</si>
  <si>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</si>
  <si>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</si>
  <si>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</si>
  <si>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</si>
  <si>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</si>
  <si>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</si>
  <si>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</si>
  <si>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</si>
  <si>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</si>
  <si>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</si>
  <si>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</si>
  <si>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</si>
  <si>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</si>
  <si>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</si>
  <si>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</si>
  <si>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</si>
  <si>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</si>
  <si>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</si>
  <si>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</si>
  <si>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</si>
  <si>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</si>
  <si>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</si>
  <si>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</si>
  <si>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</si>
  <si>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</si>
  <si>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</si>
  <si>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</si>
  <si>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</si>
  <si>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</si>
  <si>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</si>
  <si>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</si>
  <si>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</si>
  <si>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</si>
  <si>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</si>
  <si>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</si>
  <si>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</si>
  <si>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</si>
  <si>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</si>
  <si>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</si>
  <si>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</si>
  <si>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</si>
  <si>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</si>
  <si>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</si>
  <si>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</si>
  <si>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</si>
  <si>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</si>
  <si>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</si>
  <si>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</si>
  <si>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</si>
  <si>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</si>
  <si>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</si>
  <si>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</si>
  <si>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</si>
  <si>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</si>
  <si>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</si>
  <si>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</si>
  <si>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</si>
  <si>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</si>
  <si>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</si>
  <si>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</si>
  <si>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</si>
  <si>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</si>
  <si>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</si>
  <si>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</si>
  <si>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</si>
  <si>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</si>
  <si>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</si>
  <si>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</si>
  <si>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</si>
  <si>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</si>
  <si>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</si>
  <si>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</si>
  <si>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</si>
  <si>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</si>
  <si>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</si>
  <si>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</si>
  <si>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</si>
  <si>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</si>
  <si>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</si>
  <si>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</si>
  <si>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</si>
  <si>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</si>
  <si>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</si>
  <si>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</si>
  <si>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</si>
  <si>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</si>
  <si>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</si>
  <si>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</si>
  <si>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</si>
  <si>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</si>
  <si>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</si>
  <si>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</si>
  <si>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</si>
  <si>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</si>
  <si>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</si>
  <si>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</si>
  <si>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</si>
  <si>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</si>
  <si>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</si>
  <si>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</si>
  <si>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</si>
  <si>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</si>
  <si>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</si>
  <si>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</si>
  <si>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</si>
  <si>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</si>
  <si>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</si>
  <si>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</si>
  <si>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</si>
  <si>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</si>
  <si>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</si>
  <si>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</si>
  <si>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</si>
  <si>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</si>
  <si>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</si>
  <si>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</si>
  <si>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</si>
  <si>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</si>
  <si>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</si>
  <si>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</si>
  <si>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</si>
  <si>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</si>
  <si>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</si>
  <si>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</si>
  <si>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</si>
  <si>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</si>
  <si>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</si>
  <si>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</si>
  <si>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</si>
  <si>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</si>
  <si>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</si>
  <si>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</si>
  <si>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</si>
  <si>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</si>
  <si>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</si>
  <si>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</si>
  <si>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</si>
  <si>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</si>
  <si>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</si>
  <si>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</si>
  <si>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</si>
  <si>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</si>
  <si>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</si>
  <si>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</si>
  <si>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</si>
  <si>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</si>
  <si>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</si>
  <si>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</si>
  <si>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</si>
  <si>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</si>
  <si>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</si>
  <si>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</si>
  <si>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</si>
  <si>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</si>
  <si>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</si>
  <si>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</si>
  <si>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</si>
  <si>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</si>
  <si>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</si>
  <si>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</si>
  <si>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</si>
  <si>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</si>
  <si>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</si>
  <si>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</si>
  <si>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</si>
  <si>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</si>
  <si>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</si>
  <si>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</si>
  <si>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</si>
  <si>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</si>
  <si>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</si>
  <si>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</si>
  <si>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</si>
  <si>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</si>
  <si>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</si>
  <si>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</si>
  <si>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</si>
  <si>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</si>
  <si>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</si>
  <si>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</si>
  <si>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</si>
  <si>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</si>
  <si>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</si>
  <si>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</si>
  <si>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</si>
  <si>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</si>
  <si>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</si>
  <si>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</si>
  <si>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</si>
  <si>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</si>
  <si>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</si>
  <si>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</si>
  <si>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</si>
  <si>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</si>
  <si>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</si>
  <si>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</si>
  <si>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</si>
  <si>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</si>
  <si>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</si>
  <si>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</si>
  <si>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</si>
  <si>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</si>
  <si>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</si>
  <si>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</si>
  <si>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</si>
  <si>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</si>
  <si>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</si>
  <si>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</si>
  <si>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</si>
  <si>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</si>
  <si>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</si>
  <si>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</si>
  <si>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</si>
  <si>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</si>
  <si>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</si>
  <si>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</si>
  <si>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</si>
  <si>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</si>
  <si>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</si>
  <si>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</si>
  <si>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</si>
  <si>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</si>
  <si>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</si>
  <si>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</si>
  <si>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</si>
  <si>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</si>
  <si>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</si>
  <si>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</si>
  <si>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</si>
  <si>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</si>
  <si>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</si>
  <si>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</si>
  <si>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</si>
  <si>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</si>
  <si>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</si>
  <si>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</si>
  <si>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</si>
  <si>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</si>
  <si>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</si>
  <si>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</si>
  <si>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</si>
  <si>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</si>
  <si>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</si>
  <si>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</si>
  <si>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</si>
  <si>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</si>
  <si>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</si>
  <si>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</si>
  <si>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</si>
  <si>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</si>
  <si>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</si>
  <si>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</si>
  <si>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</si>
  <si>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</si>
  <si>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</si>
  <si>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</si>
  <si>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</si>
  <si>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</si>
  <si>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</si>
  <si>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</si>
  <si>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</si>
  <si>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</si>
  <si>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</si>
  <si>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</si>
  <si>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</si>
  <si>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</si>
  <si>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</si>
  <si>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</si>
  <si>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</si>
  <si>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</si>
  <si>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</si>
  <si>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</si>
  <si>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</si>
  <si>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</si>
  <si>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</si>
  <si>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</si>
  <si>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</si>
  <si>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</si>
  <si>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</si>
  <si>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</si>
  <si>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</si>
  <si>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</si>
  <si>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</si>
  <si>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</si>
  <si>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</si>
  <si>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</si>
  <si>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</si>
  <si>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</si>
  <si>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</si>
  <si>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</si>
  <si>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</si>
  <si>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</si>
  <si>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</si>
  <si>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</si>
  <si>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</si>
  <si>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</si>
  <si>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</si>
  <si>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</si>
  <si>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</si>
  <si>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</si>
  <si>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</si>
  <si>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</si>
  <si>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</si>
  <si>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</si>
  <si>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</si>
  <si>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</si>
  <si>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</si>
  <si>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</si>
  <si>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</si>
  <si>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</si>
  <si>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</si>
  <si>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</si>
  <si>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</si>
  <si>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</si>
  <si>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</si>
  <si>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</si>
  <si>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</si>
  <si>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</si>
  <si>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</si>
  <si>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</si>
  <si>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</si>
  <si>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</si>
  <si>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</si>
  <si>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</si>
  <si>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</si>
  <si>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</si>
  <si>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</si>
  <si>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</si>
  <si>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</si>
  <si>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</si>
  <si>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</si>
  <si>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</si>
  <si>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</si>
  <si>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</si>
  <si>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</si>
  <si>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</si>
  <si>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</si>
  <si>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</si>
  <si>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</si>
  <si>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</si>
  <si>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</si>
  <si>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</si>
  <si>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</si>
  <si>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</si>
  <si>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</si>
  <si>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</si>
  <si>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</si>
  <si>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</si>
  <si>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</si>
  <si>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</si>
  <si>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</si>
  <si>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</si>
  <si>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</si>
  <si>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</si>
  <si>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</si>
  <si>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</si>
  <si>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</si>
  <si>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</si>
  <si>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</si>
  <si>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</si>
  <si>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</si>
  <si>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</si>
  <si>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</si>
  <si>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</si>
  <si>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</si>
  <si>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</si>
  <si>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</si>
  <si>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</si>
  <si>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</si>
  <si>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</si>
  <si>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</si>
  <si>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</si>
  <si>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</si>
  <si>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</si>
  <si>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</si>
  <si>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</si>
  <si>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</si>
  <si>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</si>
  <si>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</si>
  <si>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</si>
  <si>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</si>
  <si>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</si>
  <si>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</si>
  <si>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</si>
  <si>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</si>
  <si>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</si>
  <si>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</si>
  <si>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</si>
  <si>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</si>
  <si>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</si>
  <si>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</si>
  <si>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</si>
  <si>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</si>
  <si>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</si>
  <si>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</si>
  <si>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</si>
  <si>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</si>
  <si>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</si>
  <si>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</si>
  <si>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</si>
  <si>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</si>
  <si>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</si>
  <si>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</si>
  <si>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</si>
  <si>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</si>
  <si>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</si>
  <si>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</si>
  <si>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</si>
  <si>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</si>
  <si>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</si>
  <si>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</si>
  <si>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</si>
  <si>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</si>
  <si>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</si>
  <si>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</si>
  <si>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</si>
  <si>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</si>
  <si>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</si>
  <si>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</si>
  <si>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</si>
  <si>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</si>
  <si>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</si>
  <si>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</si>
  <si>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</si>
  <si>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</si>
  <si>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</si>
  <si>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</si>
  <si>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</si>
  <si>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</si>
  <si>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</si>
  <si>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</si>
  <si>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</si>
  <si>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</si>
  <si>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</si>
  <si>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</si>
  <si>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</si>
  <si>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</si>
  <si>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</si>
  <si>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</si>
  <si>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</si>
  <si>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</si>
  <si>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</si>
  <si>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</si>
  <si>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</si>
  <si>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</si>
  <si>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</si>
  <si>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</si>
  <si>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</si>
  <si>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</si>
  <si>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</si>
  <si>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</si>
  <si>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</si>
  <si>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</si>
  <si>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</si>
  <si>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</si>
  <si>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</si>
  <si>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</si>
  <si>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</si>
  <si>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</si>
  <si>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</si>
  <si>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</si>
  <si>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</si>
  <si>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</si>
  <si>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</si>
  <si>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</si>
  <si>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</si>
  <si>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</si>
  <si>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</si>
  <si>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</si>
  <si>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</si>
  <si>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</si>
  <si>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</si>
  <si>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</si>
  <si>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</si>
  <si>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</si>
  <si>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</si>
  <si>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</si>
  <si>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</si>
  <si>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</si>
  <si>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</si>
  <si>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</si>
  <si>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</si>
  <si>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</si>
  <si>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</si>
  <si>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</si>
  <si>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</si>
  <si>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</si>
  <si>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</si>
  <si>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</si>
  <si>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</si>
  <si>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</si>
  <si>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</si>
  <si>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</si>
  <si>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</si>
  <si>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</si>
  <si>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</si>
  <si>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</si>
  <si>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</si>
  <si>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</si>
  <si>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</si>
  <si>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</si>
  <si>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</si>
  <si>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</si>
  <si>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</si>
  <si>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</si>
  <si>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</si>
  <si>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</si>
  <si>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</si>
  <si>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</si>
  <si>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</si>
  <si>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</si>
  <si>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</si>
  <si>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</si>
  <si>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</si>
  <si>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</si>
  <si>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</si>
  <si>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</si>
  <si>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</si>
  <si>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</si>
  <si>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</si>
  <si>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</si>
  <si>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</si>
  <si>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</si>
  <si>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</si>
  <si>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</si>
  <si>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</si>
  <si>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</si>
  <si>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</si>
  <si>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</si>
  <si>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</si>
  <si>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</si>
  <si>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</si>
  <si>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</si>
  <si>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</si>
  <si>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</si>
  <si>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</si>
  <si>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</si>
  <si>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</si>
  <si>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</si>
  <si>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</si>
  <si>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</si>
  <si>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</si>
  <si>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</si>
  <si>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</si>
  <si>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</si>
  <si>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</si>
  <si>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</si>
  <si>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</si>
  <si>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</si>
  <si>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</si>
  <si>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</si>
  <si>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</si>
  <si>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</si>
  <si>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</si>
  <si>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</si>
  <si>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</si>
  <si>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</si>
  <si>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</si>
  <si>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</si>
  <si>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</si>
  <si>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</si>
  <si>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</si>
  <si>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</si>
  <si>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</si>
  <si>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</si>
  <si>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</si>
  <si>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</si>
  <si>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</si>
  <si>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</si>
  <si>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</si>
  <si>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</si>
  <si>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</si>
  <si>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</si>
  <si>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</si>
  <si>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</si>
  <si>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</si>
  <si>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</si>
  <si>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</si>
  <si>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</si>
  <si>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</si>
  <si>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</si>
  <si>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</si>
  <si>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</si>
  <si>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</si>
  <si>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</si>
  <si>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</si>
  <si>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</si>
  <si>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</si>
  <si>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</si>
  <si>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</si>
  <si>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</si>
  <si>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</si>
  <si>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</si>
  <si>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</si>
  <si>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</si>
  <si>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</si>
  <si>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</si>
  <si>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</si>
  <si>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</si>
  <si>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</si>
  <si>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</si>
  <si>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</si>
  <si>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</si>
  <si>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</si>
  <si>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</si>
  <si>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</si>
  <si>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</si>
  <si>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</si>
  <si>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</si>
  <si>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</si>
  <si>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</si>
  <si>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</si>
  <si>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</si>
  <si>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</si>
  <si>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</si>
  <si>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</si>
  <si>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</si>
  <si>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</si>
  <si>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</si>
  <si>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</si>
  <si>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</si>
  <si>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</si>
  <si>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</si>
  <si>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</si>
  <si>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</si>
  <si>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</si>
  <si>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</si>
  <si>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</si>
  <si>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</si>
  <si>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</si>
  <si>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</si>
  <si>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</si>
  <si>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</si>
  <si>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</si>
  <si>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</si>
  <si>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</si>
  <si>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</si>
  <si>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</si>
  <si>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</si>
  <si>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</si>
  <si>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</si>
  <si>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</si>
  <si>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</si>
  <si>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</si>
  <si>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</si>
  <si>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</si>
  <si>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</si>
  <si>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</si>
  <si>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</si>
  <si>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</si>
  <si>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</si>
  <si>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</si>
  <si>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</si>
  <si>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</si>
  <si>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</si>
  <si>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</si>
  <si>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</si>
  <si>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</si>
  <si>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</si>
  <si>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</si>
  <si>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</si>
  <si>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</si>
  <si>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</si>
  <si>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</si>
  <si>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</si>
  <si>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</si>
  <si>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</si>
  <si>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</si>
  <si>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</si>
  <si>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</si>
  <si>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</si>
  <si>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</si>
  <si>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</si>
  <si>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</si>
  <si>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</si>
  <si>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</si>
  <si>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</si>
  <si>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</si>
  <si>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</si>
  <si>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</si>
  <si>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</si>
  <si>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</si>
  <si>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</si>
  <si>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</si>
  <si>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</si>
  <si>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</si>
  <si>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</si>
  <si>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</si>
  <si>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</si>
  <si>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</si>
  <si>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</si>
  <si>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</si>
  <si>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</si>
  <si>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</si>
  <si>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</si>
  <si>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</si>
  <si>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</si>
  <si>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</si>
  <si>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</si>
  <si>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</si>
  <si>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</si>
  <si>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</si>
  <si>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</si>
  <si>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</si>
  <si>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</si>
  <si>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</si>
  <si>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</si>
  <si>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</si>
  <si>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</si>
  <si>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</si>
  <si>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</si>
  <si>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</si>
  <si>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</si>
  <si>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</si>
  <si>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</si>
  <si>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</si>
  <si>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</si>
  <si>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</si>
  <si>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</si>
  <si>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</si>
  <si>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</si>
  <si>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</si>
  <si>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</si>
  <si>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</si>
  <si>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</si>
  <si>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</si>
  <si>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</si>
  <si>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</si>
  <si>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</si>
  <si>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</si>
  <si>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</si>
  <si>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</si>
  <si>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</si>
  <si>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</si>
  <si>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</si>
  <si>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</si>
  <si>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</si>
  <si>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</si>
  <si>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</si>
  <si>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</si>
  <si>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</si>
  <si>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</si>
  <si>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</si>
  <si>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</si>
  <si>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</si>
  <si>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</si>
  <si>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</si>
  <si>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</si>
  <si>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</si>
  <si>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</si>
  <si>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</si>
  <si>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</si>
  <si>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</si>
  <si>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</si>
  <si>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</si>
  <si>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</si>
  <si>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</si>
  <si>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</si>
  <si>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</si>
  <si>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</si>
  <si>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</si>
  <si>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</si>
  <si>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</si>
  <si>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</si>
  <si>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</si>
  <si>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</si>
  <si>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</si>
  <si>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</si>
  <si>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</si>
  <si>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</si>
  <si>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</si>
  <si>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</si>
  <si>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</si>
  <si>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</si>
  <si>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</si>
  <si>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</si>
  <si>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</si>
  <si>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</si>
  <si>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</si>
  <si>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</si>
  <si>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</si>
  <si>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</si>
  <si>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</si>
  <si>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</si>
  <si>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</si>
  <si>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</si>
  <si>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</si>
  <si>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</si>
  <si>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</si>
  <si>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</si>
  <si>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</si>
  <si>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</si>
  <si>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</si>
  <si>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</si>
  <si>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</si>
  <si>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</si>
  <si>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</si>
  <si>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</si>
  <si>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</si>
  <si>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</si>
  <si>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</si>
  <si>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</si>
  <si>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</si>
  <si>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</si>
  <si>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</si>
  <si>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</si>
  <si>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</si>
  <si>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</si>
  <si>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</si>
  <si>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</si>
  <si>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</si>
  <si>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</si>
  <si>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</si>
  <si>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</si>
  <si>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</si>
  <si>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</si>
  <si>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</si>
  <si>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</si>
  <si>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</si>
  <si>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</si>
  <si>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</si>
  <si>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</si>
  <si>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</si>
  <si>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</si>
  <si>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</si>
  <si>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</si>
  <si>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</si>
  <si>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</si>
  <si>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</si>
  <si>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</si>
  <si>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</si>
  <si>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</si>
  <si>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</si>
  <si>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</si>
  <si>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</si>
  <si>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</si>
  <si>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</si>
  <si>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</si>
  <si>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</si>
  <si>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</si>
  <si>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</si>
  <si>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</si>
  <si>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</si>
  <si>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</si>
  <si>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</si>
  <si>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</si>
  <si>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</si>
  <si>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</si>
  <si>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</si>
  <si>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</si>
  <si>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</si>
  <si>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</si>
  <si>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</si>
  <si>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</si>
  <si>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</si>
  <si>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</si>
  <si>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</si>
  <si>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</si>
  <si>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</si>
  <si>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</si>
  <si>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</si>
  <si>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</si>
  <si>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</si>
  <si>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</si>
  <si>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</si>
  <si>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</si>
  <si>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</si>
  <si>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</si>
  <si>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</si>
  <si>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</si>
  <si>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</si>
  <si>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</si>
  <si>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</si>
  <si>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</si>
  <si>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</si>
  <si>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</si>
  <si>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</si>
  <si>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</si>
  <si>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</si>
  <si>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</si>
  <si>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</si>
  <si>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</si>
  <si>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</si>
  <si>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</si>
  <si>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</si>
  <si>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</si>
  <si>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</si>
  <si>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</si>
  <si>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</si>
  <si>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</si>
  <si>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</si>
  <si>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</si>
  <si>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</si>
  <si>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</si>
  <si>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</si>
  <si>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</si>
  <si>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</si>
  <si>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</si>
  <si>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</si>
  <si>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</si>
  <si>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</si>
  <si>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</si>
  <si>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</si>
  <si>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</si>
  <si>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</si>
  <si>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</si>
  <si>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</si>
  <si>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</si>
  <si>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</si>
  <si>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</si>
  <si>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</si>
  <si>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</si>
  <si>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</si>
  <si>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</si>
  <si>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</si>
  <si>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</si>
  <si>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</si>
  <si>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</si>
  <si>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</si>
  <si>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</si>
  <si>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</si>
  <si>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</si>
  <si>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</si>
  <si>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</si>
  <si>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</si>
  <si>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</si>
  <si>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</si>
  <si>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</si>
  <si>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</si>
  <si>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</si>
  <si>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</si>
  <si>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</si>
  <si>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</si>
  <si>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</si>
  <si>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</si>
  <si>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</si>
  <si>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</si>
  <si>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</si>
  <si>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</si>
  <si>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</si>
  <si>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</si>
  <si>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</si>
  <si>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</si>
  <si>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</si>
  <si>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</si>
  <si>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</si>
  <si>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</si>
  <si>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</si>
  <si>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</si>
  <si>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</si>
  <si>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</si>
  <si>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</si>
  <si>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</si>
  <si>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</si>
  <si>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</si>
  <si>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</si>
  <si>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</si>
  <si>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</si>
  <si>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</si>
  <si>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</si>
  <si>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</si>
  <si>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</si>
  <si>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</si>
  <si>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</si>
  <si>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</si>
  <si>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</si>
  <si>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</si>
  <si>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</si>
  <si>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</si>
  <si>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</si>
  <si>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</si>
  <si>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</si>
  <si>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</si>
  <si>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</si>
  <si>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</si>
  <si>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</si>
  <si>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</si>
  <si>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</si>
  <si>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</si>
  <si>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</si>
  <si>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</si>
  <si>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</si>
  <si>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</si>
  <si>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</si>
  <si>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</si>
  <si>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</si>
  <si>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</si>
  <si>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</si>
  <si>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</si>
  <si>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</si>
  <si>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</si>
  <si>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</si>
  <si>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</si>
  <si>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</si>
  <si>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</si>
  <si>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</si>
  <si>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</si>
  <si>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</si>
  <si>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</si>
  <si>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</si>
  <si>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</si>
  <si>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</si>
  <si>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</si>
  <si>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</si>
  <si>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</si>
  <si>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</si>
  <si>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</si>
  <si>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</si>
  <si>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</si>
  <si>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</si>
  <si>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</si>
  <si>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</si>
  <si>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</si>
  <si>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</si>
  <si>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</si>
  <si>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</si>
  <si>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</si>
  <si>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</si>
  <si>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</si>
  <si>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</si>
  <si>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</si>
  <si>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</si>
  <si>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</si>
  <si>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</si>
  <si>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</si>
  <si>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</si>
  <si>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</si>
  <si>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</si>
  <si>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</si>
  <si>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</si>
  <si>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</si>
  <si>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</si>
  <si>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</si>
  <si>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</si>
  <si>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</si>
  <si>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</si>
  <si>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</si>
  <si>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</si>
  <si>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</si>
  <si>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</si>
  <si>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</si>
  <si>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</si>
  <si>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</si>
  <si>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</si>
  <si>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</si>
  <si>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</si>
  <si>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</si>
  <si>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</si>
  <si>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</si>
  <si>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</si>
  <si>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</si>
  <si>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</si>
  <si>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</si>
  <si>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</si>
  <si>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</si>
  <si>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</si>
  <si>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</si>
  <si>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</si>
  <si>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</si>
  <si>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</si>
  <si>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</si>
  <si>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</si>
  <si>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</si>
  <si>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</si>
  <si>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</si>
  <si>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</si>
  <si>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</si>
  <si>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</si>
  <si>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</si>
  <si>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</si>
  <si>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</si>
  <si>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</si>
  <si>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</si>
  <si>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</si>
  <si>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</si>
  <si>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</si>
  <si>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</si>
  <si>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</si>
  <si>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</si>
  <si>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</si>
  <si>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</si>
  <si>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</si>
  <si>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</si>
  <si>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</si>
  <si>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</si>
  <si>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</si>
  <si>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</si>
  <si>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</si>
  <si>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</si>
  <si>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</si>
  <si>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</si>
  <si>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</si>
  <si>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</si>
  <si>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</si>
  <si>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</si>
  <si>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</si>
  <si>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</si>
  <si>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</si>
  <si>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</si>
  <si>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</si>
  <si>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</si>
  <si>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</si>
  <si>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</si>
  <si>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</si>
  <si>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</si>
  <si>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</si>
  <si>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</si>
  <si>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</si>
  <si>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</si>
  <si>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</si>
  <si>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</si>
  <si>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</si>
  <si>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</si>
  <si>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</si>
  <si>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</si>
  <si>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</si>
  <si>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</si>
  <si>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</si>
  <si>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</si>
  <si>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</si>
  <si>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</si>
  <si>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</si>
  <si>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</si>
  <si>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</si>
  <si>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</si>
  <si>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</si>
  <si>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</si>
  <si>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</si>
  <si>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</si>
  <si>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</si>
  <si>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</si>
  <si>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</si>
  <si>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</si>
  <si>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</si>
  <si>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</si>
  <si>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</si>
  <si>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</si>
  <si>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</si>
  <si>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</si>
  <si>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</si>
  <si>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</si>
  <si>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</si>
  <si>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</si>
  <si>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</si>
  <si>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</si>
  <si>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</si>
  <si>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</si>
  <si>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</si>
  <si>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</si>
  <si>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</si>
  <si>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</si>
  <si>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</si>
  <si>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</si>
  <si>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</si>
  <si>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</si>
  <si>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</si>
  <si>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</si>
  <si>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</si>
  <si>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</si>
  <si>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</si>
  <si>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</si>
  <si>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</si>
  <si>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</si>
  <si>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</si>
  <si>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</si>
  <si>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</si>
  <si>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</si>
  <si>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</si>
  <si>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</si>
  <si>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</si>
  <si>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</si>
  <si>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</si>
  <si>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</si>
  <si>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</si>
  <si>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</si>
  <si>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</si>
  <si>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</si>
  <si>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</si>
  <si>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</si>
  <si>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</si>
  <si>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</si>
  <si>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</si>
  <si>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</si>
  <si>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</si>
  <si>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</si>
  <si>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</si>
  <si>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</si>
  <si>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</si>
  <si>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</si>
  <si>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</si>
  <si>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</si>
  <si>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</si>
  <si>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</si>
  <si>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</si>
  <si>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</si>
  <si>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</si>
  <si>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</si>
  <si>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</si>
  <si>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</si>
  <si>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</si>
  <si>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</si>
  <si>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</si>
  <si>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</si>
  <si>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</si>
  <si>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</si>
  <si>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</si>
  <si>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</si>
  <si>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</si>
  <si>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</si>
  <si>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</si>
  <si>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</si>
  <si>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</si>
  <si>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</si>
  <si>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</si>
  <si>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</si>
  <si>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</si>
  <si>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</si>
  <si>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</si>
  <si>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</si>
  <si>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</si>
  <si>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</si>
  <si>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</si>
  <si>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</si>
  <si>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</si>
  <si>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</si>
  <si>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</si>
  <si>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</si>
  <si>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</si>
  <si>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</si>
  <si>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</si>
  <si>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</si>
  <si>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</si>
  <si>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</si>
  <si>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</si>
  <si>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</si>
  <si>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</si>
  <si>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</si>
  <si>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</si>
  <si>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</si>
  <si>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</si>
  <si>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</si>
  <si>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</si>
  <si>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</si>
  <si>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</si>
  <si>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</si>
  <si>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</si>
  <si>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</si>
  <si>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</si>
  <si>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</si>
  <si>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</si>
  <si>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</si>
  <si>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</si>
  <si>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</si>
  <si>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</si>
  <si>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</si>
  <si>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</si>
  <si>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</si>
  <si>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</si>
  <si>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</si>
  <si>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</si>
  <si>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</si>
  <si>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</si>
  <si>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</si>
  <si>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</si>
  <si>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</si>
  <si>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</si>
  <si>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</si>
  <si>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</si>
  <si>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</si>
  <si>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</si>
  <si>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</si>
  <si>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</si>
  <si>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</si>
  <si>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</si>
  <si>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</si>
  <si>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</si>
  <si>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</si>
  <si>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</si>
  <si>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</si>
  <si>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</si>
  <si>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</si>
  <si>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</si>
  <si>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</si>
  <si>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</si>
  <si>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</si>
  <si>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</si>
  <si>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</si>
  <si>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</si>
  <si>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</si>
  <si>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</si>
  <si>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</si>
  <si>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</si>
  <si>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</si>
  <si>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</si>
  <si>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</si>
  <si>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</si>
  <si>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</si>
  <si>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</si>
  <si>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</si>
  <si>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</si>
  <si>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</si>
  <si>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</si>
  <si>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</si>
  <si>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</si>
  <si>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</si>
  <si>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</si>
  <si>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</si>
  <si>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</si>
  <si>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</si>
  <si>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</si>
  <si>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</si>
  <si>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</si>
  <si>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</si>
  <si>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</si>
  <si>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</si>
  <si>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</si>
  <si>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</si>
  <si>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</si>
  <si>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</si>
  <si>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</si>
  <si>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</si>
  <si>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</si>
  <si>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</si>
  <si>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</si>
  <si>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</si>
  <si>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</si>
  <si>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</si>
  <si>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</si>
  <si>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</si>
  <si>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</si>
  <si>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</si>
  <si>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</si>
  <si>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</si>
  <si>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</si>
  <si>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</si>
  <si>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</si>
  <si>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</si>
  <si>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</si>
  <si>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</si>
  <si>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</si>
  <si>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</si>
  <si>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</si>
  <si>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</si>
  <si>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</si>
  <si>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</si>
  <si>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</si>
  <si>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</si>
  <si>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</si>
  <si>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</si>
  <si>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</si>
  <si>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</si>
  <si>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</si>
  <si>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</si>
  <si>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</si>
  <si>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</si>
  <si>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</si>
  <si>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</si>
  <si>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</si>
  <si>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</si>
  <si>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</si>
  <si>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</si>
  <si>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</si>
  <si>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</si>
  <si>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</si>
  <si>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</si>
  <si>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</si>
  <si>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</si>
  <si>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</si>
  <si>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</si>
  <si>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</si>
  <si>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</si>
  <si>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</si>
  <si>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</si>
  <si>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</si>
  <si>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</si>
  <si>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</si>
  <si>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</si>
  <si>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</si>
  <si>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</si>
  <si>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</si>
  <si>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</si>
  <si>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</si>
  <si>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</si>
  <si>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</si>
  <si>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</si>
  <si>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</si>
  <si>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</si>
  <si>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</si>
  <si>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</si>
  <si>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</si>
  <si>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</si>
  <si>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</si>
  <si>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</si>
  <si>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</si>
  <si>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</si>
  <si>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</si>
  <si>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</si>
  <si>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</si>
  <si>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</si>
  <si>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</si>
  <si>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</si>
  <si>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</si>
  <si>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</si>
  <si>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</si>
  <si>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</si>
  <si>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</si>
  <si>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</si>
  <si>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</si>
  <si>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</si>
  <si>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</si>
  <si>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</si>
  <si>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</si>
  <si>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</si>
  <si>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</si>
  <si>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</si>
  <si>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</si>
  <si>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</si>
  <si>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</si>
  <si>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</si>
  <si>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</si>
  <si>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</si>
  <si>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</si>
  <si>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</si>
  <si>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</si>
  <si>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</si>
  <si>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</si>
  <si>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</si>
  <si>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</si>
  <si>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</si>
  <si>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</si>
  <si>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</si>
  <si>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</si>
  <si>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</si>
  <si>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</si>
  <si>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</si>
  <si>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</si>
  <si>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</si>
  <si>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</si>
  <si>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</si>
  <si>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</si>
  <si>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</si>
  <si>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</si>
  <si>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</si>
  <si>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</si>
  <si>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</si>
  <si>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</si>
  <si>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</si>
  <si>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</si>
  <si>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</si>
  <si>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</si>
  <si>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</si>
  <si>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</si>
  <si>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</si>
  <si>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</si>
  <si>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</si>
  <si>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</si>
  <si>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</si>
  <si>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</si>
  <si>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</si>
  <si>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</si>
  <si>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</si>
  <si>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</si>
  <si>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</si>
  <si>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</si>
  <si>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</si>
  <si>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</si>
  <si>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</si>
  <si>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</si>
  <si>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</si>
  <si>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</si>
  <si>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</si>
  <si>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</si>
  <si>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</si>
  <si>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</si>
  <si>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</si>
  <si>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</si>
  <si>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</si>
  <si>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</si>
  <si>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</si>
  <si>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</si>
  <si>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</si>
  <si>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</si>
  <si>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</si>
  <si>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</si>
  <si>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</si>
  <si>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</si>
  <si>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</si>
  <si>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</si>
  <si>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</si>
  <si>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</si>
  <si>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</si>
  <si>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</si>
  <si>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</si>
  <si>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</si>
  <si>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</si>
  <si>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</si>
  <si>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</si>
  <si>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</si>
  <si>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</si>
  <si>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</si>
  <si>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</si>
  <si>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</si>
  <si>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</si>
  <si>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</si>
  <si>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</si>
  <si>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</si>
  <si>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</si>
  <si>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</si>
  <si>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</si>
  <si>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</si>
  <si>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</si>
  <si>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</si>
  <si>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</si>
  <si>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</si>
  <si>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</si>
  <si>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</si>
  <si>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</si>
  <si>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</si>
  <si>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</si>
  <si>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</si>
  <si>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</si>
  <si>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</si>
  <si>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</si>
  <si>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</si>
  <si>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</si>
  <si>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</si>
  <si>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</si>
  <si>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</si>
  <si>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</si>
  <si>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</si>
  <si>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</si>
  <si>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</si>
  <si>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</si>
  <si>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</si>
  <si>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</si>
  <si>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</si>
  <si>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</si>
  <si>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</si>
  <si>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</si>
  <si>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</si>
  <si>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</si>
  <si>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</si>
  <si>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</si>
  <si>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</si>
  <si>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</si>
  <si>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</si>
  <si>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</si>
  <si>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</si>
  <si>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</si>
  <si>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</si>
  <si>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</si>
  <si>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</si>
  <si>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</si>
  <si>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</si>
  <si>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</si>
  <si>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</si>
  <si>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</si>
  <si>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</si>
  <si>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</si>
  <si>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</si>
  <si>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</si>
  <si>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</si>
  <si>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</si>
  <si>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</si>
  <si>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</si>
  <si>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</si>
  <si>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</si>
  <si>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</si>
  <si>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</si>
  <si>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</si>
  <si>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</si>
  <si>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</si>
  <si>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</si>
  <si>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</si>
  <si>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</si>
  <si>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</si>
  <si>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</si>
  <si>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</si>
  <si>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</si>
  <si>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</si>
  <si>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</si>
  <si>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</si>
  <si>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</si>
  <si>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</si>
  <si>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</si>
  <si>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</si>
  <si>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</si>
  <si>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</si>
  <si>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</si>
  <si>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</si>
  <si>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</si>
  <si>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</si>
  <si>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</si>
  <si>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</si>
  <si>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</si>
  <si>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</si>
  <si>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</si>
  <si>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</si>
  <si>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</si>
  <si>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</si>
  <si>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</si>
  <si>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</si>
  <si>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</si>
  <si>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</si>
  <si>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</si>
  <si>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</si>
  <si>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</si>
  <si>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</si>
  <si>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</si>
  <si>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</si>
  <si>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</si>
  <si>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</si>
  <si>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</si>
  <si>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</si>
  <si>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</si>
  <si>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</si>
  <si>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</si>
  <si>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</si>
  <si>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</si>
  <si>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</si>
  <si>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</si>
  <si>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</si>
  <si>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</si>
  <si>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</si>
  <si>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</si>
  <si>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</si>
  <si>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</si>
  <si>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</si>
  <si>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</si>
  <si>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</si>
  <si>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</si>
  <si>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</si>
  <si>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</si>
  <si>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</si>
  <si>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</si>
  <si>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</si>
  <si>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</si>
  <si>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</si>
  <si>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</si>
  <si>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</si>
  <si>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</si>
  <si>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</si>
  <si>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</si>
  <si>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</si>
  <si>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</si>
  <si>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</si>
  <si>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</si>
  <si>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</si>
  <si>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</si>
  <si>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</si>
  <si>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</si>
  <si>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</si>
  <si>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</si>
  <si>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</si>
  <si>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</si>
  <si>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</si>
  <si>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</si>
  <si>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</si>
  <si>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</si>
  <si>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</si>
  <si>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</si>
  <si>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</si>
  <si>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</si>
  <si>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</si>
  <si>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</si>
  <si>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</si>
  <si>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</si>
  <si>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</si>
  <si>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</si>
  <si>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</si>
  <si>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</si>
  <si>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</si>
  <si>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</si>
  <si>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</si>
  <si>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</si>
  <si>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</si>
  <si>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</si>
  <si>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</si>
  <si>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</si>
  <si>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</si>
  <si>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</si>
  <si>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</si>
  <si>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</si>
  <si>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</si>
  <si>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</si>
  <si>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</si>
  <si>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</si>
  <si>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</si>
  <si>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</si>
  <si>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</si>
  <si>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</si>
  <si>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</si>
  <si>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</si>
  <si>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</si>
  <si>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</si>
  <si>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</si>
  <si>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</si>
  <si>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</si>
  <si>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</si>
  <si>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</si>
  <si>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</si>
  <si>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</si>
  <si>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</si>
  <si>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</si>
  <si>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</si>
  <si>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</si>
  <si>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</si>
  <si>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</si>
  <si>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</si>
  <si>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</si>
  <si>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</si>
  <si>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</si>
  <si>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</si>
  <si>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</si>
  <si>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</si>
  <si>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</si>
  <si>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</si>
  <si>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</si>
  <si>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</si>
  <si>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</si>
  <si>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</si>
  <si>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</si>
  <si>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</si>
  <si>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</si>
  <si>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</si>
  <si>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</si>
  <si>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</si>
  <si>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</si>
  <si>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</si>
  <si>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</si>
  <si>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</si>
  <si>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</si>
  <si>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</si>
  <si>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</si>
  <si>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</si>
  <si>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</si>
  <si>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</si>
  <si>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</si>
  <si>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</si>
  <si>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</si>
  <si>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</si>
  <si>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</si>
  <si>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</si>
  <si>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</si>
  <si>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</si>
  <si>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</si>
  <si>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</si>
  <si>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</si>
  <si>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</si>
  <si>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</si>
  <si>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</si>
  <si>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</si>
  <si>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</si>
  <si>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</si>
  <si>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</si>
  <si>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</si>
  <si>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</si>
  <si>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</si>
  <si>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</si>
  <si>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</si>
  <si>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</si>
  <si>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</si>
  <si>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</si>
  <si>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</si>
  <si>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</si>
  <si>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</si>
  <si>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</si>
  <si>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</si>
  <si>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</si>
  <si>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</si>
  <si>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</si>
  <si>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</si>
  <si>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</si>
  <si>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</si>
  <si>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</si>
  <si>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</si>
  <si>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</si>
  <si>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</si>
  <si>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</si>
  <si>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</si>
  <si>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</si>
  <si>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</si>
  <si>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</si>
  <si>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</si>
  <si>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</si>
  <si>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</si>
  <si>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</si>
  <si>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</si>
  <si>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</si>
  <si>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</si>
  <si>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</si>
  <si>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</si>
  <si>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</si>
  <si>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</si>
  <si>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</si>
  <si>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</si>
  <si>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</si>
  <si>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</si>
  <si>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</si>
  <si>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</si>
  <si>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</si>
  <si>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</si>
  <si>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</si>
  <si>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</si>
  <si>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</si>
  <si>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</si>
  <si>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</si>
  <si>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</si>
  <si>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</si>
  <si>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</si>
  <si>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</si>
  <si>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</si>
  <si>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</si>
  <si>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</si>
  <si>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</si>
  <si>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</si>
  <si>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</si>
  <si>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</si>
  <si>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</si>
  <si>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</si>
  <si>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</si>
  <si>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</si>
  <si>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</si>
  <si>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</si>
  <si>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</si>
  <si>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</si>
  <si>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</si>
  <si>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</si>
  <si>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</si>
  <si>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</si>
  <si>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</si>
  <si>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</si>
  <si>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</si>
  <si>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</si>
  <si>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</si>
  <si>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</si>
  <si>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</si>
  <si>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</si>
  <si>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</si>
  <si>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</si>
  <si>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</si>
  <si>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</si>
  <si>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</si>
  <si>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</si>
  <si>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</si>
  <si>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</si>
  <si>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</si>
  <si>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</si>
  <si>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</si>
  <si>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</si>
  <si>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</si>
  <si>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</si>
  <si>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</si>
  <si>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</si>
  <si>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</si>
  <si>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</si>
  <si>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</si>
  <si>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</si>
  <si>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</si>
  <si>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</si>
  <si>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</si>
  <si>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</si>
  <si>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</si>
  <si>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</si>
  <si>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</si>
  <si>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</si>
  <si>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</si>
  <si>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</si>
  <si>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</si>
  <si>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</si>
  <si>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</si>
  <si>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</si>
  <si>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</si>
  <si>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</si>
  <si>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</si>
  <si>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</si>
  <si>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</si>
  <si>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</si>
  <si>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</si>
  <si>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</si>
  <si>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</si>
  <si>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</si>
  <si>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</si>
  <si>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</si>
  <si>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</si>
  <si>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</si>
  <si>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</si>
  <si>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</si>
  <si>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</si>
  <si>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</si>
  <si>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</si>
  <si>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</si>
  <si>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</si>
  <si>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</si>
  <si>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</si>
  <si>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</si>
  <si>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</si>
  <si>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</si>
  <si>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</si>
  <si>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</si>
  <si>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</si>
  <si>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</si>
  <si>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</si>
  <si>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</si>
  <si>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</si>
  <si>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</si>
  <si>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</si>
  <si>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</si>
  <si>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</si>
  <si>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</si>
  <si>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</si>
  <si>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</si>
  <si>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</si>
  <si>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</si>
  <si>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</si>
  <si>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</si>
  <si>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</si>
  <si>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</si>
  <si>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</si>
  <si>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</si>
  <si>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</si>
  <si>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</si>
  <si>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</si>
  <si>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</si>
  <si>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</si>
  <si>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</si>
  <si>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</si>
  <si>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</si>
  <si>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</si>
  <si>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</si>
  <si>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</si>
  <si>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</si>
  <si>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</si>
  <si>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</si>
  <si>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</si>
  <si>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</si>
  <si>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</si>
  <si>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</si>
  <si>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</si>
  <si>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</si>
  <si>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</si>
  <si>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</si>
  <si>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</si>
  <si>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</si>
  <si>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</si>
  <si>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</si>
  <si>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</si>
  <si>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</si>
  <si>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</si>
  <si>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</si>
  <si>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</si>
  <si>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</si>
  <si>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</si>
  <si>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</si>
  <si>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</si>
  <si>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</si>
  <si>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</si>
  <si>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</si>
  <si>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</si>
  <si>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</si>
  <si>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</si>
  <si>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</si>
  <si>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</si>
  <si>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</si>
  <si>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</si>
  <si>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</si>
  <si>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</si>
  <si>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</si>
  <si>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</si>
  <si>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</si>
  <si>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</si>
  <si>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</si>
  <si>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</si>
  <si>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</si>
  <si>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</si>
  <si>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</si>
  <si>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</si>
  <si>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</si>
  <si>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</si>
  <si>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</si>
  <si>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</si>
  <si>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</si>
  <si>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</si>
  <si>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</si>
  <si>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</si>
  <si>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</si>
  <si>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</si>
  <si>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</si>
  <si>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</si>
  <si>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</si>
  <si>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</si>
  <si>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</si>
  <si>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</si>
  <si>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</si>
  <si>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</si>
  <si>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</si>
  <si>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</si>
  <si>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</si>
  <si>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</si>
  <si>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</si>
  <si>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</si>
  <si>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</si>
  <si>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</si>
  <si>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</si>
  <si>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</si>
  <si>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</si>
  <si>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</si>
  <si>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</si>
  <si>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</si>
  <si>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</si>
  <si>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</si>
  <si>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</si>
  <si>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</si>
  <si>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</si>
  <si>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</si>
  <si>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</si>
  <si>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</si>
  <si>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</si>
  <si>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</si>
  <si>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</si>
  <si>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</si>
  <si>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</si>
  <si>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</si>
  <si>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</si>
  <si>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</si>
  <si>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</si>
  <si>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</si>
  <si>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</si>
  <si>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</si>
  <si>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</si>
  <si>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</si>
  <si>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</si>
  <si>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</si>
  <si>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</si>
  <si>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</si>
  <si>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</si>
  <si>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</si>
  <si>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</si>
  <si>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</si>
  <si>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</si>
  <si>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</si>
  <si>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</si>
  <si>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</si>
  <si>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</si>
  <si>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</si>
  <si>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</si>
  <si>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</si>
  <si>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</si>
  <si>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</si>
  <si>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</si>
  <si>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</si>
  <si>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</si>
  <si>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</si>
  <si>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</si>
  <si>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</si>
  <si>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</si>
  <si>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</si>
  <si>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</si>
  <si>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</si>
  <si>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</si>
  <si>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</si>
  <si>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</si>
  <si>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</si>
  <si>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</si>
  <si>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</si>
  <si>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</si>
  <si>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</si>
  <si>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</si>
  <si>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</si>
  <si>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</si>
  <si>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</si>
  <si>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</si>
  <si>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</si>
  <si>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</si>
  <si>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</si>
  <si>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</si>
  <si>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</si>
  <si>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</si>
  <si>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</si>
  <si>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</si>
  <si>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</si>
  <si>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</si>
  <si>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</si>
  <si>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</si>
  <si>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</si>
  <si>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</si>
  <si>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</si>
  <si>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</si>
  <si>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</si>
  <si>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</si>
  <si>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</si>
  <si>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</si>
  <si>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</si>
  <si>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</si>
  <si>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</si>
  <si>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</si>
  <si>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</si>
  <si>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</si>
  <si>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</si>
  <si>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</si>
  <si>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</si>
  <si>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</si>
  <si>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</si>
  <si>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</si>
  <si>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</si>
  <si>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</si>
  <si>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</si>
  <si>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</si>
  <si>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</si>
  <si>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</si>
  <si>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</si>
  <si>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</si>
  <si>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</si>
  <si>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</si>
  <si>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</si>
  <si>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</si>
  <si>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</si>
  <si>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</si>
  <si>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</si>
  <si>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</si>
  <si>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</si>
  <si>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</si>
  <si>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</si>
  <si>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</si>
  <si>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</si>
  <si>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</si>
  <si>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</si>
  <si>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</si>
  <si>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</si>
  <si>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</si>
  <si>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</si>
  <si>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</si>
  <si>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</si>
  <si>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</si>
  <si>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</si>
  <si>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</si>
  <si>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</si>
  <si>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</si>
  <si>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</si>
  <si>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</si>
  <si>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</si>
  <si>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</si>
  <si>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</si>
  <si>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</si>
  <si>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</si>
  <si>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</si>
  <si>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</si>
  <si>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</si>
  <si>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</si>
  <si>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</si>
  <si>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</si>
  <si>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</si>
  <si>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</si>
  <si>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</si>
  <si>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</si>
  <si>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</si>
  <si>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</si>
  <si>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</si>
  <si>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</si>
  <si>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</si>
  <si>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</si>
  <si>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</si>
  <si>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</si>
  <si>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</si>
  <si>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</si>
  <si>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</si>
  <si>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</si>
  <si>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</si>
  <si>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</si>
  <si>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</si>
  <si>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</si>
  <si>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</si>
  <si>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</si>
  <si>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</si>
  <si>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</si>
  <si>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</si>
  <si>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</si>
  <si>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</si>
  <si>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</si>
  <si>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</si>
  <si>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</si>
  <si>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</si>
  <si>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</si>
  <si>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</si>
  <si>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</si>
  <si>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</si>
  <si>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</si>
  <si>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</si>
  <si>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</si>
  <si>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</si>
  <si>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</si>
  <si>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</si>
  <si>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</si>
  <si>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</si>
  <si>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</si>
  <si>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</si>
  <si>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</si>
  <si>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</si>
  <si>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</si>
  <si>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</si>
  <si>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</si>
  <si>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</si>
  <si>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</si>
  <si>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</si>
  <si>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</si>
  <si>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</si>
  <si>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</si>
  <si>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</si>
  <si>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</si>
  <si>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</si>
  <si>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</si>
  <si>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</si>
  <si>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</si>
  <si>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</si>
  <si>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</si>
  <si>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</si>
  <si>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</si>
  <si>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</si>
  <si>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</si>
  <si>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</si>
  <si>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</si>
  <si>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</si>
  <si>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</si>
  <si>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</si>
  <si>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</si>
  <si>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</si>
  <si>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</si>
  <si>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</si>
  <si>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</si>
  <si>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</si>
  <si>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</si>
  <si>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</si>
  <si>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</si>
  <si>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</si>
  <si>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</si>
  <si>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</si>
  <si>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</si>
  <si>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</si>
  <si>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</si>
  <si>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</si>
  <si>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</si>
  <si>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</si>
  <si>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</si>
  <si>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</si>
  <si>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</si>
  <si>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</si>
  <si>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</si>
  <si>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</si>
  <si>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</si>
  <si>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</si>
  <si>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</si>
  <si>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</si>
  <si>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</si>
  <si>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</si>
  <si>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</si>
  <si>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</si>
  <si>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</si>
  <si>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</si>
  <si>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</si>
  <si>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</si>
  <si>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</si>
  <si>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</si>
  <si>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</si>
  <si>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</si>
  <si>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</si>
  <si>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</si>
  <si>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</si>
  <si>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</si>
  <si>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</si>
  <si>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</si>
  <si>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</si>
  <si>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</si>
  <si>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</si>
  <si>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</si>
  <si>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</si>
  <si>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</si>
  <si>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</si>
  <si>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</si>
  <si>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</si>
  <si>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</si>
  <si>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</si>
  <si>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</si>
  <si>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</si>
  <si>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</si>
  <si>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</si>
  <si>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</si>
  <si>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</si>
  <si>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</si>
  <si>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</si>
  <si>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</si>
  <si>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</si>
  <si>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</si>
  <si>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</si>
  <si>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</si>
  <si>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</si>
  <si>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</si>
  <si>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</si>
  <si>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</si>
  <si>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</si>
  <si>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</si>
  <si>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</si>
  <si>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</si>
  <si>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</si>
  <si>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</si>
  <si>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</si>
  <si>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</si>
  <si>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</si>
  <si>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</si>
  <si>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</si>
  <si>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</si>
  <si>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</si>
  <si>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</si>
  <si>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</si>
  <si>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</si>
  <si>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</si>
  <si>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</si>
  <si>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</si>
  <si>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</si>
  <si>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</si>
  <si>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</si>
  <si>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</si>
  <si>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</si>
  <si>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</si>
  <si>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</si>
  <si>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</si>
  <si>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</si>
  <si>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</si>
  <si>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</si>
  <si>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</si>
  <si>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</si>
  <si>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</si>
  <si>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</si>
  <si>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</si>
  <si>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</si>
  <si>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</si>
  <si>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</si>
  <si>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</si>
  <si>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</si>
  <si>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</si>
  <si>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</si>
  <si>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</si>
  <si>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</si>
  <si>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</si>
  <si>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</si>
  <si>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</si>
  <si>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</si>
  <si>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</si>
  <si>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</si>
  <si>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</si>
  <si>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</si>
  <si>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</si>
  <si>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</si>
  <si>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</si>
  <si>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</si>
  <si>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</si>
  <si>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</si>
  <si>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</si>
  <si>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</si>
  <si>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</si>
  <si>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</si>
  <si>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</si>
  <si>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</si>
  <si>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</si>
  <si>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</si>
  <si>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</si>
  <si>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</si>
  <si>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</si>
  <si>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</si>
  <si>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</si>
  <si>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</si>
  <si>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</si>
  <si>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</si>
  <si>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</si>
  <si>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</si>
  <si>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</si>
  <si>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</si>
  <si>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</si>
  <si>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</si>
  <si>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</si>
  <si>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</si>
  <si>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</si>
  <si>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</si>
  <si>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</si>
  <si>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</si>
  <si>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</si>
  <si>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</si>
  <si>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</si>
  <si>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</si>
  <si>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</si>
  <si>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</si>
  <si>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</si>
  <si>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</si>
  <si>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</si>
  <si>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</si>
  <si>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</si>
  <si>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</si>
  <si>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</si>
  <si>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</si>
  <si>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</si>
  <si>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</si>
  <si>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</si>
  <si>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</si>
  <si>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</si>
  <si>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</si>
  <si>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</si>
  <si>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</si>
  <si>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</si>
  <si>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</si>
  <si>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</si>
  <si>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</si>
  <si>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</si>
  <si>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</si>
  <si>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</si>
  <si>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</si>
  <si>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</si>
  <si>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</si>
  <si>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</si>
  <si>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</si>
  <si>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</si>
  <si>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</si>
  <si>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</si>
  <si>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</si>
  <si>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</si>
  <si>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</si>
  <si>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</si>
  <si>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</si>
  <si>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</si>
  <si>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</si>
  <si>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</si>
  <si>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</si>
  <si>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</si>
  <si>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</si>
  <si>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</si>
  <si>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</si>
  <si>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</si>
  <si>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</si>
  <si>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</si>
  <si>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</si>
  <si>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</si>
  <si>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</si>
  <si>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</si>
  <si>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</si>
  <si>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</si>
  <si>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</si>
  <si>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</si>
  <si>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</si>
  <si>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</si>
  <si>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</si>
  <si>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</si>
  <si>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</si>
  <si>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</si>
  <si>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</si>
  <si>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</si>
  <si>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</si>
  <si>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</si>
  <si>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</si>
  <si>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</si>
  <si>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</si>
  <si>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</si>
  <si>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</si>
  <si>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</si>
  <si>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</si>
  <si>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</si>
  <si>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</si>
  <si>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</si>
  <si>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</si>
  <si>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</si>
  <si>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</si>
  <si>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</si>
  <si>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</si>
  <si>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</si>
  <si>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</si>
  <si>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</si>
  <si>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</si>
  <si>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</si>
  <si>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</si>
  <si>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</si>
  <si>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</si>
  <si>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</si>
  <si>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</si>
  <si>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</si>
  <si>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</si>
  <si>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</si>
  <si>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</si>
  <si>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</si>
  <si>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</si>
  <si>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</si>
  <si>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</si>
  <si>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</si>
  <si>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</si>
  <si>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</si>
  <si>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</si>
  <si>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</si>
  <si>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</si>
  <si>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</si>
  <si>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</si>
  <si>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</si>
  <si>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</si>
  <si>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</si>
  <si>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</si>
  <si>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</si>
  <si>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</si>
  <si>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</si>
  <si>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</si>
  <si>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</si>
  <si>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</si>
  <si>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</si>
  <si>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</si>
  <si>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</si>
  <si>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</si>
  <si>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</si>
  <si>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</si>
  <si>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</si>
  <si>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</si>
  <si>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</si>
  <si>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</si>
  <si>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</si>
  <si>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</si>
  <si>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</si>
  <si>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</si>
  <si>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</si>
  <si>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</si>
  <si>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</si>
  <si>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</si>
  <si>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</si>
  <si>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</si>
  <si>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</si>
  <si>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</si>
  <si>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</si>
  <si>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</si>
  <si>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</si>
  <si>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</si>
  <si>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</si>
  <si>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</si>
  <si>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</si>
  <si>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</si>
  <si>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</si>
  <si>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</si>
  <si>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</si>
  <si>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</si>
  <si>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</si>
  <si>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</si>
  <si>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</si>
  <si>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</si>
  <si>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</si>
  <si>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</si>
  <si>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</si>
  <si>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</si>
  <si>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</si>
  <si>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</si>
  <si>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</si>
  <si>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</si>
  <si>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</si>
  <si>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</si>
  <si>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</si>
  <si>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</si>
  <si>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</si>
  <si>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</si>
  <si>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</si>
  <si>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</si>
  <si>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</si>
  <si>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</si>
  <si>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</si>
  <si>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</si>
  <si>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</si>
  <si>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</si>
  <si>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</si>
  <si>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</si>
  <si>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</si>
  <si>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</si>
  <si>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</si>
  <si>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</si>
  <si>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</si>
  <si>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</si>
  <si>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</si>
  <si>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</si>
  <si>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</si>
  <si>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</si>
  <si>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</si>
  <si>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</si>
  <si>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</si>
  <si>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</si>
  <si>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</si>
  <si>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</si>
  <si>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</si>
  <si>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</si>
  <si>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</si>
  <si>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</si>
  <si>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</si>
  <si>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</si>
  <si>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</si>
  <si>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</si>
  <si>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</si>
  <si>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</si>
  <si>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</si>
  <si>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</si>
  <si>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</si>
  <si>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</si>
  <si>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</si>
  <si>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</si>
  <si>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</si>
  <si>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</si>
  <si>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</si>
  <si>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</si>
  <si>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</si>
  <si>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</si>
  <si>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</si>
  <si>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</si>
  <si>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</si>
  <si>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</si>
  <si>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</si>
  <si>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</si>
  <si>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</si>
  <si>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</si>
  <si>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</si>
  <si>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</si>
  <si>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</si>
  <si>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</si>
  <si>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</si>
  <si>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</si>
  <si>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</si>
  <si>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</si>
  <si>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</si>
  <si>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</si>
  <si>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</si>
  <si>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</si>
  <si>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</si>
  <si>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</si>
  <si>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</si>
  <si>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</si>
  <si>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</si>
  <si>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</si>
  <si>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</si>
  <si>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</si>
  <si>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</si>
  <si>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</si>
  <si>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</si>
  <si>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</si>
  <si>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</si>
  <si>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</si>
  <si>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</si>
  <si>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</si>
  <si>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</si>
  <si>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</si>
  <si>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</si>
  <si>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</si>
  <si>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</si>
  <si>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</si>
  <si>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</si>
  <si>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</si>
  <si>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</si>
  <si>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</si>
  <si>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</si>
  <si>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</si>
  <si>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</si>
  <si>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</si>
  <si>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</si>
  <si>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</si>
  <si>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</si>
  <si>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</si>
  <si>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</si>
  <si>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</si>
  <si>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</si>
  <si>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</si>
  <si>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</si>
  <si>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</si>
  <si>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</si>
  <si>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</si>
  <si>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</si>
  <si>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</si>
  <si>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</si>
  <si>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</si>
  <si>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</si>
  <si>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</si>
  <si>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</si>
  <si>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</si>
  <si>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</si>
  <si>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</si>
  <si>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</si>
  <si>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</si>
  <si>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</si>
  <si>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</si>
  <si>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</si>
  <si>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</si>
  <si>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</si>
  <si>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</si>
  <si>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</si>
  <si>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</si>
  <si>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</si>
  <si>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</si>
  <si>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</si>
  <si>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</si>
  <si>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</si>
  <si>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</si>
  <si>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</si>
  <si>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</si>
  <si>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</si>
  <si>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</si>
  <si>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</si>
  <si>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</si>
  <si>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</si>
  <si>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</si>
  <si>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</si>
  <si>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</si>
  <si>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</si>
  <si>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</si>
  <si>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</si>
  <si>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</si>
  <si>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</si>
  <si>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</si>
  <si>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</si>
  <si>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</si>
  <si>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</si>
  <si>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</si>
  <si>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</si>
  <si>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</si>
  <si>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</si>
  <si>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</si>
  <si>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</si>
  <si>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</si>
  <si>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</si>
  <si>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</si>
  <si>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</si>
  <si>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</si>
  <si>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</si>
  <si>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</si>
  <si>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</si>
  <si>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</si>
  <si>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</si>
  <si>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</si>
  <si>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</si>
  <si>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</si>
  <si>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</si>
  <si>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</si>
  <si>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</si>
  <si>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</si>
  <si>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</si>
  <si>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</si>
  <si>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</si>
  <si>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</si>
  <si>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</si>
  <si>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</si>
  <si>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</si>
  <si>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</si>
  <si>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</si>
  <si>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</si>
  <si>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</si>
  <si>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</si>
  <si>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</si>
  <si>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</si>
  <si>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</si>
  <si>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</si>
  <si>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</si>
  <si>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</si>
  <si>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</si>
  <si>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</si>
  <si>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</si>
  <si>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</si>
  <si>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</si>
  <si>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</si>
  <si>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</si>
  <si>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</si>
  <si>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</si>
  <si>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</si>
  <si>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</si>
  <si>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</si>
  <si>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</si>
  <si>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</si>
  <si>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</si>
  <si>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</si>
  <si>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</si>
  <si>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</si>
  <si>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</si>
  <si>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</si>
  <si>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</si>
  <si>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</si>
  <si>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</si>
  <si>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</si>
  <si>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</si>
  <si>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</si>
  <si>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</si>
  <si>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</si>
  <si>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</si>
  <si>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</si>
  <si>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</si>
  <si>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</si>
  <si>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</si>
  <si>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</si>
  <si>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</si>
  <si>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</si>
  <si>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</si>
  <si>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</si>
  <si>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</si>
  <si>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</si>
  <si>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</si>
  <si>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</si>
  <si>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</si>
  <si>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</si>
  <si>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</si>
  <si>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</si>
  <si>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</si>
  <si>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</si>
  <si>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</si>
  <si>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</si>
  <si>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</si>
  <si>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</si>
  <si>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</si>
  <si>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</si>
  <si>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</si>
  <si>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</si>
  <si>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</si>
  <si>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</si>
  <si>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</si>
  <si>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</si>
  <si>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</si>
  <si>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</si>
  <si>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</si>
  <si>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</si>
  <si>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</si>
  <si>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</si>
  <si>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</si>
  <si>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</si>
  <si>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</si>
  <si>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</si>
  <si>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</si>
  <si>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</si>
  <si>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</si>
  <si>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</si>
  <si>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</si>
  <si>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</si>
  <si>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</si>
  <si>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</si>
  <si>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</si>
  <si>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</si>
  <si>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</si>
  <si>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</si>
  <si>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</si>
  <si>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</si>
  <si>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</si>
  <si>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</si>
  <si>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</si>
  <si>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</si>
  <si>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</si>
  <si>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</si>
  <si>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</si>
  <si>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</si>
  <si>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</si>
  <si>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</si>
  <si>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</si>
  <si>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</si>
  <si>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</si>
  <si>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</si>
  <si>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</si>
  <si>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</si>
  <si>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</si>
  <si>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</si>
  <si>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</si>
  <si>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</si>
  <si>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</si>
  <si>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</si>
  <si>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</si>
  <si>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</si>
  <si>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</si>
  <si>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</si>
  <si>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</si>
  <si>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</si>
  <si>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</si>
  <si>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</si>
  <si>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</si>
  <si>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</si>
  <si>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</si>
  <si>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</si>
  <si>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</si>
  <si>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</si>
  <si>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</si>
  <si>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</si>
  <si>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</si>
  <si>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</si>
  <si>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</si>
  <si>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</si>
  <si>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</si>
  <si>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</si>
  <si>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</si>
  <si>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</si>
  <si>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</si>
  <si>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</si>
  <si>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</si>
  <si>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</si>
  <si>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</si>
  <si>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</si>
  <si>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</si>
  <si>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</si>
  <si>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</si>
  <si>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</si>
  <si>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</si>
  <si>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</si>
  <si>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</si>
  <si>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</si>
  <si>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</si>
  <si>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</si>
  <si>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</si>
  <si>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</si>
  <si>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</si>
  <si>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</si>
  <si>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</si>
  <si>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</si>
  <si>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</si>
  <si>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</si>
  <si>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</si>
  <si>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</si>
  <si>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</si>
  <si>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</si>
  <si>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</si>
  <si>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</si>
  <si>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</si>
  <si>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</si>
  <si>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</si>
  <si>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</si>
  <si>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</si>
  <si>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</si>
  <si>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</si>
  <si>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</si>
  <si>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</si>
  <si>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</si>
  <si>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</si>
  <si>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</si>
  <si>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</si>
  <si>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</si>
  <si>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</si>
  <si>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</si>
  <si>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</si>
  <si>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</si>
  <si>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</si>
  <si>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</si>
  <si>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</si>
  <si>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</si>
  <si>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</si>
  <si>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</si>
  <si>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</si>
  <si>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</si>
  <si>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</si>
  <si>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</si>
  <si>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</si>
  <si>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</si>
  <si>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</si>
  <si>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</si>
  <si>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</si>
  <si>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</si>
  <si>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</si>
  <si>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</si>
  <si>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</si>
  <si>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</si>
  <si>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</si>
  <si>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</si>
  <si>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</si>
  <si>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</si>
  <si>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</si>
  <si>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</si>
  <si>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</si>
  <si>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</si>
  <si>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</si>
  <si>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</si>
  <si>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</si>
  <si>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</si>
  <si>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</si>
  <si>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</si>
  <si>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</si>
  <si>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</si>
  <si>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</si>
  <si>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</si>
  <si>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</si>
  <si>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</si>
  <si>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</si>
  <si>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</si>
  <si>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</si>
  <si>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</si>
  <si>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</si>
  <si>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</si>
  <si>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</si>
  <si>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</si>
  <si>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</si>
  <si>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</si>
  <si>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</si>
  <si>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</si>
  <si>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</si>
  <si>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</si>
  <si>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</si>
  <si>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</si>
  <si>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</si>
  <si>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</si>
  <si>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</si>
  <si>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</si>
  <si>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</si>
  <si>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</si>
  <si>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</si>
  <si>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</si>
  <si>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</si>
  <si>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</si>
  <si>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</si>
  <si>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</si>
  <si>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</si>
  <si>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</si>
  <si>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</si>
  <si>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</si>
  <si>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</si>
  <si>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</si>
  <si>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</si>
  <si>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</si>
  <si>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</si>
  <si>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</si>
  <si>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</si>
  <si>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</si>
  <si>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</si>
  <si>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</si>
  <si>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</si>
  <si>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</si>
  <si>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</si>
  <si>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</si>
  <si>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</si>
  <si>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</si>
  <si>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</si>
  <si>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</si>
  <si>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</si>
  <si>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</si>
  <si>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</si>
  <si>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</si>
  <si>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</si>
  <si>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</si>
  <si>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</si>
  <si>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</si>
  <si>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</si>
  <si>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</si>
  <si>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</si>
  <si>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</si>
  <si>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</si>
  <si>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</si>
  <si>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</si>
  <si>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</si>
  <si>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</si>
  <si>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</si>
  <si>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</si>
  <si>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</si>
  <si>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</si>
  <si>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</si>
  <si>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</si>
  <si>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</si>
  <si>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</si>
  <si>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</si>
  <si>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</si>
  <si>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</si>
  <si>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</si>
  <si>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</si>
  <si>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</si>
  <si>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</si>
  <si>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</si>
  <si>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</si>
  <si>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</si>
  <si>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</si>
  <si>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</si>
  <si>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</si>
  <si>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</si>
  <si>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</si>
  <si>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</si>
  <si>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</si>
  <si>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</si>
  <si>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</si>
  <si>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</si>
  <si>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</si>
  <si>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</si>
  <si>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</si>
  <si>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</si>
  <si>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</si>
  <si>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</si>
  <si>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</si>
  <si>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</si>
  <si>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</si>
  <si>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</si>
  <si>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</si>
  <si>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</si>
  <si>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</si>
  <si>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</si>
  <si>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</si>
  <si>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</si>
  <si>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</si>
  <si>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</si>
  <si>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</si>
  <si>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</si>
  <si>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</si>
  <si>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</si>
  <si>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</si>
  <si>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</si>
  <si>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</si>
  <si>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</si>
  <si>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</si>
  <si>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</si>
  <si>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</si>
  <si>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</si>
  <si>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</si>
  <si>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</si>
  <si>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</si>
  <si>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</si>
  <si>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</si>
  <si>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</si>
  <si>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</si>
  <si>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</si>
  <si>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</si>
  <si>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</si>
  <si>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</si>
  <si>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</si>
  <si>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</si>
  <si>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</si>
  <si>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</si>
  <si>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</si>
  <si>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</si>
  <si>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</si>
  <si>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</si>
  <si>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</si>
  <si>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</si>
  <si>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</si>
  <si>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</si>
  <si>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</si>
  <si>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</si>
  <si>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</si>
  <si>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</si>
  <si>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</si>
  <si>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</si>
  <si>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</si>
  <si>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</si>
  <si>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</si>
  <si>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</si>
  <si>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</si>
  <si>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</si>
  <si>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</si>
  <si>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</si>
  <si>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</si>
  <si>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</si>
  <si>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</si>
  <si>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</si>
  <si>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</si>
  <si>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</si>
  <si>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</si>
  <si>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</si>
  <si>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</si>
  <si>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</si>
  <si>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</si>
  <si>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</si>
  <si>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</si>
  <si>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</si>
  <si>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</si>
  <si>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</si>
  <si>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</si>
  <si>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</si>
  <si>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</si>
  <si>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</si>
  <si>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</si>
  <si>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</si>
  <si>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</si>
  <si>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</si>
  <si>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</si>
  <si>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</si>
  <si>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</si>
  <si>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</si>
  <si>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</si>
  <si>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</si>
  <si>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</si>
  <si>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</si>
  <si>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</si>
  <si>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</si>
  <si>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</si>
  <si>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</si>
  <si>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</si>
  <si>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</si>
  <si>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</si>
  <si>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</si>
  <si>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</si>
  <si>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</si>
  <si>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</si>
  <si>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</si>
  <si>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</si>
  <si>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</si>
  <si>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</si>
  <si>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</si>
  <si>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</si>
  <si>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</si>
  <si>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</si>
  <si>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</si>
  <si>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</si>
  <si>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</si>
  <si>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</si>
  <si>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</si>
  <si>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</si>
  <si>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</si>
  <si>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</si>
  <si>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</si>
  <si>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</si>
  <si>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</si>
  <si>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</si>
  <si>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</si>
  <si>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</si>
  <si>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</si>
  <si>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</si>
  <si>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</si>
  <si>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</si>
  <si>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</si>
  <si>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</si>
  <si>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</si>
  <si>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</si>
  <si>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</si>
  <si>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</si>
  <si>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</si>
  <si>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</si>
  <si>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</si>
  <si>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</si>
  <si>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</si>
  <si>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</si>
  <si>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</si>
  <si>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</si>
  <si>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</si>
  <si>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</si>
  <si>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</si>
  <si>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</si>
  <si>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</si>
  <si>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</si>
  <si>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</si>
  <si>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</si>
  <si>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</si>
  <si>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</si>
  <si>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</si>
  <si>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</si>
  <si>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</si>
  <si>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</si>
  <si>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</si>
  <si>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</si>
  <si>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</si>
  <si>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</si>
  <si>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</si>
  <si>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</si>
  <si>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</si>
  <si>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</si>
  <si>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</si>
  <si>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</si>
  <si>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</si>
  <si>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</si>
  <si>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</si>
  <si>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</si>
  <si>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</si>
  <si>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</si>
  <si>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</si>
  <si>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</si>
  <si>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</si>
  <si>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</si>
  <si>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</si>
  <si>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</si>
  <si>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</si>
  <si>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</si>
  <si>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</si>
  <si>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</si>
  <si>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</si>
  <si>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</si>
  <si>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</si>
  <si>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</si>
  <si>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</si>
  <si>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</si>
  <si>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</si>
  <si>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</si>
  <si>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</si>
  <si>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</si>
  <si>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</si>
  <si>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</si>
  <si>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</si>
  <si>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</si>
  <si>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</si>
  <si>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</si>
  <si>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</si>
  <si>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</si>
  <si>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</si>
  <si>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</si>
  <si>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</si>
  <si>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</si>
  <si>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</si>
  <si>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</si>
  <si>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</si>
  <si>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</si>
  <si>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</si>
  <si>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</si>
  <si>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</si>
  <si>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</si>
  <si>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</si>
  <si>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</si>
  <si>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</si>
  <si>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</si>
  <si>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</si>
  <si>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</si>
  <si>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</si>
  <si>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</si>
  <si>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</si>
  <si>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</si>
  <si>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</si>
  <si>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</si>
  <si>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</si>
  <si>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</si>
  <si>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</si>
  <si>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</si>
  <si>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</si>
  <si>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</si>
  <si>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</si>
  <si>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</si>
  <si>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</si>
  <si>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</si>
  <si>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</si>
  <si>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</si>
  <si>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</si>
  <si>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</si>
  <si>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</si>
  <si>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</si>
  <si>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</si>
  <si>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</si>
  <si>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</si>
  <si>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</si>
  <si>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</si>
  <si>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</si>
  <si>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</si>
  <si>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</si>
  <si>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</si>
  <si>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</si>
  <si>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</si>
  <si>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</si>
  <si>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</si>
  <si>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</si>
  <si>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</si>
  <si>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</si>
  <si>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</si>
  <si>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</si>
  <si>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</si>
  <si>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</si>
  <si>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</si>
  <si>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</si>
  <si>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</si>
  <si>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</si>
  <si>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</si>
  <si>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</si>
  <si>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</si>
  <si>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</si>
  <si>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</si>
  <si>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</si>
  <si>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</si>
  <si>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</si>
  <si>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</si>
  <si>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</si>
  <si>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</si>
  <si>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</si>
  <si>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</si>
  <si>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</si>
  <si>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</si>
  <si>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</si>
  <si>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</si>
  <si>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</si>
  <si>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</si>
  <si>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</si>
  <si>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</si>
  <si>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</si>
  <si>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</si>
  <si>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</si>
  <si>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</si>
  <si>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</si>
  <si>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</si>
  <si>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</si>
  <si>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</si>
  <si>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</si>
  <si>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</si>
  <si>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</si>
  <si>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</si>
  <si>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</si>
  <si>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</si>
  <si>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</si>
  <si>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</si>
  <si>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</si>
  <si>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</si>
  <si>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</si>
  <si>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</si>
  <si>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</si>
  <si>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</si>
  <si>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</si>
  <si>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</si>
  <si>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</si>
  <si>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</si>
  <si>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</si>
  <si>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</si>
  <si>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</si>
  <si>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</si>
  <si>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</si>
  <si>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</si>
  <si>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</si>
  <si>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</si>
  <si>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</si>
  <si>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</si>
  <si>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</si>
  <si>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</si>
  <si>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</si>
  <si>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</si>
  <si>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</si>
  <si>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</si>
  <si>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</si>
  <si>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</si>
  <si>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</si>
  <si>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</si>
  <si>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</si>
  <si>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</si>
  <si>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</si>
  <si>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</si>
  <si>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</si>
  <si>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</si>
  <si>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</si>
  <si>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</si>
  <si>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</si>
  <si>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</si>
  <si>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</si>
  <si>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</si>
  <si>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</si>
  <si>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</si>
  <si>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</si>
  <si>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</si>
  <si>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</si>
  <si>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</si>
  <si>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</si>
  <si>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</si>
  <si>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</si>
  <si>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</si>
  <si>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</si>
  <si>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</si>
  <si>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</si>
  <si>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</si>
  <si>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</si>
  <si>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</si>
  <si>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</si>
  <si>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</si>
  <si>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</si>
  <si>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</si>
  <si>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</si>
  <si>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</si>
  <si>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</si>
  <si>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</si>
  <si>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</si>
  <si>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</si>
  <si>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</si>
  <si>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</si>
  <si>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</si>
  <si>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</si>
  <si>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</si>
  <si>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</si>
  <si>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</si>
  <si>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</si>
  <si>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</si>
  <si>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</si>
  <si>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</si>
  <si>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</si>
  <si>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</si>
  <si>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</si>
  <si>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</si>
  <si>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</si>
  <si>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</si>
  <si>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</si>
  <si>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</si>
  <si>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</si>
  <si>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</si>
  <si>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</si>
  <si>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</si>
  <si>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</si>
  <si>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</si>
  <si>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</si>
  <si>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</si>
  <si>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</si>
  <si>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</si>
  <si>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</si>
  <si>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</si>
  <si>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</si>
  <si>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</si>
  <si>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</si>
  <si>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</si>
  <si>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</si>
  <si>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</si>
  <si>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</si>
  <si>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</si>
  <si>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</si>
  <si>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</si>
  <si>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</si>
  <si>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</si>
  <si>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</si>
  <si>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</si>
  <si>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</si>
  <si>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</si>
  <si>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</si>
  <si>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</si>
  <si>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</si>
  <si>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</si>
  <si>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</si>
  <si>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</si>
  <si>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</si>
  <si>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</si>
  <si>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</si>
  <si>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</si>
  <si>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</si>
  <si>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</si>
  <si>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</si>
  <si>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</si>
  <si>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</si>
  <si>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</si>
  <si>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</si>
  <si>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</si>
  <si>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</si>
  <si>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</si>
  <si>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</si>
  <si>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</si>
  <si>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</si>
  <si>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</si>
  <si>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</si>
  <si>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</si>
  <si>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</si>
  <si>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</si>
  <si>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</si>
  <si>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</si>
  <si>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</si>
  <si>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</si>
  <si>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</si>
  <si>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</si>
  <si>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</si>
  <si>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</si>
  <si>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</si>
  <si>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</si>
  <si>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</si>
  <si>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</si>
  <si>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</si>
  <si>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</si>
  <si>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</si>
  <si>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</si>
  <si>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</si>
  <si>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</si>
  <si>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</si>
  <si>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</si>
  <si>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</si>
  <si>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</si>
  <si>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</si>
  <si>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</si>
  <si>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</si>
  <si>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</si>
  <si>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</si>
  <si>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</si>
  <si>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</si>
  <si>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</si>
  <si>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</si>
  <si>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</si>
  <si>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</si>
  <si>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</si>
  <si>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</si>
  <si>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</si>
  <si>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</si>
  <si>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</si>
  <si>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</si>
  <si>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</si>
  <si>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</si>
  <si>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</si>
  <si>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</si>
  <si>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</si>
  <si>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</si>
  <si>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</si>
  <si>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</si>
  <si>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</si>
  <si>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</si>
  <si>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</si>
  <si>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</si>
  <si>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</si>
  <si>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</si>
  <si>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</si>
  <si>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</si>
  <si>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</si>
  <si>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</si>
  <si>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</si>
  <si>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</si>
  <si>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</si>
  <si>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</si>
  <si>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</si>
  <si>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</si>
  <si>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</si>
  <si>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</si>
  <si>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</si>
  <si>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</si>
  <si>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</si>
  <si>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</si>
  <si>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</si>
  <si>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</si>
  <si>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</si>
  <si>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</si>
  <si>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</si>
  <si>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</si>
  <si>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</si>
  <si>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</si>
  <si>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</si>
  <si>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</si>
  <si>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</si>
  <si>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</si>
  <si>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</si>
  <si>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</si>
  <si>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</si>
  <si>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</si>
  <si>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</si>
  <si>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</si>
  <si>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</si>
  <si>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</si>
  <si>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</si>
  <si>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</si>
  <si>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</si>
  <si>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</si>
  <si>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</si>
  <si>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</si>
  <si>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</si>
  <si>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</si>
  <si>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</si>
  <si>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</si>
  <si>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</si>
  <si>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</si>
  <si>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</si>
  <si>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</si>
  <si>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</si>
  <si>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</si>
  <si>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</si>
  <si>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</si>
  <si>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</si>
  <si>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</si>
  <si>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</si>
  <si>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</si>
  <si>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</si>
  <si>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</si>
  <si>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</si>
  <si>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</si>
  <si>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</si>
  <si>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</si>
  <si>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</si>
  <si>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</si>
  <si>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</si>
  <si>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</si>
  <si>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</si>
  <si>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</si>
  <si>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</si>
  <si>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</si>
  <si>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</si>
  <si>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</si>
  <si>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</si>
  <si>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</si>
  <si>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</si>
  <si>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</si>
  <si>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</si>
  <si>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</si>
  <si>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</si>
  <si>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</si>
  <si>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</si>
  <si>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</si>
  <si>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</si>
  <si>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</si>
  <si>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</si>
  <si>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</si>
  <si>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</si>
  <si>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</si>
  <si>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</si>
  <si>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</si>
  <si>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</si>
  <si>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</si>
  <si>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</si>
  <si>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</si>
  <si>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</si>
  <si>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</si>
  <si>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</si>
  <si>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</si>
  <si>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</si>
  <si>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</si>
  <si>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</si>
  <si>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</si>
  <si>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</si>
  <si>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</si>
  <si>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</si>
  <si>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</si>
  <si>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</si>
  <si>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</si>
  <si>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</si>
  <si>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</si>
  <si>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</si>
  <si>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</si>
  <si>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</si>
  <si>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</si>
  <si>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</si>
  <si>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</si>
  <si>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</si>
  <si>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</si>
  <si>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</si>
  <si>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</si>
  <si>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</si>
  <si>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</si>
  <si>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</si>
  <si>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</si>
  <si>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</si>
  <si>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</si>
  <si>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</si>
  <si>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</si>
  <si>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</si>
  <si>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</si>
  <si>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</si>
  <si>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</si>
  <si>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</si>
  <si>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</si>
  <si>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</si>
  <si>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</si>
  <si>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</si>
  <si>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</si>
  <si>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</si>
  <si>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</si>
  <si>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</si>
  <si>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</si>
  <si>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</si>
  <si>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</si>
  <si>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</si>
  <si>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</si>
  <si>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</si>
  <si>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</si>
  <si>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</si>
  <si>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</si>
  <si>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</si>
  <si>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</si>
  <si>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</si>
  <si>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</si>
  <si>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</si>
  <si>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</si>
  <si>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</si>
  <si>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</si>
  <si>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</si>
  <si>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</si>
  <si>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</si>
  <si>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</si>
  <si>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</si>
  <si>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</si>
  <si>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</si>
  <si>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</si>
  <si>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</si>
  <si>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</si>
  <si>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</si>
  <si>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</si>
  <si>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</si>
  <si>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</si>
  <si>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</si>
  <si>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</si>
  <si>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</si>
  <si>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</si>
  <si>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</si>
  <si>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</si>
  <si>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</si>
  <si>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</si>
  <si>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</si>
  <si>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</si>
  <si>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</si>
  <si>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</si>
  <si>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</si>
  <si>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</si>
  <si>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</si>
  <si>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</si>
  <si>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</si>
  <si>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</si>
  <si>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</si>
  <si>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</si>
  <si>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</si>
  <si>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</si>
  <si>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</si>
  <si>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</si>
  <si>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</si>
  <si>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</si>
  <si>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</si>
  <si>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</si>
  <si>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</si>
  <si>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</si>
  <si>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</si>
  <si>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</si>
  <si>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</si>
  <si>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</si>
  <si>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</si>
  <si>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</si>
  <si>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</si>
  <si>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</si>
  <si>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</si>
  <si>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</si>
  <si>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</si>
  <si>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</si>
  <si>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</si>
  <si>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</si>
  <si>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</si>
  <si>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</si>
  <si>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</si>
  <si>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</si>
  <si>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</si>
  <si>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</si>
  <si>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</si>
  <si>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</si>
  <si>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</si>
  <si>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</si>
  <si>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</si>
  <si>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</si>
  <si>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</si>
  <si>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</si>
  <si>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</si>
  <si>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</si>
  <si>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</si>
  <si>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</si>
  <si>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</si>
  <si>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</si>
  <si>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</si>
  <si>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</si>
  <si>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</si>
  <si>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</si>
  <si>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</si>
  <si>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</si>
  <si>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</si>
  <si>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</si>
  <si>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</si>
  <si>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</si>
  <si>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</si>
  <si>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</si>
  <si>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</si>
  <si>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</si>
  <si>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</si>
  <si>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</si>
  <si>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</si>
  <si>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</si>
  <si>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</si>
  <si>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</si>
  <si>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</si>
  <si>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</si>
  <si>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</si>
  <si>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</si>
  <si>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</si>
  <si>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</si>
  <si>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</si>
  <si>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</si>
  <si>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</si>
  <si>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</si>
  <si>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</si>
  <si>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</si>
  <si>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</si>
  <si>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</si>
  <si>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</si>
  <si>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</si>
  <si>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</si>
  <si>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</si>
  <si>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</si>
  <si>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</si>
  <si>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</si>
  <si>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</si>
  <si>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</si>
  <si>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</si>
  <si>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</si>
  <si>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</si>
  <si>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</si>
  <si>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</si>
  <si>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</si>
  <si>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</si>
  <si>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</si>
  <si>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</si>
  <si>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</si>
  <si>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</si>
  <si>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</si>
  <si>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</si>
  <si>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</si>
  <si>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</si>
  <si>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</si>
  <si>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</si>
  <si>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</si>
  <si>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</si>
  <si>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</si>
  <si>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</si>
  <si>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</si>
  <si>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</si>
  <si>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</si>
  <si>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</si>
  <si>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</si>
  <si>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</si>
  <si>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</si>
  <si>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</si>
  <si>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</si>
  <si>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</si>
  <si>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</si>
  <si>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</si>
  <si>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</si>
  <si>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</si>
  <si>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</si>
  <si>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</si>
  <si>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</si>
  <si>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</si>
  <si>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</si>
  <si>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</si>
  <si>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</si>
  <si>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</si>
  <si>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</si>
  <si>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</si>
  <si>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</si>
  <si>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</si>
  <si>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</si>
  <si>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</si>
  <si>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</si>
  <si>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</si>
  <si>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</si>
  <si>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</si>
  <si>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</si>
  <si>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</si>
  <si>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</si>
  <si>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</si>
  <si>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</si>
  <si>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</si>
  <si>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</si>
  <si>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</si>
  <si>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</si>
  <si>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</si>
  <si>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</si>
  <si>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</si>
  <si>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</si>
  <si>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</si>
  <si>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</si>
  <si>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</si>
  <si>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</si>
  <si>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</si>
  <si>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</si>
  <si>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</si>
  <si>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</si>
  <si>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</si>
  <si>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</si>
  <si>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</si>
  <si>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</si>
  <si>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</si>
  <si>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</si>
  <si>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</si>
  <si>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</si>
  <si>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</si>
  <si>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</si>
  <si>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</si>
  <si>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</si>
  <si>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</si>
  <si>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</si>
  <si>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</si>
  <si>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</si>
  <si>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</si>
  <si>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</si>
  <si>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</si>
  <si>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</si>
  <si>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</si>
  <si>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</si>
  <si>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</si>
  <si>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</si>
  <si>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</si>
  <si>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</si>
  <si>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</si>
  <si>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</si>
  <si>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</si>
  <si>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</si>
  <si>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</si>
  <si>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</si>
  <si>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</si>
  <si>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</si>
  <si>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</si>
  <si>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</si>
  <si>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</si>
  <si>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</si>
  <si>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</si>
  <si>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</si>
  <si>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</si>
  <si>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</si>
  <si>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</si>
  <si>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</si>
  <si>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</si>
  <si>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</si>
  <si>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</si>
  <si>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</si>
  <si>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</si>
  <si>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</si>
  <si>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</si>
  <si>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</si>
  <si>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</si>
  <si>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</si>
  <si>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</si>
  <si>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</si>
  <si>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</si>
  <si>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</si>
  <si>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</si>
  <si>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</si>
  <si>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</si>
  <si>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</si>
  <si>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</si>
  <si>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</si>
  <si>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</si>
  <si>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</si>
  <si>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</si>
  <si>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</si>
  <si>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</si>
  <si>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</si>
  <si>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</si>
  <si>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</si>
  <si>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</si>
  <si>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</si>
  <si>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</si>
  <si>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</si>
  <si>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</si>
  <si>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</si>
  <si>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</si>
  <si>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</si>
  <si>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</si>
  <si>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</si>
  <si>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</si>
  <si>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</si>
  <si>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</si>
  <si>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</si>
  <si>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</si>
  <si>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</si>
  <si>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</si>
  <si>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</si>
  <si>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</si>
  <si>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</si>
  <si>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</si>
  <si>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</si>
  <si>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</si>
  <si>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</si>
  <si>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</si>
  <si>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</si>
  <si>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</si>
  <si>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</si>
  <si>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</si>
  <si>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</si>
  <si>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</si>
  <si>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</si>
  <si>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</si>
  <si>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</si>
  <si>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</si>
  <si>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</si>
  <si>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</si>
  <si>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</si>
  <si>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</si>
  <si>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</si>
  <si>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</si>
  <si>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</si>
  <si>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</si>
  <si>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</si>
  <si>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</si>
  <si>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</si>
  <si>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</si>
  <si>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</si>
  <si>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</si>
  <si>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</si>
  <si>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</si>
  <si>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</si>
  <si>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</si>
  <si>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</si>
  <si>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</si>
  <si>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</si>
  <si>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</si>
  <si>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</si>
  <si>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</si>
  <si>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</si>
  <si>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</si>
  <si>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</si>
  <si>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</si>
  <si>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</si>
  <si>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</si>
  <si>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</si>
  <si>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</si>
  <si>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</si>
  <si>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</si>
  <si>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</si>
  <si>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</si>
  <si>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</si>
  <si>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</si>
  <si>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</si>
  <si>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</si>
  <si>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</si>
  <si>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</si>
  <si>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</si>
  <si>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</si>
  <si>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</si>
  <si>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</si>
  <si>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</si>
  <si>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</si>
  <si>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</si>
  <si>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</si>
  <si>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</si>
  <si>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</si>
  <si>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</si>
  <si>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</si>
  <si>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</si>
  <si>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</si>
  <si>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</si>
  <si>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</si>
  <si>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</si>
  <si>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</si>
  <si>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</si>
  <si>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</si>
  <si>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</si>
  <si>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</si>
  <si>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</si>
  <si>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</si>
  <si>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</si>
  <si>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</si>
  <si>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</si>
  <si>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</si>
  <si>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</si>
  <si>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</si>
  <si>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</si>
  <si>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</si>
  <si>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</si>
  <si>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</si>
  <si>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</si>
  <si>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</si>
  <si>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</si>
  <si>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</si>
  <si>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</si>
  <si>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</si>
  <si>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</si>
  <si>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</si>
  <si>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</si>
  <si>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</si>
  <si>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</si>
  <si>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</si>
  <si>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</si>
  <si>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</si>
  <si>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</si>
  <si>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</si>
  <si>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</si>
  <si>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</si>
  <si>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</si>
  <si>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</si>
  <si>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</si>
  <si>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</si>
  <si>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</si>
  <si>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</si>
  <si>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</si>
  <si>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</si>
  <si>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</si>
  <si>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</si>
  <si>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</si>
  <si>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</si>
  <si>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</si>
  <si>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</si>
  <si>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</si>
  <si>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</si>
  <si>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</si>
  <si>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</si>
  <si>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</si>
  <si>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</si>
  <si>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</si>
  <si>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</si>
  <si>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</si>
  <si>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</si>
  <si>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</si>
  <si>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</si>
  <si>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</si>
  <si>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</si>
  <si>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</si>
  <si>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</si>
  <si>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</si>
  <si>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</si>
  <si>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</si>
  <si>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</si>
  <si>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</si>
  <si>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</si>
  <si>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</si>
  <si>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</si>
  <si>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</si>
  <si>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</si>
  <si>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</si>
  <si>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</si>
  <si>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</si>
  <si>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</si>
  <si>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</si>
  <si>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</si>
  <si>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</si>
  <si>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</si>
  <si>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</si>
  <si>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</si>
  <si>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</si>
  <si>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</si>
  <si>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</si>
  <si>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</si>
  <si>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</si>
  <si>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</si>
  <si>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</si>
  <si>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</si>
  <si>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</si>
  <si>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</si>
  <si>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</si>
  <si>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</si>
  <si>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</si>
  <si>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</si>
  <si>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</si>
  <si>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</si>
  <si>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</si>
  <si>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</si>
  <si>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</si>
  <si>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</si>
  <si>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</si>
  <si>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</si>
  <si>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</si>
  <si>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</si>
  <si>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</si>
  <si>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</si>
  <si>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</si>
  <si>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</si>
  <si>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</si>
  <si>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</si>
  <si>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</si>
  <si>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</si>
  <si>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</si>
  <si>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</si>
  <si>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</si>
  <si>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</si>
  <si>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</si>
  <si>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</si>
  <si>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</si>
  <si>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</si>
  <si>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</si>
  <si>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</si>
  <si>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</si>
  <si>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</si>
  <si>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</si>
  <si>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</si>
  <si>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</si>
  <si>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</si>
  <si>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</si>
  <si>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</si>
  <si>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</si>
  <si>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</si>
  <si>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</si>
  <si>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</si>
  <si>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</si>
  <si>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</si>
  <si>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</si>
  <si>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</si>
  <si>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</si>
  <si>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</si>
  <si>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</si>
  <si>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</si>
  <si>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</si>
  <si>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</si>
  <si>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</si>
  <si>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</si>
  <si>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</si>
  <si>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</si>
  <si>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</si>
  <si>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</si>
  <si>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</si>
  <si>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</si>
  <si>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</si>
  <si>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</si>
  <si>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</si>
  <si>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</si>
  <si>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</si>
  <si>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</si>
  <si>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</si>
  <si>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</si>
  <si>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</si>
  <si>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</si>
  <si>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</si>
  <si>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</si>
  <si>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</si>
  <si>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</si>
  <si>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</si>
  <si>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</si>
  <si>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</si>
  <si>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</si>
  <si>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</si>
  <si>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</si>
  <si>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</si>
  <si>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</si>
  <si>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</si>
  <si>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</si>
  <si>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</si>
  <si>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</si>
  <si>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</si>
  <si>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</si>
  <si>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</si>
  <si>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</si>
  <si>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</si>
  <si>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</si>
  <si>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</si>
  <si>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</si>
  <si>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</si>
  <si>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</si>
  <si>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</si>
  <si>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</si>
  <si>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</si>
  <si>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</si>
  <si>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</si>
  <si>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</si>
  <si>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</si>
  <si>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</si>
  <si>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</si>
  <si>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</si>
  <si>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</si>
  <si>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</si>
  <si>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</si>
  <si>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</si>
  <si>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</si>
  <si>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</si>
  <si>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</si>
  <si>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</si>
  <si>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</si>
  <si>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</si>
  <si>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</si>
  <si>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</si>
  <si>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</si>
  <si>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</si>
  <si>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</si>
  <si>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</si>
  <si>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</si>
  <si>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</si>
  <si>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</si>
  <si>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</si>
  <si>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</si>
  <si>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</si>
  <si>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</si>
  <si>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</si>
  <si>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</si>
  <si>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</si>
  <si>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</si>
  <si>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</si>
  <si>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</si>
  <si>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</si>
  <si>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</si>
  <si>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</si>
  <si>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</si>
  <si>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</si>
  <si>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</si>
  <si>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</si>
  <si>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</si>
  <si>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</si>
  <si>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</si>
  <si>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</si>
  <si>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</si>
  <si>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</si>
  <si>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</si>
  <si>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</si>
  <si>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</si>
  <si>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</si>
  <si>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</si>
  <si>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</si>
  <si>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</si>
  <si>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</si>
  <si>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</si>
  <si>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</si>
  <si>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</si>
  <si>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</si>
  <si>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</si>
  <si>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</si>
  <si>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</si>
  <si>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</si>
  <si>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</si>
  <si>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</si>
  <si>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</si>
  <si>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</si>
  <si>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</si>
  <si>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</si>
  <si>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</si>
  <si>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</si>
  <si>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</si>
  <si>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</si>
  <si>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</si>
  <si>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</si>
  <si>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</si>
  <si>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</si>
  <si>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</si>
  <si>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</si>
  <si>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</si>
  <si>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</si>
  <si>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</si>
  <si>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</si>
  <si>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</si>
  <si>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</si>
  <si>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</si>
  <si>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</si>
  <si>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</si>
  <si>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</si>
  <si>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</si>
  <si>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</si>
  <si>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</si>
  <si>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</si>
  <si>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</si>
  <si>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</si>
  <si>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</si>
  <si>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</si>
  <si>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</si>
  <si>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</si>
  <si>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</si>
  <si>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</si>
  <si>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</si>
  <si>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</si>
  <si>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</si>
  <si>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</si>
  <si>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</si>
  <si>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</si>
  <si>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</si>
  <si>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</si>
  <si>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</si>
  <si>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</si>
  <si>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</si>
  <si>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</si>
  <si>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</si>
  <si>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</si>
  <si>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</si>
  <si>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</si>
  <si>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</si>
  <si>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</si>
  <si>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</si>
  <si>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</si>
  <si>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</si>
  <si>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</si>
  <si>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</si>
  <si>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</si>
  <si>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</si>
  <si>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</si>
  <si>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</si>
  <si>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</si>
  <si>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</si>
  <si>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</si>
  <si>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</si>
  <si>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</si>
  <si>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</si>
  <si>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</si>
  <si>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</si>
  <si>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</si>
  <si>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</si>
  <si>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</si>
  <si>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</si>
  <si>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</si>
  <si>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</si>
  <si>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</si>
  <si>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</si>
  <si>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</si>
  <si>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</si>
  <si>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</si>
  <si>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</si>
  <si>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</si>
  <si>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</si>
  <si>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</si>
  <si>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</si>
  <si>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</si>
  <si>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</si>
  <si>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</si>
  <si>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</si>
  <si>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</si>
  <si>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</si>
  <si>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</si>
  <si>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</si>
  <si>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</si>
  <si>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</si>
  <si>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</si>
  <si>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</si>
  <si>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</si>
  <si>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</si>
  <si>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</si>
  <si>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</si>
  <si>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</si>
  <si>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</si>
  <si>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</si>
  <si>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</si>
  <si>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</si>
  <si>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</si>
  <si>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</si>
  <si>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</si>
  <si>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</si>
  <si>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</si>
  <si>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</si>
  <si>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</si>
  <si>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</si>
  <si>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</si>
  <si>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</si>
  <si>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</si>
  <si>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</si>
  <si>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</si>
  <si>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</si>
  <si>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</si>
  <si>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</si>
  <si>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</si>
  <si>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</si>
  <si>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</si>
  <si>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</si>
  <si>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</si>
  <si>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</si>
  <si>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</si>
  <si>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</si>
  <si>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</si>
  <si>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</si>
  <si>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</si>
  <si>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</si>
  <si>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</si>
  <si>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</si>
  <si>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</si>
  <si>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</si>
  <si>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</si>
  <si>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</si>
  <si>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</si>
  <si>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</si>
  <si>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</si>
  <si>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</si>
  <si>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</si>
  <si>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</si>
  <si>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</si>
  <si>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</si>
  <si>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</si>
  <si>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</si>
  <si>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</si>
  <si>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</si>
  <si>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</si>
  <si>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</si>
  <si>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</si>
  <si>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</si>
  <si>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</si>
  <si>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</si>
  <si>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</si>
  <si>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</si>
  <si>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</si>
  <si>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</si>
  <si>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</si>
  <si>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</si>
  <si>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</si>
  <si>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</si>
  <si>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</si>
  <si>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</si>
  <si>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</si>
  <si>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</si>
  <si>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</si>
  <si>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</si>
  <si>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</si>
  <si>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</si>
  <si>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</si>
  <si>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</si>
  <si>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</si>
  <si>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</si>
  <si>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</si>
  <si>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</si>
  <si>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</si>
  <si>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</si>
  <si>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</si>
  <si>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</si>
  <si>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</si>
  <si>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</si>
  <si>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</si>
  <si>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</si>
  <si>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</si>
  <si>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</si>
  <si>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</si>
  <si>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</si>
  <si>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</si>
  <si>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</si>
  <si>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</si>
  <si>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</si>
  <si>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</si>
  <si>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</si>
  <si>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</si>
  <si>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</si>
  <si>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</si>
  <si>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</si>
  <si>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</si>
  <si>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</si>
  <si>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</si>
  <si>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</si>
  <si>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</si>
  <si>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</si>
  <si>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</si>
  <si>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</si>
  <si>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</si>
  <si>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</si>
  <si>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</si>
  <si>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</si>
  <si>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</si>
  <si>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</si>
  <si>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</si>
  <si>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</si>
  <si>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</si>
  <si>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</si>
  <si>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</si>
  <si>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</si>
  <si>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</si>
  <si>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</si>
  <si>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</si>
  <si>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</si>
  <si>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</si>
  <si>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</si>
  <si>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</si>
  <si>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</si>
  <si>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</si>
  <si>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</si>
  <si>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</si>
  <si>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</si>
  <si>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</si>
  <si>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</si>
  <si>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</si>
  <si>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</si>
  <si>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</si>
  <si>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</si>
  <si>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</si>
  <si>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</si>
  <si>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</si>
  <si>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</si>
  <si>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</si>
  <si>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</si>
  <si>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</si>
  <si>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</si>
  <si>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</si>
  <si>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</si>
  <si>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</si>
  <si>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</si>
  <si>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</si>
  <si>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</si>
  <si>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</si>
  <si>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</si>
  <si>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</si>
  <si>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</si>
  <si>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</si>
  <si>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</si>
  <si>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</si>
  <si>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</si>
  <si>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</si>
  <si>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</si>
  <si>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</si>
  <si>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</si>
  <si>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</si>
  <si>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</si>
  <si>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</si>
  <si>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</si>
  <si>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</si>
  <si>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</si>
  <si>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</si>
  <si>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</si>
  <si>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</si>
  <si>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</si>
  <si>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</si>
  <si>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</si>
  <si>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</si>
  <si>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</si>
  <si>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</si>
  <si>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</si>
  <si>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</si>
  <si>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</si>
  <si>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</si>
  <si>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</si>
  <si>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</si>
  <si>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</si>
  <si>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</si>
  <si>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</si>
  <si>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</si>
  <si>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</si>
  <si>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</si>
  <si>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</si>
  <si>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</si>
  <si>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</si>
  <si>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</si>
  <si>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</si>
  <si>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</si>
  <si>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</si>
  <si>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</si>
  <si>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</si>
  <si>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</si>
  <si>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</si>
  <si>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</si>
  <si>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</si>
  <si>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</si>
  <si>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</si>
  <si>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</si>
  <si>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</si>
  <si>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</si>
  <si>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</si>
  <si>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</si>
  <si>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</si>
  <si>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</si>
  <si>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</si>
  <si>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</si>
  <si>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</si>
  <si>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</si>
  <si>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</si>
  <si>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</si>
  <si>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</si>
  <si>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</si>
  <si>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</si>
  <si>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</si>
  <si>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</si>
  <si>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</si>
  <si>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</si>
  <si>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</si>
  <si>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</si>
  <si>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</si>
  <si>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</si>
  <si>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</si>
  <si>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</si>
  <si>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</si>
  <si>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</si>
  <si>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</si>
  <si>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</si>
  <si>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</si>
  <si>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</si>
  <si>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</si>
  <si>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</si>
  <si>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</si>
  <si>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</si>
  <si>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</si>
  <si>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</si>
  <si>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</si>
  <si>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</si>
  <si>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</si>
  <si>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</si>
  <si>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</si>
  <si>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</si>
  <si>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</si>
  <si>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</si>
  <si>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</si>
  <si>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</si>
  <si>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</si>
  <si>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</si>
  <si>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</si>
  <si>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</si>
  <si>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</si>
  <si>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</si>
  <si>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</si>
  <si>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</si>
  <si>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</si>
  <si>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</si>
  <si>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</si>
  <si>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</si>
  <si>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</si>
  <si>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</si>
  <si>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</si>
  <si>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</si>
  <si>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</si>
  <si>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</si>
  <si>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</si>
  <si>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</si>
  <si>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</si>
  <si>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</si>
  <si>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</si>
  <si>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</si>
  <si>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</si>
  <si>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</si>
  <si>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</si>
  <si>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</si>
  <si>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</si>
  <si>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</si>
  <si>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</si>
  <si>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</si>
  <si>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</si>
  <si>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</si>
  <si>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</si>
  <si>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</si>
  <si>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</si>
  <si>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</si>
  <si>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</si>
  <si>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</si>
  <si>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</si>
  <si>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</si>
  <si>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</si>
  <si>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</si>
  <si>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</si>
  <si>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</si>
  <si>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</si>
  <si>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</si>
  <si>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</si>
  <si>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</si>
  <si>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</si>
  <si>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</si>
  <si>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</si>
  <si>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</si>
  <si>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</si>
  <si>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</si>
  <si>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</si>
  <si>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</si>
  <si>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</si>
  <si>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</si>
  <si>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</si>
  <si>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</si>
  <si>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</si>
  <si>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</si>
  <si>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</si>
  <si>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</si>
  <si>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</si>
  <si>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</si>
  <si>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</si>
  <si>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</si>
  <si>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</si>
  <si>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</si>
  <si>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</si>
  <si>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</si>
  <si>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</si>
  <si>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</si>
  <si>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</si>
  <si>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</si>
  <si>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</si>
  <si>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</si>
  <si>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</si>
  <si>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</si>
  <si>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</si>
  <si>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</si>
  <si>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</si>
  <si>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</si>
  <si>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</si>
  <si>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</si>
  <si>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</si>
  <si>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</si>
  <si>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</si>
  <si>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</si>
  <si>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</si>
  <si>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</si>
  <si>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</si>
  <si>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</si>
  <si>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</si>
  <si>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</si>
  <si>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</si>
  <si>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</si>
  <si>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</si>
  <si>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</si>
  <si>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</si>
  <si>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</si>
  <si>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</si>
  <si>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</si>
  <si>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</si>
  <si>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</si>
  <si>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</si>
  <si>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</si>
  <si>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</si>
  <si>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</si>
  <si>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</si>
  <si>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</si>
  <si>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</si>
  <si>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</si>
  <si>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</si>
  <si>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</si>
  <si>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</si>
  <si>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</si>
  <si>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</si>
  <si>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</si>
  <si>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</si>
  <si>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</si>
  <si>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</si>
  <si>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</si>
  <si>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</si>
  <si>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</si>
  <si>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</si>
  <si>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</si>
  <si>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</si>
  <si>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</si>
  <si>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</si>
  <si>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</si>
  <si>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</si>
  <si>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</si>
  <si>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</si>
  <si>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</si>
  <si>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</si>
  <si>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</si>
  <si>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</si>
  <si>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</si>
  <si>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</si>
  <si>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</si>
  <si>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</si>
  <si>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</si>
  <si>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</si>
  <si>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</si>
  <si>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</si>
  <si>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</si>
  <si>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</si>
  <si>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</si>
  <si>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</si>
  <si>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</si>
  <si>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</si>
  <si>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</si>
  <si>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</si>
  <si>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</si>
  <si>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</si>
  <si>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</si>
  <si>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</si>
  <si>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</si>
  <si>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</si>
  <si>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</si>
  <si>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</si>
  <si>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</si>
  <si>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</si>
  <si>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</si>
  <si>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</si>
  <si>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</si>
  <si>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</si>
  <si>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</si>
  <si>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</si>
  <si>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</si>
  <si>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</si>
  <si>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</si>
  <si>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</si>
  <si>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</si>
  <si>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</si>
  <si>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</si>
  <si>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</si>
  <si>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</si>
  <si>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</si>
  <si>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</si>
  <si>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</si>
  <si>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</si>
  <si>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</si>
  <si>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</si>
  <si>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</si>
  <si>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</si>
  <si>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</si>
  <si>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</si>
  <si>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</si>
  <si>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</si>
  <si>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</si>
  <si>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</si>
  <si>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</si>
  <si>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</si>
  <si>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</si>
  <si>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</si>
  <si>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</si>
  <si>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</si>
  <si>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</si>
  <si>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</si>
  <si>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</si>
  <si>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</si>
  <si>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</si>
  <si>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</si>
  <si>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</si>
  <si>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</si>
  <si>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</si>
  <si>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</si>
  <si>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</si>
  <si>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</si>
  <si>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</si>
  <si>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</si>
  <si>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</si>
  <si>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</si>
  <si>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</si>
  <si>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</si>
  <si>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</si>
  <si>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</si>
  <si>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</si>
  <si>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</si>
  <si>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</si>
  <si>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</si>
  <si>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</si>
  <si>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</si>
  <si>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</si>
  <si>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</si>
  <si>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</si>
  <si>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</si>
  <si>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</si>
  <si>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</si>
  <si>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</si>
  <si>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</si>
  <si>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</si>
  <si>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</si>
  <si>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</si>
  <si>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</si>
  <si>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</si>
  <si>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</si>
  <si>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</si>
  <si>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</si>
  <si>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</si>
  <si>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</si>
  <si>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</si>
  <si>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</si>
  <si>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</si>
  <si>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</si>
  <si>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</si>
  <si>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</si>
  <si>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</si>
  <si>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</si>
  <si>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</si>
  <si>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</si>
  <si>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</si>
  <si>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</si>
  <si>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</si>
  <si>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</si>
  <si>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</si>
  <si>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</si>
  <si>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</si>
  <si>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</si>
  <si>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</si>
  <si>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</si>
  <si>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</si>
  <si>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</si>
  <si>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</si>
  <si>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</si>
  <si>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</si>
  <si>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</si>
  <si>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</si>
  <si>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</si>
  <si>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</si>
  <si>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</si>
  <si>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</si>
  <si>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</si>
  <si>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</si>
  <si>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</si>
  <si>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</si>
  <si>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</si>
  <si>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</si>
  <si>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</si>
  <si>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</si>
  <si>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</si>
  <si>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</si>
  <si>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</si>
  <si>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</si>
  <si>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</si>
  <si>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</si>
  <si>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</si>
  <si>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</si>
  <si>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</si>
  <si>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</si>
  <si>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</si>
  <si>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</si>
  <si>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</si>
  <si>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</si>
  <si>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</si>
  <si>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</si>
  <si>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</si>
  <si>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</si>
  <si>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</si>
  <si>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</si>
  <si>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</si>
  <si>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</si>
  <si>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</si>
  <si>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</si>
  <si>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</si>
  <si>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</si>
  <si>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</si>
  <si>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</si>
  <si>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</si>
  <si>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</si>
  <si>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</si>
  <si>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</si>
  <si>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</si>
  <si>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</si>
  <si>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</si>
  <si>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</si>
  <si>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</si>
  <si>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</si>
  <si>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</si>
  <si>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</si>
  <si>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</si>
  <si>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</si>
  <si>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</si>
  <si>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</si>
  <si>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</si>
  <si>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</si>
  <si>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</si>
  <si>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</si>
  <si>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</si>
  <si>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</si>
  <si>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</si>
  <si>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</si>
  <si>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</si>
  <si>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</si>
  <si>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</si>
  <si>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</si>
  <si>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</si>
  <si>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</si>
  <si>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</si>
  <si>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</si>
  <si>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</si>
  <si>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</si>
  <si>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</si>
  <si>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</si>
  <si>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</si>
  <si>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</si>
  <si>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</si>
  <si>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</si>
  <si>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</si>
  <si>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</si>
  <si>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</si>
  <si>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</si>
  <si>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</si>
  <si>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</si>
  <si>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</si>
  <si>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</si>
  <si>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</si>
  <si>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</si>
  <si>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</si>
  <si>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</si>
  <si>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</si>
  <si>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</si>
  <si>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</si>
  <si>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</si>
  <si>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</si>
  <si>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</si>
  <si>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</si>
  <si>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</si>
  <si>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</si>
  <si>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</si>
  <si>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</si>
  <si>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</si>
  <si>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</si>
  <si>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</si>
  <si>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</si>
  <si>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</si>
  <si>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</si>
  <si>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</si>
  <si>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</si>
  <si>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</si>
  <si>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</si>
  <si>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</si>
  <si>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</si>
  <si>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</si>
  <si>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</si>
  <si>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</si>
  <si>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</si>
  <si>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</si>
  <si>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</si>
  <si>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</si>
  <si>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</si>
  <si>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</si>
  <si>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</si>
  <si>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</si>
  <si>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</si>
  <si>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</si>
  <si>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</si>
  <si>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</si>
  <si>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</si>
  <si>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</si>
  <si>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</si>
  <si>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</si>
  <si>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</si>
  <si>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</si>
  <si>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</si>
  <si>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</si>
  <si>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</si>
  <si>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</si>
  <si>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</si>
  <si>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</si>
  <si>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</si>
  <si>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</si>
  <si>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</si>
  <si>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</si>
  <si>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</si>
  <si>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</si>
  <si>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</si>
  <si>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</si>
  <si>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</si>
  <si>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</si>
  <si>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</si>
  <si>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</si>
  <si>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</si>
  <si>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</si>
  <si>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</si>
  <si>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</si>
  <si>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</si>
  <si>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</si>
  <si>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</si>
  <si>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</si>
  <si>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</si>
  <si>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</si>
  <si>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</si>
  <si>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</si>
  <si>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</si>
  <si>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</si>
  <si>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</si>
  <si>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</si>
  <si>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</si>
  <si>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</si>
  <si>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</si>
  <si>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</si>
  <si>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</si>
  <si>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</si>
  <si>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</si>
  <si>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</si>
  <si>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</si>
  <si>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</si>
  <si>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</si>
  <si>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</si>
  <si>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</si>
  <si>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</si>
  <si>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</si>
  <si>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</si>
  <si>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</si>
  <si>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</si>
  <si>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</si>
  <si>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</si>
  <si>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</si>
  <si>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</si>
  <si>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</si>
  <si>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</si>
  <si>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</si>
  <si>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</si>
  <si>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</si>
  <si>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</si>
  <si>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</si>
  <si>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</si>
  <si>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</si>
  <si>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</si>
  <si>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</si>
  <si>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</si>
  <si>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</si>
  <si>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</si>
  <si>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</si>
  <si>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</si>
  <si>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</si>
  <si>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</si>
  <si>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</si>
  <si>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</si>
  <si>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</si>
  <si>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</si>
  <si>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</si>
  <si>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</si>
  <si>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</si>
  <si>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</si>
  <si>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</si>
  <si>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</si>
  <si>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</si>
  <si>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</si>
  <si>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</si>
  <si>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</si>
  <si>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</si>
  <si>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</si>
  <si>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</si>
  <si>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</si>
  <si>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</si>
  <si>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</si>
  <si>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</si>
  <si>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</si>
  <si>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</si>
  <si>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</si>
  <si>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</si>
  <si>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</si>
  <si>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</si>
  <si>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</si>
  <si>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</si>
  <si>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</si>
  <si>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</si>
  <si>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</si>
  <si>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</si>
  <si>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</si>
  <si>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</si>
  <si>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</si>
  <si>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</si>
  <si>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</si>
  <si>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</si>
  <si>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</si>
  <si>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</si>
  <si>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</si>
  <si>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</si>
  <si>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</si>
  <si>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</si>
  <si>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</si>
  <si>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</si>
  <si>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</si>
  <si>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</si>
  <si>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</si>
  <si>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</si>
  <si>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</si>
  <si>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</si>
  <si>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</si>
  <si>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</si>
  <si>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</si>
  <si>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</si>
  <si>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</si>
  <si>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</si>
  <si>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</si>
  <si>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</si>
  <si>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</si>
  <si>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</si>
  <si>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</si>
  <si>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</si>
  <si>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</si>
  <si>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</si>
  <si>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</si>
  <si>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</si>
  <si>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</si>
  <si>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</si>
  <si>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</si>
  <si>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</si>
  <si>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</si>
  <si>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</si>
  <si>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</si>
  <si>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</si>
  <si>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</si>
  <si>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</si>
  <si>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</si>
  <si>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</si>
  <si>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</si>
  <si>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</si>
  <si>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</si>
  <si>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</si>
  <si>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</si>
  <si>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</si>
  <si>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</si>
  <si>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</si>
  <si>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</si>
  <si>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</si>
  <si>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</si>
  <si>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</si>
  <si>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</si>
  <si>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</si>
  <si>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</si>
  <si>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</si>
  <si>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</si>
  <si>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</si>
  <si>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</si>
  <si>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</si>
  <si>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</si>
  <si>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</si>
  <si>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</si>
  <si>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</si>
  <si>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</si>
  <si>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</si>
  <si>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</si>
  <si>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</si>
  <si>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</si>
  <si>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</si>
  <si>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</si>
  <si>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</si>
  <si>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</si>
  <si>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</si>
  <si>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</si>
  <si>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</si>
  <si>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</si>
  <si>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</si>
  <si>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</si>
  <si>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</si>
  <si>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</si>
  <si>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</si>
  <si>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</si>
  <si>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</si>
  <si>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</si>
  <si>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</si>
  <si>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</si>
  <si>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</si>
  <si>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</si>
  <si>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</si>
  <si>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</si>
  <si>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</si>
  <si>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</si>
  <si>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</si>
  <si>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</si>
  <si>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</si>
  <si>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</si>
  <si>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</si>
  <si>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</si>
  <si>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</si>
  <si>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</si>
  <si>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</si>
  <si>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</si>
  <si>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</si>
  <si>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</si>
  <si>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</si>
  <si>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</si>
  <si>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</si>
  <si>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</si>
  <si>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</si>
  <si>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</si>
  <si>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</si>
  <si>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</si>
  <si>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</si>
  <si>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</si>
  <si>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</si>
  <si>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</si>
  <si>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</si>
  <si>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</si>
  <si>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</si>
  <si>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</si>
  <si>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</si>
  <si>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</si>
  <si>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</si>
  <si>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</si>
  <si>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</si>
  <si>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</si>
  <si>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</si>
  <si>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</si>
  <si>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</si>
  <si>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</si>
  <si>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</si>
  <si>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</si>
  <si>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</si>
  <si>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</si>
  <si>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</si>
  <si>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</si>
  <si>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</si>
  <si>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</si>
  <si>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</si>
  <si>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</si>
  <si>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</si>
  <si>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</si>
  <si>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</si>
  <si>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</si>
  <si>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</si>
  <si>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</si>
  <si>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</si>
  <si>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</si>
  <si>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</si>
  <si>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</si>
  <si>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</si>
  <si>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</si>
  <si>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</si>
  <si>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</si>
  <si>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</si>
  <si>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</si>
  <si>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</si>
  <si>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</si>
  <si>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</si>
  <si>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</si>
  <si>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</si>
  <si>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</si>
  <si>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</si>
  <si>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</si>
  <si>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</si>
  <si>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</si>
  <si>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</si>
  <si>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</si>
  <si>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</si>
  <si>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</si>
  <si>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</si>
  <si>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</si>
  <si>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</si>
  <si>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</si>
  <si>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</si>
  <si>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</si>
  <si>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</si>
  <si>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</si>
  <si>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</si>
  <si>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</si>
  <si>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</si>
  <si>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</si>
  <si>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</si>
  <si>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</si>
  <si>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</si>
  <si>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</si>
  <si>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</si>
  <si>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</si>
  <si>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</si>
  <si>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</si>
  <si>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</si>
  <si>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</si>
  <si>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</si>
  <si>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</si>
  <si>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</si>
  <si>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</si>
  <si>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</si>
  <si>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</si>
  <si>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</si>
  <si>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</si>
  <si>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</si>
  <si>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</si>
  <si>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</si>
  <si>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</si>
  <si>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</si>
  <si>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</si>
  <si>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</si>
  <si>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</si>
  <si>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</si>
  <si>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</si>
  <si>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</si>
  <si>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</si>
  <si>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</si>
  <si>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</si>
  <si>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</si>
  <si>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</si>
  <si>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</si>
  <si>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</si>
  <si>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</si>
  <si>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</si>
  <si>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</si>
  <si>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</si>
  <si>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</si>
  <si>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</si>
  <si>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</si>
  <si>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</si>
  <si>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</si>
  <si>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</si>
  <si>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</si>
  <si>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</si>
  <si>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</si>
  <si>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</si>
  <si>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</si>
  <si>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</si>
  <si>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</si>
  <si>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</si>
  <si>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</si>
  <si>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</si>
  <si>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</si>
  <si>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</si>
  <si>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</si>
  <si>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</si>
  <si>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</si>
  <si>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</si>
  <si>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</si>
  <si>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</si>
  <si>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</si>
  <si>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</si>
  <si>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</si>
  <si>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</si>
  <si>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</si>
  <si>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</si>
  <si>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</si>
  <si>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</si>
  <si>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</si>
  <si>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</si>
  <si>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</si>
  <si>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</si>
  <si>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</si>
  <si>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</si>
  <si>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</si>
  <si>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</si>
  <si>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</si>
  <si>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</si>
  <si>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</si>
  <si>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</si>
  <si>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</si>
  <si>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</si>
  <si>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</si>
  <si>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</si>
  <si>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</si>
  <si>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</si>
  <si>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</si>
  <si>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</si>
  <si>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</si>
  <si>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</si>
  <si>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</si>
  <si>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</si>
  <si>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</si>
  <si>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</si>
  <si>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</si>
  <si>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</si>
  <si>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</si>
  <si>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</si>
  <si>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</si>
  <si>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</si>
  <si>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</si>
  <si>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</si>
  <si>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</si>
  <si>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</si>
  <si>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</si>
  <si>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</si>
  <si>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</si>
  <si>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</si>
  <si>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</si>
  <si>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</si>
  <si>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</si>
  <si>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</si>
  <si>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</si>
  <si>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</si>
  <si>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</si>
  <si>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</si>
  <si>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</si>
  <si>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</si>
  <si>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</si>
  <si>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</si>
  <si>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</si>
  <si>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</si>
  <si>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</si>
  <si>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</si>
  <si>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</si>
  <si>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</si>
  <si>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</si>
  <si>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</si>
  <si>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</si>
  <si>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</si>
  <si>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</si>
  <si>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</si>
  <si>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</si>
  <si>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</si>
  <si>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</si>
  <si>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</si>
  <si>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</si>
  <si>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</si>
  <si>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</si>
  <si>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</si>
  <si>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</si>
  <si>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</si>
  <si>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</si>
  <si>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</si>
  <si>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</si>
  <si>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</si>
  <si>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</si>
  <si>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</si>
  <si>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</si>
  <si>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</si>
  <si>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</si>
  <si>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</si>
  <si>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</si>
  <si>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</si>
  <si>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</si>
  <si>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</si>
  <si>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</si>
  <si>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</si>
  <si>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</si>
  <si>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</si>
  <si>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</si>
  <si>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</si>
  <si>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</si>
  <si>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</si>
  <si>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</si>
  <si>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</si>
  <si>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</si>
  <si>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</si>
  <si>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</si>
  <si>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</si>
  <si>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</si>
  <si>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</si>
  <si>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</si>
  <si>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</si>
  <si>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</si>
  <si>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</si>
  <si>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</si>
  <si>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</si>
  <si>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</si>
  <si>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</si>
  <si>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</si>
  <si>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</si>
  <si>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</si>
  <si>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</si>
  <si>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</si>
  <si>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</si>
  <si>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</si>
  <si>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</si>
  <si>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</si>
  <si>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</si>
  <si>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</si>
  <si>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</si>
  <si>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</si>
  <si>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</si>
  <si>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</si>
  <si>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</si>
  <si>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</si>
  <si>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</si>
  <si>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</si>
  <si>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</si>
  <si>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</si>
  <si>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</si>
  <si>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</si>
  <si>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</si>
  <si>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</si>
  <si>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</si>
  <si>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</si>
  <si>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</si>
  <si>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</si>
  <si>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</si>
  <si>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</si>
  <si>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</si>
  <si>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</si>
  <si>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</si>
  <si>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</si>
  <si>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</si>
  <si>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</si>
  <si>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</si>
  <si>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</si>
  <si>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</si>
  <si>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</si>
  <si>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</si>
  <si>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</si>
  <si>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</si>
  <si>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</si>
  <si>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</si>
  <si>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</si>
  <si>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</si>
  <si>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</si>
  <si>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</si>
  <si>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</si>
  <si>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</si>
  <si>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</si>
  <si>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</si>
  <si>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</si>
  <si>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</si>
  <si>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</si>
  <si>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</si>
  <si>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</si>
  <si>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</si>
  <si>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</si>
  <si>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</si>
  <si>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</si>
  <si>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</si>
  <si>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</si>
  <si>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</si>
  <si>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</si>
  <si>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</si>
  <si>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</si>
  <si>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</si>
  <si>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</si>
  <si>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</si>
  <si>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</si>
  <si>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</si>
  <si>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</si>
  <si>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</si>
  <si>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</si>
  <si>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</si>
  <si>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</si>
  <si>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</si>
  <si>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</si>
  <si>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</si>
  <si>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</si>
  <si>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</si>
  <si>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</si>
  <si>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</si>
  <si>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</si>
  <si>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</si>
  <si>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</si>
  <si>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</si>
  <si>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</si>
  <si>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</si>
  <si>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</si>
  <si>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</si>
  <si>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</si>
  <si>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</si>
  <si>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</si>
  <si>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</si>
  <si>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</si>
  <si>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</si>
  <si>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</si>
  <si>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</si>
  <si>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</si>
  <si>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</si>
  <si>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</si>
  <si>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</si>
  <si>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</si>
  <si>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</si>
  <si>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</si>
  <si>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</si>
  <si>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</si>
  <si>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</si>
  <si>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</si>
  <si>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</si>
  <si>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</si>
  <si>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</si>
  <si>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</si>
  <si>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</si>
  <si>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</si>
  <si>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</si>
  <si>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</si>
  <si>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</si>
  <si>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</si>
  <si>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</si>
  <si>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</si>
  <si>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</si>
  <si>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</si>
  <si>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</si>
  <si>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</si>
  <si>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</si>
  <si>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</si>
  <si>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</si>
  <si>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</si>
  <si>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</si>
  <si>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</si>
  <si>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</si>
  <si>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</si>
  <si>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</si>
  <si>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</si>
  <si>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</si>
  <si>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</si>
  <si>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</si>
  <si>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</si>
  <si>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</si>
  <si>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</si>
  <si>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</si>
  <si>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</si>
  <si>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</si>
  <si>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</si>
  <si>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</si>
  <si>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</si>
  <si>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</si>
  <si>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</si>
  <si>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</si>
  <si>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</si>
  <si>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</si>
  <si>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</si>
  <si>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</si>
  <si>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</si>
  <si>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</si>
  <si>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</si>
  <si>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</si>
  <si>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</si>
  <si>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</si>
  <si>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</si>
  <si>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</si>
  <si>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</si>
  <si>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</si>
  <si>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</si>
  <si>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</si>
  <si>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</si>
  <si>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</si>
  <si>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</si>
  <si>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</si>
  <si>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</si>
  <si>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</si>
  <si>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</si>
  <si>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</si>
  <si>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</si>
  <si>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</si>
  <si>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</si>
  <si>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</si>
  <si>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</si>
  <si>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</si>
  <si>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</si>
  <si>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</si>
  <si>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</si>
  <si>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</si>
  <si>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</si>
  <si>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</si>
  <si>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</si>
  <si>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</si>
  <si>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</si>
  <si>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</si>
  <si>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</si>
  <si>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</si>
  <si>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</si>
  <si>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</si>
  <si>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</si>
  <si>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</si>
  <si>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</si>
  <si>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</si>
  <si>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</si>
  <si>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</si>
  <si>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</si>
  <si>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</si>
  <si>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</si>
  <si>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</si>
  <si>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</si>
  <si>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</si>
  <si>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</si>
  <si>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</si>
  <si>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</si>
  <si>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</si>
  <si>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</si>
  <si>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</si>
  <si>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</si>
  <si>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</si>
  <si>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</si>
  <si>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</si>
  <si>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</si>
  <si>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</si>
  <si>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</si>
  <si>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</si>
  <si>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</si>
  <si>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</si>
  <si>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</si>
  <si>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</si>
  <si>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</si>
  <si>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</si>
  <si>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</si>
  <si>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</si>
  <si>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</si>
  <si>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</si>
  <si>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</si>
  <si>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</si>
  <si>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</si>
  <si>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</si>
  <si>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</si>
  <si>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</si>
  <si>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</si>
  <si>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</si>
  <si>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</si>
  <si>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</si>
  <si>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</si>
  <si>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</si>
  <si>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</si>
  <si>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</si>
  <si>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</si>
  <si>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</si>
  <si>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</si>
  <si>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</si>
  <si>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</si>
  <si>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</si>
  <si>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</si>
  <si>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</si>
  <si>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</si>
  <si>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</si>
  <si>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</si>
  <si>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</si>
  <si>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</si>
  <si>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</si>
  <si>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</si>
  <si>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</si>
  <si>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</si>
  <si>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</si>
  <si>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</si>
  <si>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</si>
  <si>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</si>
  <si>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</si>
  <si>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</si>
  <si>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</si>
  <si>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</si>
  <si>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</si>
  <si>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</si>
  <si>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</si>
  <si>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</si>
  <si>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</si>
  <si>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</si>
  <si>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</si>
  <si>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</si>
  <si>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</si>
  <si>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</si>
  <si>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</si>
  <si>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</si>
  <si>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</si>
  <si>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</si>
  <si>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</si>
  <si>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</si>
  <si>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</si>
  <si>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</si>
  <si>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</si>
  <si>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</si>
  <si>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</si>
  <si>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</si>
  <si>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</si>
  <si>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</si>
  <si>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</si>
  <si>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</si>
  <si>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</si>
  <si>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</si>
  <si>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</si>
  <si>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</si>
  <si>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</si>
  <si>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</si>
  <si>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</si>
  <si>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</si>
  <si>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</si>
  <si>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</si>
  <si>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</si>
  <si>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</si>
  <si>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</si>
  <si>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</si>
  <si>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</si>
  <si>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</si>
  <si>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</si>
  <si>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</si>
  <si>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</si>
  <si>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</si>
  <si>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</si>
  <si>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</si>
  <si>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</si>
  <si>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</si>
  <si>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</si>
  <si>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</si>
  <si>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</si>
  <si>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</si>
  <si>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</si>
  <si>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</si>
  <si>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</si>
  <si>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</si>
  <si>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</si>
  <si>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</si>
  <si>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</si>
  <si>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</si>
  <si>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</si>
  <si>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</si>
  <si>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</si>
  <si>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</si>
  <si>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</si>
  <si>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</si>
  <si>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</si>
  <si>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</si>
  <si>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</si>
  <si>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</si>
  <si>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</si>
  <si>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</si>
  <si>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</si>
  <si>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</si>
  <si>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</si>
  <si>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</si>
  <si>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</si>
  <si>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</si>
  <si>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</si>
  <si>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</si>
  <si>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</si>
  <si>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</si>
  <si>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</si>
  <si>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</si>
  <si>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</si>
  <si>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</si>
  <si>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</si>
  <si>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</si>
  <si>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</si>
  <si>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</si>
  <si>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</si>
  <si>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</si>
  <si>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</si>
  <si>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</si>
  <si>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</si>
  <si>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</si>
  <si>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</si>
  <si>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</si>
  <si>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</si>
  <si>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</si>
  <si>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</si>
  <si>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</si>
  <si>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</si>
  <si>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</si>
  <si>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</si>
  <si>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</si>
  <si>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</si>
  <si>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</si>
  <si>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</si>
  <si>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</si>
  <si>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</si>
  <si>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</si>
  <si>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</si>
  <si>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</si>
  <si>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</si>
  <si>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</si>
  <si>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</si>
  <si>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</si>
  <si>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</si>
  <si>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</si>
  <si>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</si>
  <si>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</si>
  <si>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</si>
  <si>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</si>
  <si>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</si>
  <si>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</si>
  <si>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</si>
  <si>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</si>
  <si>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</si>
  <si>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</si>
  <si>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</si>
  <si>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</si>
  <si>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</si>
  <si>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</si>
  <si>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</si>
  <si>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</si>
  <si>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</si>
  <si>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</si>
  <si>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</si>
  <si>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</si>
  <si>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</si>
  <si>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</si>
  <si>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</si>
  <si>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</si>
  <si>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</si>
  <si>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</si>
  <si>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</si>
  <si>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</si>
  <si>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</si>
  <si>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</si>
  <si>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</si>
  <si>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</si>
  <si>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</si>
  <si>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</si>
  <si>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</si>
  <si>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</si>
  <si>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</si>
  <si>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</si>
  <si>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</si>
  <si>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</si>
  <si>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</si>
  <si>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</si>
  <si>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</si>
  <si>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</si>
  <si>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</si>
  <si>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</si>
  <si>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</si>
  <si>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</si>
  <si>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</si>
  <si>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</si>
  <si>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</si>
  <si>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</si>
  <si>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</si>
  <si>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</si>
  <si>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</si>
  <si>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</si>
  <si>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</si>
  <si>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</si>
  <si>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</si>
  <si>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</si>
  <si>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</si>
  <si>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</si>
  <si>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</si>
  <si>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</si>
  <si>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</si>
  <si>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</si>
  <si>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</si>
  <si>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</si>
  <si>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</si>
  <si>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</si>
  <si>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</si>
  <si>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</si>
  <si>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</si>
  <si>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</si>
  <si>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</si>
  <si>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</si>
  <si>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</si>
  <si>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</si>
  <si>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</si>
  <si>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</si>
  <si>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</si>
  <si>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</si>
  <si>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</si>
  <si>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</si>
  <si>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</si>
  <si>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</si>
  <si>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</si>
  <si>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</si>
  <si>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</si>
  <si>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</si>
  <si>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</si>
  <si>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</si>
  <si>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</si>
  <si>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</si>
  <si>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</si>
  <si>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</si>
  <si>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</si>
  <si>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</si>
  <si>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</si>
  <si>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</si>
  <si>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</si>
  <si>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</si>
  <si>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</si>
  <si>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</si>
  <si>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</si>
  <si>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</si>
  <si>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</si>
  <si>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</si>
  <si>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</si>
  <si>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</si>
  <si>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</si>
  <si>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</si>
  <si>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</si>
  <si>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</si>
  <si>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</si>
  <si>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</si>
  <si>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</si>
  <si>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</si>
  <si>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</si>
  <si>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</si>
  <si>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</si>
  <si>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</si>
  <si>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</si>
  <si>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</si>
  <si>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</si>
  <si>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</si>
  <si>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</si>
  <si>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</si>
  <si>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</si>
  <si>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</si>
  <si>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</si>
  <si>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</si>
  <si>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</si>
  <si>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</si>
  <si>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</si>
  <si>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</si>
  <si>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</si>
  <si>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</si>
  <si>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</si>
  <si>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</si>
  <si>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</si>
  <si>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</si>
  <si>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</si>
  <si>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</si>
  <si>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</si>
  <si>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</si>
  <si>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</si>
  <si>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</si>
  <si>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</si>
  <si>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</si>
  <si>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</si>
  <si>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</si>
  <si>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</si>
  <si>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</si>
  <si>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</si>
  <si>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</si>
  <si>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</si>
  <si>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</si>
  <si>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</si>
  <si>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</si>
  <si>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</si>
  <si>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</si>
  <si>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</si>
  <si>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</si>
  <si>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</si>
  <si>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</si>
  <si>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</si>
  <si>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</si>
  <si>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</si>
  <si>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</si>
  <si>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</si>
  <si>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</si>
  <si>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</si>
  <si>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</si>
  <si>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</si>
  <si>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</si>
  <si>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</si>
  <si>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</si>
  <si>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</si>
  <si>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</si>
  <si>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</si>
  <si>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</si>
  <si>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</si>
  <si>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</si>
  <si>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</si>
  <si>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</si>
  <si>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</si>
  <si>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</si>
  <si>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</si>
  <si>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</si>
  <si>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</si>
  <si>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</si>
  <si>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</si>
  <si>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</si>
  <si>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</si>
  <si>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</si>
  <si>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</si>
  <si>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</si>
  <si>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</si>
  <si>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</si>
  <si>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</si>
  <si>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</si>
  <si>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</si>
  <si>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</si>
  <si>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</si>
  <si>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</si>
  <si>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</si>
  <si>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</si>
  <si>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</si>
  <si>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</si>
  <si>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</si>
  <si>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</si>
  <si>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</si>
  <si>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</si>
  <si>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</si>
  <si>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</si>
  <si>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</si>
  <si>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</si>
  <si>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</si>
  <si>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</si>
  <si>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</si>
  <si>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</si>
  <si>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</si>
  <si>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</si>
  <si>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</si>
  <si>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</si>
  <si>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</si>
  <si>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</si>
  <si>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</si>
  <si>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</si>
  <si>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</si>
  <si>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</si>
  <si>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</si>
  <si>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</si>
  <si>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</si>
  <si>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</si>
  <si>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</si>
  <si>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</si>
  <si>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</si>
  <si>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</si>
  <si>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</si>
  <si>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</si>
  <si>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</si>
  <si>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</si>
  <si>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</si>
  <si>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</si>
  <si>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</si>
  <si>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</si>
  <si>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</si>
  <si>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</si>
  <si>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</si>
  <si>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</si>
  <si>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</si>
  <si>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</si>
  <si>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</si>
  <si>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</si>
  <si>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</si>
  <si>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</si>
  <si>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</si>
  <si>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</si>
  <si>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</si>
  <si>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</si>
  <si>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</si>
  <si>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</si>
  <si>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</si>
  <si>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</si>
  <si>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</si>
  <si>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</si>
  <si>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</si>
  <si>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</si>
  <si>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</si>
  <si>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</si>
  <si>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</si>
  <si>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</si>
  <si>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</si>
  <si>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</si>
  <si>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</si>
  <si>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</si>
  <si>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</si>
  <si>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</si>
  <si>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</si>
  <si>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</si>
  <si>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</si>
  <si>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</si>
  <si>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</si>
  <si>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</si>
  <si>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</si>
  <si>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</si>
  <si>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</si>
  <si>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</si>
  <si>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</si>
  <si>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</si>
  <si>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</si>
  <si>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</si>
  <si>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</si>
  <si>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</si>
  <si>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</si>
  <si>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</si>
  <si>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</si>
  <si>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</si>
  <si>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</si>
  <si>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</si>
  <si>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</si>
  <si>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</si>
  <si>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</si>
  <si>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</si>
  <si>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</si>
  <si>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</si>
  <si>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</si>
  <si>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</si>
  <si>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</si>
  <si>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</si>
  <si>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</si>
  <si>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</si>
  <si>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</si>
  <si>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</si>
  <si>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</si>
  <si>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</si>
  <si>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</si>
  <si>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</si>
  <si>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</si>
  <si>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</si>
  <si>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</si>
  <si>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</si>
  <si>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</si>
  <si>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</si>
  <si>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</si>
  <si>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</si>
  <si>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</si>
  <si>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</si>
  <si>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</si>
  <si>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</si>
  <si>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</si>
  <si>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</si>
  <si>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</si>
  <si>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</si>
  <si>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</si>
  <si>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</si>
  <si>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</si>
  <si>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</si>
  <si>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</si>
  <si>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</si>
  <si>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</si>
  <si>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</si>
  <si>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</si>
  <si>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</si>
  <si>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</si>
  <si>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</si>
  <si>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</si>
  <si>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</si>
  <si>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</si>
  <si>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</si>
  <si>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</si>
  <si>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</si>
  <si>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</si>
  <si>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</si>
  <si>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</si>
  <si>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</si>
  <si>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</si>
  <si>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</si>
  <si>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</si>
  <si>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</si>
  <si>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</si>
  <si>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</si>
  <si>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</si>
  <si>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</si>
  <si>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</si>
  <si>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</si>
  <si>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</si>
  <si>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</si>
  <si>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</si>
  <si>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</si>
  <si>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</si>
  <si>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</si>
  <si>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</si>
  <si>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</si>
  <si>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</si>
  <si>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</si>
  <si>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</si>
  <si>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</si>
  <si>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</si>
  <si>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</si>
  <si>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</si>
  <si>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</si>
  <si>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</si>
  <si>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</si>
  <si>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</si>
  <si>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</si>
  <si>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</si>
  <si>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</si>
  <si>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</si>
  <si>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</si>
  <si>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</si>
  <si>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</si>
  <si>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</si>
  <si>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</si>
  <si>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</si>
  <si>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</si>
  <si>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</si>
  <si>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</si>
  <si>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</si>
  <si>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</si>
  <si>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</si>
  <si>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</si>
  <si>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</si>
  <si>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</si>
  <si>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</si>
  <si>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</si>
  <si>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</si>
  <si>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</si>
  <si>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</si>
  <si>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</si>
  <si>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</si>
  <si>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</si>
  <si>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</si>
  <si>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</si>
  <si>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</si>
  <si>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</si>
  <si>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</si>
  <si>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</si>
  <si>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</si>
  <si>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</si>
  <si>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</si>
  <si>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</si>
  <si>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</si>
  <si>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</si>
  <si>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</si>
  <si>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</si>
  <si>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</si>
  <si>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</si>
  <si>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</si>
  <si>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</si>
  <si>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</si>
  <si>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</si>
  <si>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</si>
  <si>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</si>
  <si>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</si>
  <si>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</si>
  <si>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</si>
  <si>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</si>
  <si>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</si>
  <si>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</si>
  <si>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</si>
  <si>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</si>
  <si>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</si>
  <si>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</si>
  <si>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</si>
  <si>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</si>
  <si>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</si>
  <si>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</si>
  <si>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</si>
  <si>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</si>
  <si>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</si>
  <si>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</si>
  <si>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</si>
  <si>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</si>
  <si>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</si>
  <si>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</si>
  <si>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</si>
  <si>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</si>
  <si>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</si>
  <si>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</si>
  <si>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</si>
  <si>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</si>
  <si>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</si>
  <si>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</si>
  <si>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</si>
  <si>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</si>
  <si>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</si>
  <si>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</si>
  <si>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</si>
  <si>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</si>
  <si>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</si>
  <si>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</si>
  <si>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</si>
  <si>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</si>
  <si>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</si>
  <si>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</si>
  <si>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</si>
  <si>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</si>
  <si>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</si>
  <si>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</si>
  <si>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</si>
  <si>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</si>
  <si>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</si>
  <si>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</si>
  <si>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</si>
  <si>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</si>
  <si>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</si>
  <si>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</si>
  <si>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</si>
  <si>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</si>
  <si>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</si>
  <si>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</si>
  <si>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</si>
  <si>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</si>
  <si>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</si>
  <si>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</si>
  <si>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</si>
  <si>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</si>
  <si>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</si>
  <si>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</si>
  <si>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</si>
  <si>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</si>
  <si>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</si>
  <si>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</si>
  <si>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</si>
  <si>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</si>
  <si>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</si>
  <si>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</si>
  <si>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</si>
  <si>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</si>
  <si>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</si>
  <si>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</si>
  <si>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</si>
  <si>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</si>
  <si>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</si>
  <si>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</si>
  <si>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</si>
  <si>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</si>
  <si>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</si>
  <si>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</si>
  <si>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</si>
  <si>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</si>
  <si>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</si>
  <si>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</si>
  <si>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</si>
  <si>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</si>
  <si>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</si>
  <si>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</si>
  <si>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</si>
  <si>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</si>
  <si>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</si>
  <si>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</si>
  <si>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</si>
  <si>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</si>
  <si>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</si>
  <si>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</si>
  <si>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</si>
  <si>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</si>
  <si>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</si>
  <si>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</si>
  <si>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</si>
  <si>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</si>
  <si>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</si>
  <si>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</si>
  <si>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</si>
  <si>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</si>
  <si>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</si>
  <si>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</si>
  <si>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</si>
  <si>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</si>
  <si>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</si>
  <si>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</si>
  <si>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</si>
  <si>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</si>
  <si>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</si>
  <si>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</si>
  <si>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</si>
  <si>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</si>
  <si>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</si>
  <si>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</si>
  <si>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</si>
  <si>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</si>
  <si>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</si>
  <si>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</si>
  <si>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</si>
  <si>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</si>
  <si>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</si>
  <si>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</si>
  <si>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</si>
  <si>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</si>
  <si>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</si>
  <si>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</si>
  <si>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</si>
  <si>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</si>
  <si>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</si>
  <si>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</si>
  <si>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</si>
  <si>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</si>
  <si>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</si>
  <si>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</si>
  <si>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</si>
  <si>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</si>
  <si>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</si>
  <si>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</si>
  <si>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</si>
  <si>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</si>
  <si>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</si>
  <si>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</si>
  <si>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</si>
  <si>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</si>
  <si>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</si>
  <si>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</si>
  <si>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</si>
  <si>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</si>
  <si>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</si>
  <si>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</si>
  <si>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</si>
  <si>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</si>
  <si>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</si>
  <si>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</si>
  <si>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</si>
  <si>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</si>
  <si>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</si>
  <si>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</si>
  <si>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</si>
  <si>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</si>
  <si>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</si>
  <si>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</si>
  <si>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</si>
  <si>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</si>
  <si>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</si>
  <si>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</si>
  <si>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</si>
  <si>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</si>
  <si>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</si>
  <si>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</si>
  <si>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</si>
  <si>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</si>
  <si>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</si>
  <si>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</si>
  <si>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</si>
  <si>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</si>
  <si>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</si>
  <si>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</si>
  <si>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</si>
  <si>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</si>
  <si>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</si>
  <si>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</si>
  <si>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</si>
  <si>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</si>
  <si>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</si>
  <si>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</si>
  <si>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</si>
  <si>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</si>
  <si>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</si>
  <si>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</si>
  <si>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</si>
  <si>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</si>
  <si>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</si>
  <si>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</si>
  <si>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</si>
  <si>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</si>
  <si>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</si>
  <si>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</si>
  <si>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</si>
  <si>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</si>
  <si>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</si>
  <si>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</si>
  <si>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</si>
  <si>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</si>
  <si>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</si>
  <si>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</si>
  <si>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</si>
  <si>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</si>
  <si>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</si>
  <si>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</si>
  <si>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</si>
  <si>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</si>
  <si>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</si>
  <si>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</si>
  <si>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</si>
  <si>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</si>
  <si>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</si>
  <si>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</si>
  <si>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</si>
  <si>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</si>
  <si>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</si>
  <si>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</si>
  <si>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</si>
  <si>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</si>
  <si>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</si>
  <si>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</si>
  <si>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</si>
  <si>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</si>
  <si>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</si>
  <si>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</si>
  <si>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</si>
  <si>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</si>
  <si>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</si>
  <si>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</si>
  <si>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</si>
  <si>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</si>
  <si>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</si>
  <si>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</si>
  <si>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</si>
  <si>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</si>
  <si>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</si>
  <si>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</si>
  <si>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</si>
  <si>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</si>
  <si>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</si>
  <si>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</si>
  <si>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</si>
  <si>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</si>
  <si>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</si>
  <si>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</si>
  <si>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</si>
  <si>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</si>
  <si>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</si>
  <si>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</si>
  <si>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</si>
  <si>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</si>
  <si>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</si>
  <si>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</si>
  <si>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</si>
  <si>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</si>
  <si>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</si>
  <si>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</si>
  <si>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</si>
  <si>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</si>
  <si>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</si>
  <si>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</si>
  <si>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</si>
  <si>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</si>
  <si>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</si>
  <si>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</si>
  <si>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</si>
  <si>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</si>
  <si>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</si>
  <si>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</si>
  <si>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</si>
  <si>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</si>
  <si>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</si>
  <si>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</si>
  <si>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</si>
  <si>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</si>
  <si>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</si>
  <si>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</si>
  <si>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</si>
  <si>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</si>
  <si>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</si>
  <si>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</si>
  <si>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</si>
  <si>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</si>
  <si>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</si>
  <si>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</si>
  <si>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</si>
  <si>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</si>
  <si>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</si>
  <si>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</si>
  <si>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</si>
  <si>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</si>
  <si>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</si>
  <si>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</si>
  <si>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</si>
  <si>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</si>
  <si>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</si>
  <si>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</si>
  <si>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</si>
  <si>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</si>
  <si>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</si>
  <si>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</si>
  <si>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</si>
  <si>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</si>
  <si>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</si>
  <si>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</si>
  <si>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</si>
  <si>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</si>
  <si>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</si>
  <si>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</si>
  <si>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</si>
  <si>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</si>
  <si>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</si>
  <si>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</si>
  <si>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</si>
  <si>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</si>
  <si>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</si>
  <si>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</si>
  <si>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</si>
  <si>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</si>
  <si>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</si>
  <si>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</si>
  <si>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</si>
  <si>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</si>
  <si>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</si>
  <si>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</si>
  <si>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</si>
  <si>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</si>
  <si>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</si>
  <si>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</si>
  <si>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</si>
  <si>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</si>
  <si>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</si>
  <si>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</si>
  <si>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</si>
  <si>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</si>
  <si>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</si>
  <si>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</si>
  <si>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</si>
  <si>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</si>
  <si>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</si>
  <si>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</si>
  <si>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</si>
  <si>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</si>
  <si>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</si>
  <si>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</si>
  <si>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</si>
  <si>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</si>
  <si>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</si>
  <si>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</si>
  <si>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</si>
  <si>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</si>
  <si>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</si>
  <si>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</si>
  <si>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</si>
  <si>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</si>
  <si>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</si>
  <si>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</si>
  <si>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</si>
  <si>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</si>
  <si>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</si>
  <si>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</si>
  <si>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</si>
  <si>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</si>
  <si>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</si>
  <si>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</si>
  <si>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</si>
  <si>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</si>
  <si>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</si>
  <si>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</si>
  <si>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</si>
  <si>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</si>
  <si>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</si>
  <si>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</si>
  <si>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</si>
  <si>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</si>
  <si>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</si>
  <si>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</si>
  <si>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</si>
  <si>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</si>
  <si>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</si>
  <si>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</si>
  <si>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</si>
  <si>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</si>
  <si>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</si>
  <si>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</si>
  <si>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</si>
  <si>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</si>
  <si>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</si>
  <si>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</si>
  <si>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</si>
  <si>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</si>
  <si>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</si>
  <si>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</si>
  <si>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</si>
  <si>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</si>
  <si>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</si>
  <si>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</si>
  <si>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</si>
  <si>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</si>
  <si>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</si>
  <si>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</si>
  <si>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</si>
  <si>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</si>
  <si>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</si>
  <si>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</si>
  <si>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</si>
  <si>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</si>
  <si>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</si>
  <si>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</si>
  <si>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</si>
  <si>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</si>
  <si>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</si>
  <si>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</si>
  <si>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</si>
  <si>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</si>
  <si>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</si>
  <si>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</si>
  <si>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</si>
  <si>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</si>
  <si>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</si>
  <si>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</si>
  <si>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</si>
  <si>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</si>
  <si>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</si>
  <si>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</si>
  <si>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</si>
  <si>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</si>
  <si>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</si>
  <si>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</si>
  <si>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</si>
  <si>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</si>
  <si>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</si>
  <si>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</si>
  <si>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</si>
  <si>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</si>
  <si>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</si>
  <si>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</si>
  <si>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</si>
  <si>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</si>
  <si>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</si>
  <si>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</si>
  <si>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</si>
  <si>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</si>
  <si>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</si>
  <si>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</si>
  <si>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</si>
  <si>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</si>
  <si>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</si>
  <si>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</si>
  <si>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</si>
  <si>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</si>
  <si>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</si>
  <si>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</si>
  <si>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</si>
  <si>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</si>
  <si>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</si>
  <si>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</si>
  <si>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</si>
  <si>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</si>
  <si>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</si>
  <si>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</si>
  <si>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</si>
  <si>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</si>
  <si>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</si>
  <si>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</si>
  <si>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</si>
  <si>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</si>
  <si>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</si>
  <si>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</si>
  <si>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</si>
  <si>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</si>
  <si>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</si>
  <si>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</si>
  <si>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</si>
  <si>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</si>
  <si>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</si>
  <si>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</si>
  <si>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</si>
  <si>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</si>
  <si>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</si>
  <si>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</si>
  <si>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</si>
  <si>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</si>
  <si>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</si>
  <si>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</si>
  <si>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</si>
  <si>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</si>
  <si>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</si>
  <si>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</si>
  <si>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</si>
  <si>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</si>
  <si>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</si>
  <si>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</si>
  <si>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</si>
  <si>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</si>
  <si>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</si>
  <si>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</si>
  <si>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</si>
  <si>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</si>
  <si>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</si>
  <si>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</si>
  <si>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</si>
  <si>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</si>
  <si>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</si>
  <si>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</si>
  <si>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</si>
  <si>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</si>
  <si>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</si>
  <si>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</si>
  <si>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</si>
  <si>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</si>
  <si>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</si>
  <si>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</si>
  <si>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</si>
  <si>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</si>
  <si>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</si>
  <si>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</si>
  <si>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</si>
  <si>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</si>
  <si>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</si>
  <si>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</si>
  <si>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</si>
  <si>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</si>
  <si>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</si>
  <si>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</si>
  <si>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</si>
  <si>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</si>
  <si>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</si>
  <si>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</si>
  <si>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</si>
  <si>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</si>
  <si>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</si>
  <si>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</si>
  <si>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</si>
  <si>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</si>
  <si>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</si>
  <si>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</si>
  <si>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</si>
  <si>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</si>
  <si>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</si>
  <si>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</si>
  <si>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</si>
  <si>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</si>
  <si>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</si>
  <si>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</si>
  <si>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</si>
  <si>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</si>
  <si>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</si>
  <si>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</si>
  <si>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</si>
  <si>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</si>
  <si>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</si>
  <si>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</si>
  <si>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</si>
  <si>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</si>
  <si>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</si>
  <si>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</si>
  <si>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</si>
  <si>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</si>
  <si>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</si>
  <si>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</si>
  <si>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</si>
  <si>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</si>
  <si>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</si>
  <si>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</si>
  <si>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</si>
  <si>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</si>
  <si>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</si>
  <si>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</si>
  <si>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</si>
  <si>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</si>
  <si>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</si>
  <si>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</si>
  <si>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</si>
  <si>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</si>
  <si>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</si>
  <si>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</si>
  <si>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</si>
  <si>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</si>
  <si>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</si>
  <si>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</si>
  <si>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</si>
  <si>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</si>
  <si>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</si>
  <si>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</si>
  <si>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</si>
  <si>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</si>
  <si>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</si>
  <si>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</si>
  <si>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</si>
  <si>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</si>
  <si>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</si>
  <si>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</si>
  <si>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</si>
  <si>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</si>
  <si>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</si>
  <si>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</si>
  <si>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</si>
  <si>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</si>
  <si>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</si>
  <si>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</si>
  <si>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</si>
  <si>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</si>
  <si>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</si>
  <si>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</si>
  <si>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</si>
  <si>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</si>
  <si>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</si>
  <si>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</si>
  <si>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</si>
  <si>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</si>
  <si>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</si>
  <si>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</si>
  <si>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</si>
  <si>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</si>
  <si>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</si>
  <si>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</si>
  <si>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</si>
  <si>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</si>
  <si>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</si>
  <si>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</si>
  <si>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</si>
  <si>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</si>
  <si>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</si>
  <si>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</si>
  <si>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</si>
  <si>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</si>
  <si>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</si>
  <si>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</si>
  <si>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</si>
  <si>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</si>
  <si>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</si>
  <si>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</si>
  <si>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</si>
  <si>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</si>
  <si>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</si>
  <si>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</si>
  <si>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</si>
  <si>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</si>
  <si>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</si>
  <si>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</si>
  <si>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</si>
  <si>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</si>
  <si>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</si>
  <si>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</si>
  <si>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</si>
  <si>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</si>
  <si>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</si>
  <si>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</si>
  <si>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</si>
  <si>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</si>
  <si>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</si>
  <si>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</si>
  <si>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</si>
  <si>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</si>
  <si>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</si>
  <si>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</si>
  <si>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</si>
  <si>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</si>
  <si>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</si>
  <si>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</si>
  <si>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</si>
  <si>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</si>
  <si>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</si>
  <si>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</si>
  <si>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</si>
  <si>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</si>
  <si>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</si>
  <si>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</si>
  <si>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</si>
  <si>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</si>
  <si>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</si>
  <si>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</si>
  <si>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</si>
  <si>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</si>
  <si>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</si>
  <si>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</si>
  <si>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</si>
  <si>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</si>
  <si>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</si>
  <si>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</si>
  <si>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</si>
  <si>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</si>
  <si>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</si>
  <si>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</si>
  <si>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</si>
  <si>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</si>
  <si>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</si>
  <si>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</si>
  <si>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</si>
  <si>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</si>
  <si>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</si>
  <si>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</si>
  <si>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</si>
  <si>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</si>
  <si>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</si>
  <si>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</si>
  <si>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</si>
  <si>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</si>
  <si>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</si>
  <si>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</si>
  <si>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</si>
  <si>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</si>
  <si>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</si>
  <si>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</si>
  <si>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</si>
  <si>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</si>
  <si>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</si>
  <si>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</si>
  <si>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</si>
  <si>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</si>
  <si>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</si>
  <si>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</si>
  <si>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</si>
  <si>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</si>
  <si>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</si>
  <si>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</si>
  <si>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</si>
  <si>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</si>
  <si>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</si>
  <si>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</si>
  <si>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</si>
  <si>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</si>
  <si>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</si>
  <si>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</si>
  <si>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</si>
  <si>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</si>
  <si>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</si>
  <si>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</si>
  <si>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</si>
  <si>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</si>
  <si>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</si>
  <si>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</si>
  <si>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</si>
  <si>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</si>
  <si>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</si>
  <si>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</si>
  <si>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</si>
  <si>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</si>
  <si>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</si>
  <si>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</si>
  <si>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</si>
  <si>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</si>
  <si>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</si>
  <si>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</si>
  <si>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</si>
  <si>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</si>
  <si>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</si>
  <si>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</si>
  <si>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</si>
  <si>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</si>
  <si>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</si>
  <si>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</si>
  <si>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</si>
  <si>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</si>
  <si>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</si>
  <si>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</si>
  <si>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</si>
  <si>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</si>
  <si>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</si>
  <si>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</si>
  <si>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</si>
  <si>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</si>
  <si>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</si>
  <si>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</si>
  <si>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</si>
  <si>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</si>
  <si>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</si>
  <si>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</si>
  <si>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</si>
  <si>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</si>
  <si>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</si>
  <si>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</si>
  <si>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</si>
  <si>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</si>
  <si>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</si>
  <si>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</si>
  <si>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</si>
  <si>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</si>
  <si>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</si>
  <si>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</si>
  <si>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</si>
  <si>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</si>
  <si>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</si>
  <si>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</si>
  <si>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</si>
  <si>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</si>
  <si>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</si>
  <si>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</si>
  <si>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</si>
  <si>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</si>
  <si>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</si>
  <si>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</si>
  <si>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</si>
  <si>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</si>
  <si>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</si>
  <si>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</si>
  <si>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</si>
  <si>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</si>
  <si>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</si>
  <si>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</si>
  <si>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</si>
  <si>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</si>
  <si>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</si>
  <si>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</si>
  <si>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</si>
  <si>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</si>
  <si>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</si>
  <si>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</si>
  <si>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</si>
  <si>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</si>
  <si>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</si>
  <si>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</si>
  <si>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</si>
  <si>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</si>
  <si>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</si>
  <si>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</si>
  <si>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</si>
  <si>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</si>
  <si>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</si>
  <si>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</si>
  <si>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</si>
  <si>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</si>
  <si>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</si>
  <si>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</si>
  <si>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</si>
  <si>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</si>
  <si>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</si>
  <si>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</si>
  <si>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</si>
  <si>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</si>
  <si>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</si>
  <si>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</si>
  <si>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</si>
  <si>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</si>
  <si>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</si>
  <si>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</si>
  <si>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</si>
  <si>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</si>
  <si>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</si>
  <si>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</si>
  <si>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</si>
  <si>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</si>
  <si>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</si>
  <si>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</si>
  <si>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</si>
  <si>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</si>
  <si>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</si>
  <si>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</si>
  <si>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</si>
  <si>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</si>
  <si>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</si>
  <si>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</si>
  <si>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</si>
  <si>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</si>
  <si>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</si>
  <si>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</si>
  <si>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</si>
  <si>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</si>
  <si>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</si>
  <si>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</si>
  <si>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</si>
  <si>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</si>
  <si>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</si>
  <si>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</si>
  <si>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</si>
  <si>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</si>
  <si>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</si>
  <si>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</si>
  <si>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</si>
  <si>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</si>
  <si>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</si>
  <si>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</si>
  <si>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</si>
  <si>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</si>
  <si>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</si>
  <si>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</si>
  <si>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</si>
  <si>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</si>
  <si>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</si>
  <si>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</si>
  <si>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</si>
  <si>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</si>
  <si>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</si>
  <si>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</si>
  <si>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</si>
  <si>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</si>
  <si>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</si>
  <si>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</si>
  <si>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</si>
  <si>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</si>
  <si>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</si>
  <si>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</si>
  <si>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</si>
  <si>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</si>
  <si>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</si>
  <si>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</si>
  <si>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</si>
  <si>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</si>
  <si>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</si>
  <si>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</si>
  <si>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</si>
  <si>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</si>
  <si>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</si>
  <si>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</si>
  <si>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</si>
  <si>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</si>
  <si>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</si>
  <si>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</si>
  <si>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</si>
  <si>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</si>
  <si>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</si>
  <si>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</si>
  <si>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</si>
  <si>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</si>
  <si>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</si>
  <si>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</si>
  <si>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</si>
  <si>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</si>
  <si>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</si>
  <si>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</si>
  <si>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</si>
  <si>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</si>
  <si>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</si>
  <si>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</si>
  <si>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</si>
  <si>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</si>
  <si>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</si>
  <si>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</si>
  <si>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</si>
  <si>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</si>
  <si>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</si>
  <si>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</si>
  <si>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</si>
  <si>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</si>
  <si>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</si>
  <si>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</si>
  <si>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</si>
  <si>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</si>
  <si>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</si>
  <si>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</si>
  <si>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</si>
  <si>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</si>
  <si>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</si>
  <si>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</si>
  <si>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</si>
  <si>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</si>
  <si>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</si>
  <si>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</si>
  <si>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</si>
  <si>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</si>
  <si>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</si>
  <si>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</si>
  <si>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</si>
  <si>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</si>
  <si>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</si>
  <si>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</si>
  <si>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</si>
  <si>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</si>
  <si>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</si>
  <si>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</si>
  <si>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</si>
  <si>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</si>
  <si>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</si>
  <si>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</si>
  <si>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</si>
  <si>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</si>
  <si>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</si>
  <si>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</si>
  <si>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</si>
  <si>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</si>
  <si>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</si>
  <si>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</si>
  <si>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</si>
  <si>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</si>
  <si>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</si>
  <si>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</si>
  <si>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</si>
  <si>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</si>
  <si>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</si>
  <si>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</si>
  <si>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</si>
  <si>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</si>
  <si>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</si>
  <si>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</si>
  <si>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</si>
  <si>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</si>
  <si>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</si>
  <si>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</si>
  <si>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</si>
  <si>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</si>
  <si>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</si>
  <si>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</si>
  <si>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</si>
  <si>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</si>
  <si>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</si>
  <si>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</si>
  <si>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</si>
  <si>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</si>
  <si>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</si>
  <si>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</si>
  <si>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</si>
  <si>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</si>
  <si>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</si>
  <si>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</si>
  <si>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</si>
  <si>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</si>
  <si>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</si>
  <si>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</si>
  <si>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</si>
  <si>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</si>
  <si>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</si>
  <si>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</si>
  <si>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</si>
  <si>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</si>
  <si>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</si>
  <si>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</si>
  <si>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</si>
  <si>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</si>
  <si>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</si>
  <si>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</si>
  <si>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</si>
  <si>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</si>
  <si>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</si>
  <si>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</si>
  <si>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</si>
  <si>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</si>
  <si>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</si>
  <si>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</si>
  <si>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</si>
  <si>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</si>
  <si>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</si>
  <si>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</si>
  <si>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</si>
  <si>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</si>
  <si>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</si>
  <si>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</si>
  <si>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</si>
  <si>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</si>
  <si>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</si>
  <si>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</si>
  <si>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</si>
  <si>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</si>
  <si>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</si>
  <si>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</si>
  <si>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</si>
  <si>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</si>
  <si>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</si>
  <si>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</si>
  <si>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</si>
  <si>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</si>
  <si>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</si>
  <si>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</si>
  <si>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</si>
  <si>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</si>
  <si>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</si>
  <si>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</si>
  <si>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</si>
  <si>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</si>
  <si>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</si>
  <si>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</si>
  <si>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</si>
  <si>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</si>
  <si>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</si>
  <si>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</si>
  <si>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</si>
  <si>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</si>
  <si>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</si>
  <si>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</si>
  <si>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</si>
  <si>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</si>
  <si>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</si>
  <si>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</si>
  <si>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</si>
  <si>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</si>
  <si>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</si>
  <si>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</si>
  <si>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</si>
  <si>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</si>
  <si>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</si>
  <si>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</si>
  <si>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</si>
  <si>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</si>
  <si>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</si>
  <si>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</si>
  <si>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</si>
  <si>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</si>
  <si>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</si>
  <si>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</si>
  <si>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</si>
  <si>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</si>
  <si>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</si>
  <si>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</si>
  <si>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</si>
  <si>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</si>
  <si>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</si>
  <si>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</si>
  <si>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</si>
  <si>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</si>
  <si>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</si>
  <si>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</si>
  <si>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</si>
  <si>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</si>
  <si>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</si>
  <si>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</si>
  <si>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</si>
  <si>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</si>
  <si>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</si>
  <si>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</si>
  <si>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</si>
  <si>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</si>
  <si>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</si>
  <si>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</si>
  <si>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</si>
  <si>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</si>
  <si>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</si>
  <si>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</si>
  <si>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</si>
  <si>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</si>
  <si>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</si>
  <si>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</si>
  <si>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</si>
  <si>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</si>
  <si>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</si>
  <si>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</si>
  <si>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</si>
  <si>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</si>
  <si>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</si>
  <si>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</si>
  <si>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</si>
  <si>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</si>
  <si>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</si>
  <si>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</si>
  <si>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</si>
  <si>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</si>
  <si>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</si>
  <si>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</si>
  <si>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</si>
  <si>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</si>
  <si>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</si>
  <si>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</si>
  <si>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</si>
  <si>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</si>
  <si>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</si>
  <si>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</si>
  <si>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</si>
  <si>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</si>
  <si>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</si>
  <si>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</si>
  <si>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</si>
  <si>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</si>
  <si>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</si>
  <si>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</si>
  <si>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</si>
  <si>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</si>
  <si>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</si>
  <si>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</si>
  <si>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</si>
  <si>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</si>
  <si>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</si>
  <si>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</si>
  <si>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</si>
  <si>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</si>
  <si>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</si>
  <si>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</si>
  <si>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</si>
  <si>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</si>
  <si>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</si>
  <si>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</si>
  <si>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</si>
  <si>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</si>
  <si>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</si>
  <si>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</si>
  <si>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</si>
  <si>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</si>
  <si>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</si>
  <si>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</si>
  <si>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</si>
  <si>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</si>
  <si>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</si>
  <si>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</si>
  <si>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</si>
  <si>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</si>
  <si>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</si>
  <si>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</si>
  <si>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</si>
  <si>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</si>
  <si>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</si>
  <si>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</si>
  <si>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</si>
  <si>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</si>
  <si>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</si>
  <si>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</si>
  <si>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</si>
  <si>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</si>
  <si>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</si>
  <si>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</si>
  <si>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</si>
  <si>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</si>
  <si>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</si>
  <si>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</si>
  <si>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</si>
  <si>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</si>
  <si>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</si>
  <si>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</si>
  <si>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</si>
  <si>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</si>
  <si>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</si>
  <si>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</si>
  <si>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</si>
  <si>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</si>
  <si>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</si>
  <si>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</si>
  <si>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</si>
  <si>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</si>
  <si>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</si>
  <si>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</si>
  <si>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</si>
  <si>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</si>
  <si>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</si>
  <si>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</si>
  <si>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</si>
  <si>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</si>
  <si>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</si>
  <si>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</si>
  <si>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</si>
  <si>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</si>
  <si>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</si>
  <si>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</si>
  <si>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</si>
  <si>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</si>
  <si>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</si>
  <si>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</si>
  <si>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</si>
  <si>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</si>
  <si>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</si>
  <si>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</si>
  <si>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</si>
  <si>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</si>
  <si>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</si>
  <si>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</si>
  <si>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</si>
  <si>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</si>
  <si>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</si>
  <si>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</si>
  <si>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</si>
  <si>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</si>
  <si>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</si>
  <si>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</si>
  <si>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</si>
  <si>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</si>
  <si>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</si>
  <si>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</si>
  <si>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</si>
  <si>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</si>
  <si>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</si>
  <si>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</si>
  <si>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</si>
  <si>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</si>
  <si>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</si>
  <si>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</si>
  <si>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</si>
  <si>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</si>
  <si>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</si>
  <si>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</si>
  <si>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</si>
  <si>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</si>
  <si>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</si>
  <si>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</si>
  <si>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</si>
  <si>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</si>
  <si>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</si>
  <si>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</si>
  <si>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</si>
  <si>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</si>
  <si>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</si>
  <si>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</si>
  <si>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</si>
  <si>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</si>
  <si>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</si>
  <si>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</si>
  <si>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</si>
  <si>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</si>
  <si>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</si>
  <si>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</si>
  <si>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</si>
  <si>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</si>
  <si>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</si>
  <si>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</si>
  <si>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</si>
  <si>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</si>
  <si>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</si>
  <si>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</si>
  <si>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</si>
  <si>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</si>
  <si>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</si>
  <si>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</si>
  <si>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</si>
  <si>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</si>
  <si>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</si>
  <si>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</si>
  <si>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</si>
  <si>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</si>
  <si>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</si>
  <si>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</si>
  <si>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</si>
  <si>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</si>
  <si>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</si>
  <si>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</si>
  <si>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</si>
  <si>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</si>
  <si>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</si>
  <si>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</si>
  <si>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</si>
  <si>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</si>
  <si>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</si>
  <si>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</si>
  <si>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</si>
  <si>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</si>
  <si>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</si>
  <si>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</si>
  <si>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</si>
  <si>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</si>
  <si>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</si>
  <si>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</si>
  <si>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</si>
  <si>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</si>
  <si>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</si>
  <si>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</si>
  <si>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</si>
  <si>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</si>
  <si>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</si>
  <si>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</si>
  <si>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</si>
  <si>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</si>
  <si>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</si>
  <si>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</si>
  <si>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</si>
  <si>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</si>
  <si>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</si>
  <si>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</si>
  <si>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</si>
  <si>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</si>
  <si>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</si>
  <si>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</si>
  <si>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</si>
  <si>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</si>
  <si>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</si>
  <si>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</si>
  <si>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</si>
  <si>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</si>
  <si>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</si>
  <si>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</si>
  <si>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</si>
  <si>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</si>
  <si>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</si>
  <si>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</si>
  <si>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</si>
  <si>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</si>
  <si>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</si>
  <si>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</si>
  <si>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</si>
  <si>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</si>
  <si>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</si>
  <si>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</si>
  <si>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</si>
  <si>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</si>
  <si>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</si>
  <si>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</si>
  <si>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</si>
  <si>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</si>
  <si>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</si>
  <si>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</si>
  <si>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</si>
  <si>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</si>
  <si>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</si>
  <si>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</si>
  <si>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</si>
  <si>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</si>
  <si>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</si>
  <si>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</si>
  <si>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</si>
  <si>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</si>
  <si>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</si>
  <si>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</si>
  <si>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</si>
  <si>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</si>
  <si>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</si>
  <si>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</si>
  <si>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</si>
  <si>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</si>
  <si>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</si>
  <si>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</si>
  <si>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</si>
  <si>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</si>
  <si>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</si>
  <si>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</si>
  <si>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</si>
  <si>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</si>
  <si>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</si>
  <si>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</si>
  <si>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</si>
  <si>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</si>
  <si>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</si>
  <si>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</si>
  <si>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</si>
  <si>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</si>
  <si>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</si>
  <si>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</si>
  <si>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</si>
  <si>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</si>
  <si>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</si>
  <si>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</si>
  <si>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</si>
  <si>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</si>
  <si>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</si>
  <si>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</si>
  <si>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</si>
  <si>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</si>
  <si>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</si>
  <si>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</si>
  <si>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</si>
  <si>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</si>
  <si>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</si>
  <si>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</si>
  <si>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</si>
  <si>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</si>
  <si>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</si>
  <si>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</si>
  <si>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</si>
  <si>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</si>
  <si>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</si>
  <si>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</si>
  <si>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</si>
  <si>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</si>
  <si>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</si>
  <si>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</si>
  <si>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</si>
  <si>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</si>
  <si>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</si>
  <si>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</si>
  <si>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</si>
  <si>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</si>
  <si>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</si>
  <si>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</si>
  <si>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</si>
  <si>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</si>
  <si>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</si>
  <si>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</si>
  <si>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</si>
  <si>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</si>
  <si>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</si>
  <si>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</si>
  <si>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</si>
  <si>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</si>
  <si>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</si>
  <si>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</si>
  <si>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</si>
  <si>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</si>
  <si>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</si>
  <si>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</si>
  <si>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</si>
  <si>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</si>
  <si>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</si>
  <si>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</si>
  <si>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</si>
  <si>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</si>
  <si>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</si>
  <si>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</si>
  <si>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</si>
  <si>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</si>
  <si>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</si>
  <si>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</si>
  <si>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</si>
  <si>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</si>
  <si>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</si>
  <si>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</si>
  <si>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</si>
  <si>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</si>
  <si>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</si>
  <si>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</si>
  <si>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</si>
  <si>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</si>
  <si>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</si>
  <si>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</si>
  <si>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</si>
  <si>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</si>
  <si>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</si>
  <si>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</si>
  <si>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</si>
  <si>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</si>
  <si>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</si>
  <si>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</si>
  <si>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</si>
  <si>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</si>
  <si>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</si>
  <si>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</si>
  <si>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</si>
  <si>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</si>
  <si>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</si>
  <si>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</si>
  <si>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</si>
  <si>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</si>
  <si>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</si>
  <si>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</si>
  <si>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</si>
  <si>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</si>
  <si>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</si>
  <si>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</si>
  <si>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</si>
  <si>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</si>
  <si>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</si>
  <si>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</si>
  <si>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</si>
  <si>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</si>
  <si>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</si>
  <si>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</si>
  <si>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</si>
  <si>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</si>
  <si>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</si>
  <si>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</si>
  <si>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</si>
  <si>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</si>
  <si>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</si>
  <si>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</si>
  <si>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</si>
  <si>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</si>
  <si>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</si>
  <si>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</si>
  <si>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</si>
  <si>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</si>
  <si>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</si>
  <si>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</si>
  <si>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</si>
  <si>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</si>
  <si>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</si>
  <si>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</si>
  <si>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</si>
  <si>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</si>
  <si>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</si>
  <si>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</si>
  <si>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</si>
  <si>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</si>
  <si>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</si>
  <si>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</si>
  <si>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</si>
  <si>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</si>
  <si>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</si>
  <si>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</si>
  <si>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</si>
  <si>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</si>
  <si>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</si>
  <si>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</si>
  <si>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</si>
  <si>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</si>
  <si>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</si>
  <si>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</si>
  <si>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</si>
  <si>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</si>
  <si>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</si>
  <si>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</si>
  <si>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</si>
  <si>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</si>
  <si>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</si>
  <si>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</si>
  <si>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</si>
  <si>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</si>
  <si>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</si>
  <si>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</si>
  <si>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</si>
  <si>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</si>
  <si>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</si>
  <si>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</si>
  <si>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</si>
  <si>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</si>
  <si>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</si>
  <si>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</si>
  <si>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</si>
  <si>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</si>
  <si>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</si>
  <si>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</si>
  <si>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</si>
  <si>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</si>
  <si>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</si>
  <si>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</si>
  <si>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</si>
  <si>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</si>
  <si>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</si>
  <si>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</si>
  <si>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</si>
  <si>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</si>
  <si>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</si>
  <si>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</si>
  <si>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</si>
  <si>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</si>
  <si>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</si>
  <si>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</si>
  <si>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</si>
  <si>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</si>
  <si>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</si>
  <si>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</si>
  <si>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</si>
  <si>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</si>
  <si>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</si>
  <si>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</si>
  <si>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</si>
  <si>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</si>
  <si>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</si>
  <si>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</si>
  <si>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</si>
  <si>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</si>
  <si>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</si>
  <si>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</si>
  <si>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</si>
  <si>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</si>
  <si>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</si>
  <si>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</si>
  <si>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</si>
  <si>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</si>
  <si>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</si>
  <si>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</si>
  <si>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</si>
  <si>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</si>
  <si>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</si>
  <si>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</si>
  <si>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</si>
  <si>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</si>
  <si>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</si>
  <si>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</si>
  <si>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</si>
  <si>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</si>
  <si>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</si>
  <si>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</si>
  <si>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</si>
  <si>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</si>
  <si>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</si>
  <si>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</si>
  <si>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</si>
  <si>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</si>
  <si>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</si>
  <si>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</si>
  <si>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</si>
  <si>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</si>
  <si>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</si>
  <si>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</si>
  <si>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</si>
  <si>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</si>
  <si>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</si>
  <si>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</si>
  <si>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</si>
  <si>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</si>
  <si>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</si>
  <si>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</si>
  <si>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</si>
  <si>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</si>
  <si>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</si>
  <si>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</si>
  <si>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</si>
  <si>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</si>
  <si>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</si>
  <si>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</si>
  <si>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</si>
  <si>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</si>
  <si>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</si>
  <si>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</si>
  <si>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</si>
  <si>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</si>
  <si>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</si>
  <si>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</si>
  <si>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</si>
  <si>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</si>
  <si>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</si>
  <si>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</si>
  <si>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</si>
  <si>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</si>
  <si>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</si>
  <si>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</si>
  <si>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</si>
  <si>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</si>
  <si>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</si>
  <si>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</si>
  <si>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</si>
  <si>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</si>
  <si>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</si>
  <si>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</si>
  <si>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</si>
  <si>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</si>
  <si>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</si>
  <si>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</si>
  <si>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</si>
  <si>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</si>
  <si>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</si>
  <si>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</si>
  <si>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</si>
  <si>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</si>
  <si>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</si>
  <si>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</si>
  <si>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</si>
  <si>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</si>
  <si>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</si>
  <si>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</si>
  <si>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</si>
  <si>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</si>
  <si>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</si>
  <si>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</si>
  <si>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</si>
  <si>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</si>
  <si>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</si>
  <si>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</si>
  <si>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</si>
  <si>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</si>
  <si>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</si>
  <si>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</si>
  <si>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</si>
  <si>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</si>
  <si>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</si>
  <si>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</si>
  <si>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</si>
  <si>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</si>
  <si>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</si>
  <si>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</si>
  <si>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</si>
  <si>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</si>
  <si>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</si>
  <si>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</si>
  <si>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</si>
  <si>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</si>
  <si>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</si>
  <si>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</si>
  <si>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</si>
  <si>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</si>
  <si>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</si>
  <si>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</si>
  <si>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</si>
  <si>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</si>
  <si>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</si>
  <si>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</si>
  <si>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</si>
  <si>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</si>
  <si>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</si>
  <si>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</si>
  <si>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</si>
  <si>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</si>
  <si>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</si>
  <si>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</si>
  <si>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</si>
  <si>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</si>
  <si>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</si>
  <si>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</si>
  <si>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</si>
  <si>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</si>
  <si>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</si>
  <si>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</si>
  <si>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</si>
  <si>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</si>
  <si>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</si>
  <si>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</si>
  <si>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</si>
  <si>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</si>
  <si>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</si>
  <si>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</si>
  <si>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</si>
  <si>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</si>
  <si>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</si>
  <si>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</si>
  <si>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</si>
  <si>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</si>
  <si>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</si>
  <si>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</si>
  <si>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</si>
  <si>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</si>
  <si>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</si>
  <si>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</si>
  <si>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</si>
  <si>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</si>
  <si>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</si>
  <si>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</si>
  <si>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</si>
  <si>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</si>
  <si>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</si>
  <si>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</si>
  <si>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</si>
  <si>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</si>
  <si>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</si>
  <si>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</si>
  <si>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</si>
  <si>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</si>
  <si>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</si>
  <si>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</si>
  <si>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</si>
  <si>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</si>
  <si>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</si>
  <si>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</si>
  <si>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</si>
  <si>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</si>
  <si>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</si>
  <si>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</si>
  <si>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</si>
  <si>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</si>
  <si>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</si>
  <si>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</si>
  <si>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</si>
  <si>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</si>
  <si>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</si>
  <si>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</si>
  <si>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</si>
  <si>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</si>
  <si>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</si>
  <si>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</si>
  <si>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</si>
  <si>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</si>
  <si>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</si>
  <si>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</si>
  <si>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</si>
  <si>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</si>
  <si>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</si>
  <si>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</si>
  <si>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</si>
  <si>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</si>
  <si>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</si>
  <si>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</si>
  <si>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</si>
  <si>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</si>
  <si>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</si>
  <si>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</si>
  <si>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</si>
  <si>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</si>
  <si>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</si>
  <si>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</si>
  <si>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</si>
  <si>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</si>
  <si>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</si>
  <si>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</si>
  <si>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</si>
  <si>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</si>
  <si>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</si>
  <si>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</si>
  <si>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</si>
  <si>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</si>
  <si>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</si>
  <si>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</si>
  <si>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</si>
  <si>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</si>
  <si>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</si>
  <si>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</si>
  <si>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</si>
  <si>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</si>
  <si>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</si>
  <si>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</si>
  <si>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</si>
  <si>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</si>
  <si>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</si>
  <si>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</si>
  <si>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</si>
  <si>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</si>
  <si>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</si>
  <si>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</si>
  <si>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</si>
  <si>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</si>
  <si>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</si>
  <si>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</si>
  <si>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</si>
  <si>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</si>
  <si>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</si>
  <si>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</si>
  <si>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</si>
  <si>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</si>
  <si>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</si>
  <si>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</si>
  <si>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</si>
  <si>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</si>
  <si>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</si>
  <si>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</si>
  <si>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</si>
  <si>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</si>
  <si>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</si>
  <si>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</si>
  <si>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</si>
  <si>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</si>
  <si>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</si>
  <si>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</si>
  <si>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</si>
  <si>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</si>
  <si>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</si>
  <si>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</si>
  <si>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</si>
  <si>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</si>
  <si>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</si>
  <si>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</si>
  <si>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</si>
  <si>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</si>
  <si>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</si>
  <si>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</si>
  <si>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</si>
  <si>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</si>
  <si>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</si>
  <si>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</si>
  <si>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</si>
  <si>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</si>
  <si>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</si>
  <si>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</si>
  <si>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</si>
  <si>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</si>
  <si>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</si>
  <si>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</si>
  <si>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</si>
  <si>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</si>
  <si>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</si>
  <si>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</si>
  <si>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</si>
  <si>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</si>
  <si>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</si>
  <si>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</si>
  <si>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</si>
  <si>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</si>
  <si>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</si>
  <si>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</si>
  <si>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</si>
  <si>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</si>
  <si>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</si>
  <si>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</si>
  <si>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</si>
  <si>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</si>
  <si>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</si>
  <si>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</si>
  <si>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</si>
  <si>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</si>
  <si>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</si>
  <si>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</si>
  <si>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</si>
  <si>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</si>
  <si>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</si>
  <si>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</si>
  <si>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</si>
  <si>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</si>
  <si>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</si>
  <si>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</si>
  <si>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</si>
  <si>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</si>
  <si>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</si>
  <si>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</si>
  <si>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</si>
  <si>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</si>
  <si>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</si>
  <si>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</si>
  <si>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</si>
  <si>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</si>
  <si>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</si>
  <si>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</si>
  <si>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</si>
  <si>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</si>
  <si>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</si>
  <si>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</si>
  <si>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</si>
  <si>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</si>
  <si>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</si>
  <si>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</si>
  <si>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</si>
  <si>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</si>
  <si>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</si>
  <si>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</si>
  <si>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</si>
  <si>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</si>
  <si>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</si>
  <si>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</si>
  <si>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</si>
  <si>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</si>
  <si>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</si>
  <si>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</si>
  <si>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</si>
  <si>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</si>
  <si>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</si>
  <si>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</si>
  <si>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</si>
  <si>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</si>
  <si>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</si>
  <si>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</si>
  <si>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</si>
  <si>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</si>
  <si>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</si>
  <si>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</si>
  <si>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</si>
  <si>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</si>
  <si>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</si>
  <si>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</si>
  <si>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</si>
  <si>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</si>
  <si>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</si>
  <si>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</si>
  <si>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</si>
  <si>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</si>
  <si>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</si>
  <si>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</si>
  <si>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</si>
  <si>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</si>
  <si>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</si>
  <si>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</si>
  <si>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</si>
  <si>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</si>
  <si>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</si>
  <si>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</si>
  <si>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</si>
  <si>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</si>
  <si>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</si>
  <si>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</si>
  <si>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</si>
  <si>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</si>
  <si>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</si>
  <si>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</si>
  <si>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</si>
  <si>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</si>
  <si>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</si>
  <si>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</si>
  <si>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</si>
  <si>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</si>
  <si>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</si>
  <si>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</si>
  <si>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</si>
  <si>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</si>
  <si>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</si>
  <si>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</si>
  <si>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</si>
  <si>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</si>
  <si>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</si>
  <si>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</si>
  <si>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</si>
  <si>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</si>
  <si>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</si>
  <si>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</si>
  <si>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</si>
  <si>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</si>
  <si>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</si>
  <si>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</si>
  <si>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</si>
  <si>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</si>
  <si>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</si>
  <si>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</si>
  <si>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</si>
  <si>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</si>
  <si>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</si>
  <si>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</si>
  <si>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</si>
  <si>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</si>
  <si>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</si>
  <si>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</si>
  <si>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</si>
  <si>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</si>
  <si>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</si>
  <si>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</si>
  <si>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</si>
  <si>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</si>
  <si>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</si>
  <si>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</si>
  <si>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</si>
  <si>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</si>
  <si>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</si>
  <si>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</si>
  <si>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</si>
  <si>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</si>
  <si>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</si>
  <si>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</si>
  <si>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</si>
  <si>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</si>
  <si>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</si>
  <si>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</si>
  <si>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</si>
  <si>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</si>
  <si>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</si>
  <si>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</si>
  <si>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</si>
  <si>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</si>
  <si>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</si>
  <si>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</si>
  <si>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</si>
  <si>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</si>
  <si>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</si>
  <si>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</si>
  <si>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</si>
  <si>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</si>
  <si>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</si>
  <si>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</si>
  <si>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</si>
  <si>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</si>
  <si>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</si>
  <si>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</si>
  <si>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</si>
  <si>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</si>
  <si>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</si>
  <si>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</si>
  <si>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</si>
  <si>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</si>
  <si>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</si>
  <si>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</si>
  <si>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</si>
  <si>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</si>
  <si>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</si>
  <si>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</si>
  <si>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</si>
  <si>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</si>
  <si>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</si>
  <si>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</si>
  <si>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</si>
  <si>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</si>
  <si>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</si>
  <si>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</si>
  <si>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</si>
  <si>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</si>
  <si>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</si>
  <si>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</si>
  <si>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</si>
  <si>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</si>
  <si>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</si>
  <si>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</si>
  <si>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</si>
  <si>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</si>
  <si>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</si>
  <si>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</si>
  <si>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</si>
  <si>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</si>
  <si>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</si>
  <si>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</si>
  <si>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</si>
  <si>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</si>
  <si>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</si>
  <si>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</si>
  <si>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</si>
  <si>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</si>
  <si>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</si>
  <si>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</si>
  <si>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</si>
  <si>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</si>
  <si>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</si>
  <si>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</si>
  <si>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</si>
  <si>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</si>
  <si>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</si>
  <si>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</si>
  <si>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</si>
  <si>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</si>
  <si>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</si>
  <si>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</si>
  <si>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</si>
  <si>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</si>
  <si>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</si>
  <si>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</si>
  <si>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</si>
  <si>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</si>
  <si>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</si>
  <si>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</si>
  <si>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</si>
  <si>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</si>
  <si>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</si>
  <si>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</si>
  <si>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</si>
  <si>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</si>
  <si>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</si>
  <si>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</si>
  <si>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</si>
  <si>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</si>
  <si>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</si>
  <si>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</si>
  <si>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</si>
  <si>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</si>
  <si>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</si>
  <si>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</si>
  <si>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</si>
  <si>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</si>
  <si>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</si>
  <si>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</si>
  <si>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</si>
  <si>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</si>
  <si>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</si>
  <si>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</si>
  <si>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</si>
  <si>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</si>
  <si>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</si>
  <si>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</si>
  <si>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</si>
  <si>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</si>
  <si>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</si>
  <si>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</si>
  <si>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</si>
  <si>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</si>
  <si>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</si>
  <si>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</si>
  <si>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</si>
  <si>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</si>
  <si>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</si>
  <si>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</si>
  <si>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</si>
  <si>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</si>
  <si>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</si>
  <si>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</si>
  <si>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</si>
  <si>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</si>
  <si>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</si>
  <si>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</si>
  <si>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</si>
  <si>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</si>
  <si>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</si>
  <si>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</si>
  <si>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</si>
  <si>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</si>
  <si>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</si>
  <si>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</si>
  <si>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</si>
  <si>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</si>
  <si>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</si>
  <si>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</si>
  <si>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</si>
  <si>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</si>
  <si>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</si>
  <si>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</si>
  <si>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</si>
  <si>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</si>
  <si>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</si>
  <si>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</si>
  <si>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</si>
  <si>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</si>
  <si>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</si>
  <si>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</si>
  <si>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</si>
  <si>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</si>
  <si>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</si>
  <si>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</si>
  <si>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</si>
  <si>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</si>
  <si>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</si>
  <si>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</si>
  <si>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</si>
  <si>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</si>
  <si>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</si>
  <si>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</si>
  <si>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</si>
  <si>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</si>
  <si>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</si>
  <si>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</si>
  <si>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</si>
  <si>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</si>
  <si>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</si>
  <si>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</si>
  <si>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</si>
  <si>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</si>
  <si>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</si>
  <si>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</si>
  <si>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</si>
  <si>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</si>
  <si>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</si>
  <si>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</si>
  <si>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</si>
  <si>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</si>
  <si>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</si>
  <si>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</si>
  <si>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</si>
  <si>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</si>
  <si>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</si>
  <si>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</si>
  <si>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</si>
  <si>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</si>
  <si>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</si>
  <si>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</si>
  <si>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</si>
  <si>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</si>
  <si>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</si>
  <si>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</si>
  <si>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</si>
  <si>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</si>
  <si>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</si>
  <si>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</si>
  <si>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</si>
  <si>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</si>
  <si>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</si>
  <si>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</si>
  <si>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</si>
  <si>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</si>
  <si>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</si>
  <si>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</si>
  <si>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</si>
  <si>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</si>
  <si>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</si>
  <si>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</si>
  <si>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</si>
  <si>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</si>
  <si>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</si>
  <si>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</si>
  <si>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</si>
  <si>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</si>
  <si>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</si>
  <si>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</si>
  <si>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</si>
  <si>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</si>
  <si>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</si>
  <si>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</si>
  <si>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</si>
  <si>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</si>
  <si>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</si>
  <si>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</si>
  <si>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</si>
  <si>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</si>
  <si>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</si>
  <si>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</si>
  <si>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</si>
  <si>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</si>
  <si>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</si>
  <si>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</si>
  <si>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</si>
  <si>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</si>
  <si>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</si>
  <si>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</si>
  <si>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</si>
  <si>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</si>
  <si>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</si>
  <si>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</si>
  <si>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</si>
  <si>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</si>
  <si>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</si>
  <si>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</si>
  <si>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</si>
  <si>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</si>
  <si>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</si>
  <si>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</si>
  <si>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</si>
  <si>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</si>
  <si>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</si>
  <si>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</si>
  <si>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</si>
  <si>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</si>
  <si>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</si>
  <si>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</si>
  <si>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</si>
  <si>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</si>
  <si>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</si>
  <si>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</si>
  <si>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</si>
  <si>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</si>
  <si>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</si>
  <si>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</si>
  <si>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</si>
  <si>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</si>
  <si>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</si>
  <si>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</si>
  <si>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</si>
  <si>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</si>
  <si>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</si>
  <si>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</si>
  <si>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</si>
  <si>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</si>
  <si>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</si>
  <si>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</si>
  <si>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</si>
  <si>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</si>
  <si>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</si>
  <si>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</si>
  <si>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</si>
  <si>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</si>
  <si>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</si>
  <si>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</si>
  <si>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</si>
  <si>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</si>
  <si>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</si>
  <si>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</si>
  <si>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</si>
  <si>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</si>
  <si>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</si>
  <si>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</si>
  <si>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</si>
  <si>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</si>
  <si>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</si>
  <si>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</si>
  <si>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</si>
  <si>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</si>
  <si>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</si>
  <si>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</si>
  <si>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</si>
  <si>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</si>
  <si>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</si>
  <si>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</si>
  <si>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</si>
  <si>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</si>
  <si>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</si>
  <si>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</si>
  <si>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</si>
  <si>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</si>
  <si>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</si>
  <si>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</si>
  <si>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</si>
  <si>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</si>
  <si>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</si>
  <si>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</si>
  <si>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</si>
  <si>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</si>
  <si>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</si>
  <si>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</si>
  <si>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</si>
  <si>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</si>
  <si>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</si>
  <si>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</si>
  <si>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</si>
  <si>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</si>
  <si>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</si>
  <si>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</si>
  <si>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</si>
  <si>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</si>
  <si>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</si>
  <si>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</si>
  <si>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</si>
  <si>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</si>
  <si>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</si>
  <si>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</si>
  <si>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</si>
  <si>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</si>
  <si>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</si>
  <si>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</si>
  <si>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</si>
  <si>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</si>
  <si>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</si>
  <si>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</si>
  <si>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</si>
  <si>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</si>
  <si>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</si>
  <si>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</si>
  <si>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</si>
  <si>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</si>
  <si>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</si>
  <si>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</si>
  <si>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</si>
  <si>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</si>
  <si>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</si>
  <si>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</si>
  <si>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</si>
  <si>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</si>
  <si>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</si>
  <si>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</si>
  <si>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</si>
  <si>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</si>
  <si>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</si>
  <si>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</si>
  <si>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</si>
  <si>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</si>
  <si>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</si>
  <si>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</si>
  <si>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</si>
  <si>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</si>
  <si>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</si>
  <si>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</si>
  <si>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</si>
  <si>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</si>
  <si>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</si>
  <si>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</si>
  <si>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</si>
  <si>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</si>
  <si>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</si>
  <si>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</si>
  <si>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</si>
  <si>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</si>
  <si>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</si>
  <si>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</si>
  <si>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</si>
  <si>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</si>
  <si>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</si>
  <si>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</si>
  <si>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</si>
  <si>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</si>
  <si>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</si>
  <si>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</si>
  <si>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</si>
  <si>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</si>
  <si>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</si>
  <si>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</si>
  <si>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</si>
  <si>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</si>
  <si>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</si>
  <si>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</si>
  <si>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</si>
  <si>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</si>
  <si>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</si>
  <si>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</si>
  <si>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</si>
  <si>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</si>
  <si>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</si>
  <si>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</si>
  <si>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</si>
  <si>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</si>
  <si>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</si>
  <si>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</si>
  <si>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</si>
  <si>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</si>
  <si>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</si>
  <si>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</si>
  <si>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</si>
  <si>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</si>
  <si>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</si>
  <si>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</si>
  <si>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</si>
  <si>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</si>
  <si>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</si>
  <si>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</si>
  <si>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</si>
  <si>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</si>
  <si>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</si>
  <si>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</si>
  <si>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</si>
  <si>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</si>
  <si>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</si>
  <si>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</si>
  <si>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</si>
  <si>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</si>
  <si>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</si>
  <si>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</si>
  <si>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</si>
  <si>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</si>
  <si>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</si>
  <si>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</si>
  <si>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</si>
  <si>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</si>
  <si>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</si>
  <si>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</si>
  <si>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</si>
  <si>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</si>
  <si>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</si>
  <si>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</si>
  <si>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</si>
  <si>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</si>
  <si>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</si>
  <si>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</si>
  <si>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</si>
  <si>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</si>
  <si>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</si>
  <si>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</si>
  <si>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</si>
  <si>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</si>
  <si>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</si>
  <si>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</si>
  <si>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</si>
  <si>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</si>
  <si>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</si>
  <si>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</si>
  <si>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</si>
  <si>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</si>
  <si>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</si>
  <si>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</si>
  <si>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</si>
  <si>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</si>
  <si>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</si>
  <si>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</si>
  <si>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</si>
  <si>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</si>
  <si>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</si>
  <si>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</si>
  <si>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</si>
  <si>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</si>
  <si>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</si>
  <si>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</si>
  <si>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</si>
  <si>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</si>
  <si>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</si>
  <si>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</si>
  <si>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</si>
  <si>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</si>
  <si>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</si>
  <si>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</si>
  <si>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</si>
  <si>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</si>
  <si>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</si>
  <si>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</si>
  <si>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</si>
  <si>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</si>
  <si>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</si>
  <si>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</si>
  <si>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</si>
  <si>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</si>
  <si>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</si>
  <si>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</si>
  <si>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</si>
  <si>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</si>
  <si>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</si>
  <si>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</si>
  <si>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</si>
  <si>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</si>
  <si>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</si>
  <si>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</si>
  <si>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</si>
  <si>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</si>
  <si>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</si>
  <si>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</si>
  <si>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</si>
  <si>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</si>
  <si>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</si>
  <si>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</si>
  <si>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</si>
  <si>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</si>
  <si>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</si>
  <si>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</si>
  <si>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</si>
  <si>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</si>
  <si>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</si>
  <si>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</si>
  <si>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</si>
  <si>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</si>
  <si>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</si>
  <si>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</si>
  <si>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</si>
  <si>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</si>
  <si>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</si>
  <si>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</si>
  <si>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</si>
  <si>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</si>
  <si>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</si>
  <si>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</si>
  <si>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</si>
  <si>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</si>
  <si>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</si>
  <si>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</si>
  <si>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</si>
  <si>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</si>
  <si>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</si>
  <si>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</si>
  <si>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</si>
  <si>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</si>
  <si>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</si>
  <si>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</si>
  <si>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</si>
  <si>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</si>
  <si>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</si>
  <si>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</si>
  <si>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</si>
  <si>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</si>
  <si>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</si>
  <si>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</si>
  <si>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</si>
  <si>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</si>
  <si>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</si>
  <si>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</si>
  <si>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</si>
  <si>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</si>
  <si>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</si>
  <si>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</si>
  <si>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</si>
  <si>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</si>
  <si>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</si>
  <si>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</si>
  <si>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</si>
  <si>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</si>
  <si>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</si>
  <si>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</si>
  <si>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</si>
  <si>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</si>
  <si>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</si>
  <si>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</si>
  <si>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</si>
  <si>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</si>
  <si>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</si>
  <si>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</si>
  <si>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</si>
  <si>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</si>
  <si>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</si>
  <si>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</si>
  <si>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</si>
  <si>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</si>
  <si>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</si>
  <si>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</si>
  <si>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</si>
  <si>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</si>
  <si>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</si>
  <si>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</si>
  <si>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</si>
  <si>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</si>
  <si>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</si>
  <si>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</si>
  <si>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</si>
  <si>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</si>
  <si>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</si>
  <si>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</si>
  <si>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</si>
  <si>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</si>
  <si>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</si>
  <si>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</si>
  <si>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</si>
  <si>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</si>
  <si>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</si>
  <si>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</si>
  <si>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</si>
  <si>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</si>
  <si>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</si>
  <si>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</si>
  <si>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</si>
  <si>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</si>
  <si>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</si>
  <si>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</si>
  <si>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</si>
  <si>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</si>
  <si>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</si>
  <si>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</si>
  <si>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</si>
  <si>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</si>
  <si>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</si>
  <si>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</si>
  <si>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</si>
  <si>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</si>
  <si>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</si>
  <si>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</si>
  <si>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</si>
  <si>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</si>
  <si>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</si>
  <si>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</si>
  <si>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</si>
  <si>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</si>
  <si>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</si>
  <si>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</si>
  <si>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</si>
  <si>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</si>
  <si>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</si>
  <si>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</si>
  <si>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</si>
  <si>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</si>
  <si>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</si>
  <si>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</si>
  <si>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</si>
  <si>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</si>
  <si>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</si>
  <si>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</si>
  <si>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</si>
  <si>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</si>
  <si>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</si>
  <si>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</si>
  <si>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</si>
  <si>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</si>
  <si>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</si>
  <si>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</si>
  <si>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</si>
  <si>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</si>
  <si>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</si>
  <si>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</si>
  <si>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</si>
  <si>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</si>
  <si>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</si>
  <si>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</si>
  <si>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</si>
  <si>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</si>
  <si>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</si>
  <si>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</si>
  <si>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</si>
  <si>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</si>
  <si>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</si>
  <si>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</si>
  <si>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</si>
  <si>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</si>
  <si>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</si>
  <si>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</si>
  <si>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</si>
  <si>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</si>
  <si>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</si>
  <si>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</si>
  <si>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</si>
  <si>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</si>
  <si>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</si>
  <si>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</si>
  <si>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</si>
  <si>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</si>
  <si>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</si>
  <si>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</si>
  <si>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</si>
  <si>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</si>
  <si>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</si>
  <si>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</si>
  <si>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</si>
  <si>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</si>
  <si>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</si>
  <si>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</si>
  <si>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</si>
  <si>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</si>
  <si>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</si>
  <si>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</si>
  <si>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</si>
  <si>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</si>
  <si>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</si>
  <si>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</si>
  <si>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</si>
  <si>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</si>
  <si>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</si>
  <si>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</si>
  <si>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</si>
  <si>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</si>
  <si>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</si>
  <si>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</si>
  <si>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</si>
  <si>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</si>
  <si>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</si>
  <si>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</si>
  <si>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</si>
  <si>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</si>
  <si>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</si>
  <si>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</si>
  <si>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</si>
  <si>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</si>
  <si>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</si>
  <si>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</si>
  <si>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</si>
  <si>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</si>
  <si>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</si>
  <si>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</si>
  <si>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</si>
  <si>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</si>
  <si>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</si>
  <si>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</si>
  <si>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</si>
  <si>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</si>
  <si>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</si>
  <si>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</si>
  <si>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</si>
  <si>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</si>
  <si>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</si>
  <si>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</si>
  <si>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</si>
  <si>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</si>
  <si>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</si>
  <si>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</si>
  <si>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</si>
  <si>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</si>
  <si>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</si>
  <si>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</si>
  <si>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</si>
  <si>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</si>
  <si>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</si>
  <si>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</si>
  <si>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</si>
  <si>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</si>
  <si>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</si>
  <si>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</si>
  <si>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</si>
  <si>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</si>
  <si>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</si>
  <si>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</si>
  <si>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</si>
  <si>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</si>
  <si>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</si>
  <si>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</si>
  <si>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</si>
  <si>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</si>
  <si>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</si>
  <si>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</si>
  <si>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</si>
  <si>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</si>
  <si>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</si>
  <si>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</si>
  <si>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</si>
  <si>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</si>
  <si>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</si>
  <si>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</si>
  <si>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</si>
  <si>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</si>
  <si>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</si>
  <si>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</si>
  <si>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</si>
  <si>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</si>
  <si>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</si>
  <si>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</si>
  <si>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</si>
  <si>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</si>
  <si>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</si>
  <si>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</si>
  <si>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</si>
  <si>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</si>
  <si>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</si>
  <si>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</si>
  <si>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</si>
  <si>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</si>
  <si>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</si>
  <si>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</si>
  <si>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</si>
  <si>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</si>
  <si>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</si>
  <si>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</si>
  <si>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</si>
  <si>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</si>
  <si>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</si>
  <si>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</si>
  <si>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</si>
  <si>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</si>
  <si>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</si>
  <si>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</si>
  <si>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</si>
  <si>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</si>
  <si>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</si>
  <si>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</si>
  <si>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</si>
  <si>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</si>
  <si>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</si>
  <si>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</si>
  <si>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</si>
  <si>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</si>
  <si>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</si>
  <si>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</si>
  <si>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</si>
  <si>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</si>
  <si>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</si>
  <si>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</si>
  <si>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</si>
  <si>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</si>
  <si>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</si>
  <si>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</si>
  <si>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</si>
  <si>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</si>
  <si>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</si>
  <si>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</si>
  <si>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</si>
  <si>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</si>
  <si>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</si>
  <si>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</si>
  <si>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</si>
  <si>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</si>
  <si>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</si>
  <si>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</si>
  <si>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</si>
  <si>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</si>
  <si>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</si>
  <si>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</si>
  <si>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</si>
  <si>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</si>
  <si>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</si>
  <si>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</si>
  <si>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</si>
  <si>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</si>
  <si>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</si>
  <si>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</si>
  <si>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</si>
  <si>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</si>
  <si>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</si>
  <si>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</si>
  <si>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</si>
  <si>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</si>
  <si>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</si>
  <si>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</si>
  <si>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</si>
  <si>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</si>
  <si>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</si>
  <si>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</si>
  <si>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</si>
  <si>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</si>
  <si>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</si>
  <si>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</si>
  <si>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</si>
  <si>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</si>
  <si>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</si>
  <si>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</si>
  <si>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</si>
  <si>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</si>
  <si>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</si>
  <si>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</si>
  <si>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</si>
  <si>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</si>
  <si>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</si>
  <si>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</si>
  <si>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</si>
  <si>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</si>
  <si>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</si>
  <si>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</si>
  <si>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</si>
  <si>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</si>
  <si>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</si>
  <si>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</si>
  <si>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</si>
  <si>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</si>
  <si>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</si>
  <si>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</si>
  <si>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</si>
  <si>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</si>
  <si>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</si>
  <si>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</si>
  <si>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</si>
  <si>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</si>
  <si>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</si>
  <si>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</si>
  <si>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</si>
  <si>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</si>
  <si>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</si>
  <si>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</si>
  <si>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</si>
  <si>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</si>
  <si>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</si>
  <si>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</si>
  <si>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</si>
  <si>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</si>
  <si>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</si>
  <si>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</si>
  <si>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</si>
  <si>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</si>
  <si>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</si>
  <si>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</si>
  <si>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</si>
  <si>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</si>
  <si>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</si>
  <si>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</si>
  <si>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</si>
  <si>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</si>
  <si>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</si>
  <si>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</si>
  <si>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</si>
  <si>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</si>
  <si>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</si>
  <si>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</si>
  <si>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</si>
  <si>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</si>
  <si>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</si>
  <si>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</si>
  <si>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</si>
  <si>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</si>
  <si>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</si>
  <si>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</si>
  <si>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</si>
  <si>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</si>
  <si>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</si>
  <si>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</si>
  <si>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</si>
  <si>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</si>
  <si>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</si>
  <si>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</si>
  <si>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</si>
  <si>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</si>
  <si>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</si>
  <si>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</si>
  <si>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</si>
  <si>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</si>
  <si>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</si>
  <si>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</si>
  <si>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</si>
  <si>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</si>
  <si>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</si>
  <si>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</si>
  <si>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</si>
  <si>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</si>
  <si>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</si>
  <si>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</si>
  <si>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</si>
  <si>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</si>
  <si>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</si>
  <si>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</si>
  <si>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</si>
  <si>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</si>
  <si>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</si>
  <si>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</si>
  <si>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</si>
  <si>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</si>
  <si>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</si>
  <si>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</si>
  <si>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</si>
  <si>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</si>
  <si>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</si>
  <si>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</si>
  <si>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</si>
  <si>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</si>
  <si>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</si>
  <si>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</si>
  <si>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</si>
  <si>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</si>
  <si>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</si>
  <si>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</si>
  <si>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</si>
  <si>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</si>
  <si>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</si>
  <si>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</si>
  <si>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</si>
  <si>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</si>
  <si>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</si>
  <si>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</si>
  <si>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</si>
  <si>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</si>
  <si>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</si>
  <si>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</si>
  <si>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</si>
  <si>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</si>
  <si>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</si>
  <si>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</si>
  <si>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</si>
  <si>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</si>
  <si>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</si>
  <si>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</si>
  <si>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</si>
  <si>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</si>
  <si>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</si>
  <si>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</si>
  <si>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</si>
  <si>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</si>
  <si>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</si>
  <si>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</si>
  <si>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</si>
  <si>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</si>
  <si>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</si>
  <si>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</si>
  <si>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</si>
  <si>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</si>
  <si>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</si>
  <si>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</si>
  <si>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</si>
  <si>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</si>
  <si>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</si>
  <si>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</si>
  <si>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</si>
  <si>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</si>
  <si>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</si>
  <si>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</si>
  <si>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</si>
  <si>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</si>
  <si>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</si>
  <si>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</si>
  <si>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</si>
  <si>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</si>
  <si>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</si>
  <si>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</si>
  <si>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</si>
  <si>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</si>
  <si>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</si>
  <si>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</si>
  <si>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</si>
  <si>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</si>
  <si>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</si>
  <si>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</si>
  <si>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</si>
  <si>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</si>
  <si>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</si>
  <si>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</si>
  <si>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</si>
  <si>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</si>
  <si>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</si>
  <si>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</si>
  <si>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</si>
  <si>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</si>
  <si>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</si>
  <si>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</si>
  <si>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</si>
  <si>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</si>
  <si>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</si>
  <si>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</si>
  <si>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</si>
  <si>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</si>
  <si>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</si>
  <si>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</si>
  <si>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</si>
  <si>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</si>
  <si>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</si>
  <si>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</si>
  <si>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</si>
  <si>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</si>
  <si>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</si>
  <si>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</si>
  <si>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</si>
  <si>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</si>
  <si>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</si>
  <si>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</si>
  <si>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</si>
  <si>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</si>
  <si>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</si>
  <si>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</si>
  <si>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</si>
  <si>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</si>
  <si>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</si>
  <si>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</si>
  <si>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</si>
  <si>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</si>
  <si>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</si>
  <si>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</si>
  <si>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</si>
  <si>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</si>
  <si>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</si>
  <si>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</si>
  <si>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</si>
  <si>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</si>
  <si>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</si>
  <si>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</si>
  <si>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</si>
  <si>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</si>
  <si>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</si>
  <si>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</si>
  <si>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</si>
  <si>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</si>
  <si>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</si>
  <si>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</si>
  <si>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</si>
  <si>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</si>
  <si>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</si>
  <si>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</si>
  <si>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</si>
  <si>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</si>
  <si>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</si>
  <si>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</si>
  <si>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</si>
  <si>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</si>
  <si>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</si>
  <si>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</si>
  <si>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</si>
  <si>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</si>
  <si>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</si>
  <si>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</si>
  <si>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</si>
  <si>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</si>
  <si>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</si>
  <si>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</si>
  <si>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</si>
  <si>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</si>
  <si>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</si>
  <si>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</si>
  <si>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</si>
  <si>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</si>
  <si>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</si>
  <si>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</si>
  <si>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</si>
  <si>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</si>
  <si>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</si>
  <si>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</si>
  <si>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</si>
  <si>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</si>
  <si>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</si>
  <si>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</si>
  <si>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</si>
  <si>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</si>
  <si>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</si>
  <si>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</si>
  <si>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</si>
  <si>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</si>
  <si>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</si>
  <si>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</si>
  <si>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</si>
  <si>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</si>
  <si>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</si>
  <si>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</si>
  <si>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</si>
  <si>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</si>
  <si>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</si>
  <si>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</si>
  <si>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</si>
  <si>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</si>
  <si>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</si>
  <si>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</si>
  <si>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</si>
  <si>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</si>
  <si>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</si>
  <si>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</si>
  <si>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</si>
  <si>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</si>
  <si>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</si>
  <si>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</si>
  <si>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</si>
  <si>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</si>
  <si>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</si>
  <si>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</si>
  <si>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</si>
  <si>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</si>
  <si>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</si>
  <si>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</si>
  <si>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</si>
  <si>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</si>
  <si>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</si>
  <si>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</si>
  <si>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</si>
  <si>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</si>
  <si>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</si>
  <si>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</si>
  <si>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</si>
  <si>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</si>
  <si>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</si>
  <si>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</si>
  <si>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</si>
  <si>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</si>
  <si>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</si>
  <si>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</si>
  <si>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</si>
  <si>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</si>
  <si>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</si>
  <si>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</si>
  <si>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</si>
  <si>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</si>
  <si>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</si>
  <si>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</si>
  <si>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</si>
  <si>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</si>
  <si>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</si>
  <si>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</si>
  <si>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</si>
  <si>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</si>
  <si>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</si>
  <si>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</si>
  <si>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</si>
  <si>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</si>
  <si>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</si>
  <si>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</si>
  <si>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</si>
  <si>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</si>
  <si>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</si>
  <si>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</si>
  <si>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</si>
  <si>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</si>
  <si>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</si>
  <si>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</si>
  <si>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</si>
  <si>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</si>
  <si>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</si>
  <si>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</si>
  <si>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</si>
  <si>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</si>
  <si>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</si>
  <si>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</si>
  <si>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</si>
  <si>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</si>
  <si>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</si>
  <si>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</si>
  <si>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</si>
  <si>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</si>
  <si>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</si>
  <si>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</si>
  <si>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</si>
  <si>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</si>
  <si>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</si>
  <si>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</si>
  <si>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</si>
  <si>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</si>
  <si>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</si>
  <si>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</si>
  <si>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</si>
  <si>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</si>
  <si>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</si>
  <si>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</si>
  <si>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</si>
  <si>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</si>
  <si>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</si>
  <si>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</si>
  <si>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</si>
  <si>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</si>
  <si>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</si>
  <si>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</si>
  <si>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</si>
  <si>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</si>
  <si>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</si>
  <si>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</si>
  <si>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</si>
  <si>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</si>
  <si>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</si>
  <si>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</si>
  <si>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</si>
  <si>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</si>
  <si>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</si>
  <si>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</si>
  <si>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</si>
  <si>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</si>
  <si>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</si>
  <si>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</si>
  <si>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</si>
  <si>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</si>
  <si>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</si>
  <si>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</si>
  <si>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</si>
  <si>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</si>
  <si>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</si>
  <si>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</si>
  <si>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</si>
  <si>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</si>
  <si>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</si>
  <si>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</si>
  <si>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</si>
  <si>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</si>
  <si>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</si>
  <si>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</si>
  <si>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</si>
  <si>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</si>
  <si>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</si>
  <si>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</si>
  <si>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</si>
  <si>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</si>
  <si>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</si>
  <si>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</si>
  <si>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</si>
  <si>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</si>
  <si>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</si>
  <si>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</si>
  <si>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</si>
  <si>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</si>
  <si>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</si>
  <si>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</si>
  <si>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</si>
  <si>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</si>
  <si>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</si>
  <si>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</si>
  <si>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</si>
  <si>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</si>
  <si>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</si>
  <si>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</si>
  <si>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</si>
  <si>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</si>
  <si>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</si>
  <si>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</si>
  <si>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</si>
  <si>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</si>
  <si>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</si>
  <si>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</si>
  <si>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</si>
  <si>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</si>
  <si>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</si>
  <si>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</si>
  <si>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</si>
  <si>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</si>
  <si>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</si>
  <si>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</si>
  <si>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</si>
  <si>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</si>
  <si>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</si>
  <si>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</si>
  <si>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</si>
  <si>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</si>
  <si>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</si>
  <si>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</si>
  <si>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</si>
  <si>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</si>
  <si>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</si>
  <si>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</si>
  <si>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</si>
  <si>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</si>
  <si>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</si>
  <si>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</si>
  <si>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</si>
  <si>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</si>
  <si>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</si>
  <si>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</si>
  <si>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</si>
  <si>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</si>
  <si>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</si>
  <si>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</si>
  <si>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</si>
  <si>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</si>
  <si>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</si>
  <si>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</si>
  <si>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</si>
  <si>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</si>
  <si>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</si>
  <si>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</si>
  <si>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</si>
  <si>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</si>
  <si>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</si>
  <si>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</si>
  <si>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</si>
  <si>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</si>
  <si>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</si>
  <si>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</si>
  <si>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</si>
  <si>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</si>
  <si>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</si>
  <si>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</si>
  <si>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</si>
  <si>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</si>
  <si>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</si>
  <si>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</si>
  <si>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</si>
  <si>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</si>
  <si>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</si>
  <si>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</si>
  <si>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</si>
  <si>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</si>
  <si>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</si>
  <si>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</si>
  <si>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</si>
  <si>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</si>
  <si>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</si>
  <si>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</si>
  <si>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</si>
  <si>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</si>
  <si>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</si>
  <si>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</si>
  <si>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</si>
  <si>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</si>
  <si>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</si>
  <si>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</si>
  <si>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</si>
  <si>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</si>
  <si>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</si>
  <si>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</si>
  <si>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</si>
  <si>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</si>
  <si>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</si>
  <si>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</si>
  <si>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</si>
  <si>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</si>
  <si>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</si>
  <si>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</si>
  <si>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</si>
  <si>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</si>
  <si>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</si>
  <si>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</si>
  <si>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</si>
  <si>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</si>
  <si>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</si>
  <si>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</si>
  <si>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</si>
  <si>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</si>
  <si>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</si>
  <si>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</si>
  <si>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</si>
  <si>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</si>
  <si>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</si>
  <si>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</si>
  <si>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</si>
  <si>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</si>
  <si>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</si>
  <si>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</si>
  <si>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</si>
  <si>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</si>
  <si>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</si>
  <si>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</si>
  <si>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</si>
  <si>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</si>
  <si>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</si>
  <si>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</si>
  <si>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</si>
  <si>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</si>
  <si>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</si>
  <si>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</si>
  <si>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</si>
  <si>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</si>
  <si>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</si>
  <si>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</si>
  <si>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</si>
  <si>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</si>
  <si>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</si>
  <si>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</si>
  <si>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</si>
  <si>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</si>
  <si>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</si>
  <si>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</si>
  <si>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</si>
  <si>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</si>
  <si>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</si>
  <si>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</si>
  <si>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</si>
  <si>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</si>
  <si>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</si>
  <si>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</si>
  <si>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</si>
  <si>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</si>
  <si>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</si>
  <si>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</si>
  <si>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</si>
  <si>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</si>
  <si>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</si>
  <si>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</si>
  <si>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</si>
  <si>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</si>
  <si>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</si>
  <si>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</si>
  <si>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</si>
  <si>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</si>
  <si>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</si>
  <si>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</si>
  <si>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</si>
  <si>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</si>
  <si>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</si>
  <si>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</si>
  <si>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</si>
  <si>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</si>
  <si>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</si>
  <si>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</si>
  <si>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</si>
  <si>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</si>
  <si>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</si>
  <si>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</si>
  <si>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</si>
  <si>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</si>
  <si>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</si>
  <si>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</si>
  <si>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</si>
  <si>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</si>
  <si>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</si>
  <si>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</si>
  <si>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</si>
  <si>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</si>
  <si>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</si>
  <si>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</si>
  <si>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</si>
  <si>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</si>
  <si>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</si>
  <si>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</si>
  <si>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</si>
  <si>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</si>
  <si>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</si>
  <si>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</si>
  <si>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</si>
  <si>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</si>
  <si>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</si>
  <si>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</si>
  <si>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</si>
  <si>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</si>
  <si>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</si>
  <si>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</si>
  <si>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</si>
  <si>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</si>
  <si>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</si>
  <si>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</si>
  <si>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</si>
  <si>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</si>
  <si>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</si>
  <si>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</si>
  <si>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</si>
  <si>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</si>
  <si>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</si>
  <si>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</si>
  <si>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</si>
  <si>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</si>
  <si>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</si>
  <si>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</si>
  <si>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</si>
  <si>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</si>
  <si>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</si>
  <si>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</si>
  <si>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</si>
  <si>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</si>
  <si>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</si>
  <si>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</si>
  <si>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</si>
  <si>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</si>
  <si>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</si>
  <si>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</si>
  <si>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</si>
  <si>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</si>
  <si>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</si>
  <si>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</si>
  <si>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</si>
  <si>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</si>
  <si>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</si>
  <si>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</si>
  <si>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</si>
  <si>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</si>
  <si>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</si>
  <si>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</si>
  <si>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</si>
  <si>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</si>
  <si>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</si>
  <si>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</si>
  <si>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</si>
  <si>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</si>
  <si>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</si>
  <si>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</si>
  <si>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</si>
  <si>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</si>
  <si>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</si>
  <si>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</si>
  <si>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</si>
  <si>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</si>
  <si>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</si>
  <si>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</si>
  <si>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</si>
  <si>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</si>
  <si>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</si>
  <si>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</si>
  <si>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</si>
  <si>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</si>
  <si>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</si>
  <si>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</si>
  <si>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</si>
  <si>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</si>
  <si>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</si>
  <si>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</si>
  <si>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</si>
  <si>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</si>
  <si>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</si>
  <si>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</si>
  <si>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</si>
  <si>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</si>
  <si>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</si>
  <si>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</si>
  <si>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</si>
  <si>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</si>
  <si>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</si>
  <si>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</si>
  <si>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</si>
  <si>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</si>
  <si>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</si>
  <si>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</si>
  <si>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</si>
  <si>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</si>
  <si>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</si>
  <si>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</si>
  <si>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</si>
  <si>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</si>
  <si>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</si>
  <si>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</si>
  <si>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</si>
  <si>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</si>
  <si>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</si>
  <si>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</si>
  <si>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</si>
  <si>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</si>
  <si>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</si>
  <si>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</si>
  <si>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</si>
  <si>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</si>
  <si>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</si>
  <si>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</si>
  <si>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</si>
  <si>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</si>
  <si>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</si>
  <si>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</si>
  <si>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</si>
  <si>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</si>
  <si>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</si>
  <si>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</si>
  <si>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</si>
  <si>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</si>
  <si>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</si>
  <si>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</si>
  <si>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</si>
  <si>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</si>
  <si>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</si>
  <si>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</si>
  <si>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</si>
  <si>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</si>
  <si>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</si>
  <si>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</si>
  <si>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</si>
  <si>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</si>
  <si>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</si>
  <si>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</si>
  <si>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</si>
  <si>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</si>
  <si>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</si>
  <si>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</si>
  <si>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</si>
  <si>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</si>
  <si>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</si>
  <si>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</si>
  <si>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</si>
  <si>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</si>
  <si>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</si>
  <si>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</si>
  <si>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</si>
  <si>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</si>
  <si>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</si>
  <si>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</si>
  <si>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</si>
  <si>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</si>
  <si>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</si>
  <si>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</si>
  <si>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</si>
  <si>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</si>
  <si>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</si>
  <si>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</si>
  <si>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</si>
  <si>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</si>
  <si>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</si>
  <si>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</si>
  <si>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</si>
  <si>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</si>
  <si>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</si>
  <si>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</si>
  <si>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</si>
  <si>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</si>
  <si>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</si>
  <si>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</si>
  <si>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</si>
  <si>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</si>
  <si>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</si>
  <si>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</si>
  <si>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</si>
  <si>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</si>
  <si>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</si>
  <si>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</si>
  <si>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</si>
  <si>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</si>
  <si>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</si>
  <si>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</si>
  <si>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</si>
  <si>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</si>
  <si>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</si>
  <si>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</si>
  <si>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</si>
  <si>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</si>
  <si>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</si>
  <si>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</si>
  <si>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</si>
  <si>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</si>
  <si>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</si>
  <si>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</si>
  <si>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</si>
  <si>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</si>
  <si>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</si>
  <si>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</si>
  <si>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</si>
  <si>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</si>
  <si>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</si>
  <si>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</si>
  <si>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</si>
  <si>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</si>
  <si>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</si>
  <si>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</si>
  <si>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</si>
  <si>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</si>
  <si>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</si>
  <si>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</si>
  <si>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</si>
  <si>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</si>
  <si>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</si>
  <si>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</si>
  <si>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</si>
  <si>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</si>
  <si>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</si>
  <si>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</si>
  <si>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</si>
  <si>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</si>
  <si>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</si>
  <si>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</si>
  <si>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</si>
  <si>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</si>
  <si>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</si>
  <si>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</si>
  <si>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</si>
  <si>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</si>
  <si>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</si>
  <si>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</si>
  <si>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</si>
  <si>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</si>
  <si>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</si>
  <si>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</si>
  <si>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</si>
  <si>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</si>
  <si>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</si>
  <si>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</si>
  <si>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</si>
  <si>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</si>
  <si>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</si>
  <si>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</si>
  <si>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</si>
  <si>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</si>
  <si>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</si>
  <si>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</si>
  <si>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</si>
  <si>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</si>
  <si>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</si>
  <si>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</si>
  <si>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</si>
  <si>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</si>
  <si>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</si>
  <si>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</si>
  <si>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</si>
  <si>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</si>
  <si>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</si>
  <si>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</si>
  <si>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</si>
  <si>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</si>
  <si>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</si>
  <si>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</si>
  <si>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</si>
  <si>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</si>
  <si>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</si>
  <si>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</si>
  <si>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</si>
  <si>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</si>
  <si>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</si>
  <si>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</si>
  <si>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</si>
  <si>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</si>
  <si>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</si>
  <si>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</si>
  <si>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</si>
  <si>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</si>
  <si>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</si>
  <si>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</si>
  <si>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</si>
  <si>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</si>
  <si>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</si>
  <si>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</si>
  <si>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</si>
  <si>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</si>
  <si>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</si>
  <si>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</si>
  <si>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</si>
  <si>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</si>
  <si>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</si>
  <si>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</si>
  <si>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</si>
  <si>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</si>
  <si>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</si>
  <si>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</si>
  <si>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</si>
  <si>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</si>
  <si>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</si>
  <si>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</si>
  <si>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</si>
  <si>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</si>
  <si>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</si>
  <si>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</si>
  <si>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</si>
  <si>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</si>
  <si>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</si>
  <si>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</si>
  <si>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</si>
  <si>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</si>
  <si>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</si>
  <si>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</si>
  <si>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</si>
  <si>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</si>
  <si>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</si>
  <si>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</si>
  <si>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</si>
  <si>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</si>
  <si>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</si>
  <si>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</si>
  <si>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</si>
  <si>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</si>
  <si>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</si>
  <si>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</si>
  <si>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</si>
  <si>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</si>
  <si>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</si>
  <si>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</si>
  <si>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</si>
  <si>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</si>
  <si>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</si>
  <si>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</si>
  <si>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</si>
  <si>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</si>
  <si>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</si>
  <si>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</si>
  <si>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</si>
  <si>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</si>
  <si>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</si>
  <si>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</si>
  <si>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</si>
  <si>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</si>
  <si>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</si>
  <si>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</si>
  <si>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</si>
  <si>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</si>
  <si>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</si>
  <si>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</si>
  <si>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</si>
  <si>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</si>
  <si>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</si>
  <si>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</si>
  <si>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</si>
  <si>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</si>
  <si>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</si>
  <si>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</si>
  <si>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</si>
  <si>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</si>
  <si>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</si>
  <si>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</si>
  <si>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</si>
  <si>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</si>
  <si>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</si>
  <si>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</si>
  <si>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</si>
  <si>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</si>
  <si>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</si>
  <si>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</si>
  <si>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</si>
  <si>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</si>
  <si>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</si>
  <si>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</si>
  <si>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</si>
  <si>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</si>
  <si>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</si>
  <si>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</si>
  <si>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</si>
  <si>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</si>
  <si>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</si>
  <si>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</si>
  <si>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</si>
  <si>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</si>
  <si>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</si>
  <si>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</si>
  <si>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</si>
  <si>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</si>
  <si>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</si>
  <si>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</si>
  <si>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</si>
  <si>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</si>
  <si>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</si>
  <si>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</si>
  <si>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</si>
  <si>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</si>
  <si>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</si>
  <si>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</si>
  <si>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</si>
  <si>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</si>
  <si>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</si>
  <si>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</si>
  <si>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</si>
  <si>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</si>
  <si>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</si>
  <si>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</si>
  <si>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</si>
  <si>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</si>
  <si>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</si>
  <si>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</si>
  <si>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</si>
  <si>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</si>
  <si>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</si>
  <si>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</si>
  <si>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</si>
  <si>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</si>
  <si>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</si>
  <si>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</si>
  <si>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</si>
  <si>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</si>
  <si>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</si>
  <si>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</si>
  <si>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</si>
  <si>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</si>
  <si>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</si>
  <si>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</si>
  <si>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</si>
  <si>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</si>
  <si>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</si>
  <si>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</si>
  <si>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</si>
  <si>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</si>
  <si>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</si>
  <si>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</si>
  <si>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</si>
  <si>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</si>
  <si>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</si>
  <si>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</si>
  <si>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</si>
  <si>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</si>
  <si>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</si>
  <si>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</si>
  <si>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</si>
  <si>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</si>
  <si>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</si>
  <si>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</si>
  <si>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</si>
  <si>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</si>
  <si>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</si>
  <si>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</si>
  <si>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</si>
  <si>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</si>
  <si>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</si>
  <si>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</si>
  <si>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</si>
  <si>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</si>
  <si>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</si>
  <si>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</si>
  <si>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</si>
  <si>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</si>
  <si>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</si>
  <si>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</si>
  <si>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</si>
  <si>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</si>
  <si>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</si>
  <si>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</si>
  <si>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</si>
  <si>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</si>
  <si>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</si>
  <si>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</si>
  <si>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</si>
  <si>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</si>
  <si>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</si>
  <si>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</si>
  <si>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</si>
  <si>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</si>
  <si>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</si>
  <si>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</si>
  <si>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</si>
  <si>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</si>
  <si>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</si>
  <si>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</si>
  <si>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</si>
  <si>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</si>
  <si>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</si>
  <si>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</si>
  <si>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</si>
  <si>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</si>
  <si>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</si>
  <si>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</si>
  <si>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</si>
  <si>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</si>
  <si>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</si>
  <si>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</si>
  <si>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</si>
  <si>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</si>
  <si>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</si>
  <si>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</si>
  <si>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</si>
  <si>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</si>
  <si>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</si>
  <si>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</si>
  <si>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</si>
  <si>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</si>
  <si>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</si>
  <si>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</si>
  <si>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</si>
  <si>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</si>
  <si>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</si>
  <si>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</si>
  <si>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</si>
  <si>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</si>
  <si>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</si>
  <si>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</si>
  <si>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</si>
  <si>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</si>
  <si>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</si>
  <si>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</si>
  <si>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</si>
  <si>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</si>
  <si>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</si>
  <si>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</si>
  <si>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</si>
  <si>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</si>
  <si>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</si>
  <si>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</si>
  <si>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</si>
  <si>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</si>
  <si>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</si>
  <si>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</si>
  <si>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</si>
  <si>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</si>
  <si>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</si>
  <si>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</si>
  <si>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</si>
  <si>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</si>
  <si>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</si>
  <si>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</si>
  <si>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</si>
  <si>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</si>
  <si>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</si>
  <si>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</si>
  <si>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</si>
  <si>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</si>
  <si>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</si>
  <si>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</si>
  <si>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</si>
  <si>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</si>
  <si>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</si>
  <si>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</si>
  <si>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</si>
  <si>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</si>
  <si>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</si>
  <si>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</si>
  <si>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</si>
  <si>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</si>
  <si>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</si>
  <si>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</si>
  <si>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</si>
  <si>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</si>
  <si>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</si>
  <si>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</si>
  <si>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</si>
  <si>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</si>
  <si>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</si>
  <si>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</si>
  <si>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</si>
  <si>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</si>
  <si>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</si>
  <si>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</si>
  <si>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</si>
  <si>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</si>
  <si>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</si>
  <si>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</si>
  <si>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</si>
  <si>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</si>
  <si>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</si>
  <si>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</si>
  <si>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</si>
  <si>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</si>
  <si>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</si>
  <si>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</si>
  <si>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</si>
  <si>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</si>
  <si>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</si>
  <si>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</si>
  <si>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</si>
  <si>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</si>
  <si>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</si>
  <si>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</si>
  <si>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</si>
  <si>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</si>
  <si>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</si>
  <si>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</si>
  <si>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</si>
  <si>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</si>
  <si>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</si>
  <si>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</si>
  <si>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</si>
  <si>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</si>
  <si>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</si>
  <si>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</si>
  <si>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</si>
  <si>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</si>
  <si>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</si>
  <si>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</si>
  <si>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</si>
  <si>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</si>
  <si>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</si>
  <si>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</si>
  <si>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</si>
  <si>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</si>
  <si>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</si>
  <si>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</si>
  <si>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</si>
  <si>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</si>
  <si>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</si>
  <si>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</si>
  <si>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</si>
  <si>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</si>
  <si>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</si>
  <si>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</si>
  <si>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</si>
  <si>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</si>
  <si>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</si>
  <si>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</si>
  <si>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</si>
  <si>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</si>
  <si>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</si>
  <si>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</si>
  <si>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</si>
  <si>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</si>
  <si>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</si>
  <si>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</si>
  <si>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</si>
  <si>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</si>
  <si>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</si>
  <si>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</si>
  <si>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</si>
  <si>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</si>
  <si>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</si>
  <si>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</si>
  <si>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</si>
  <si>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</si>
  <si>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</si>
  <si>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</si>
  <si>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</si>
  <si>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</si>
  <si>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</si>
  <si>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</si>
  <si>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</si>
  <si>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</si>
  <si>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</si>
  <si>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</si>
  <si>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</si>
  <si>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</si>
  <si>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</si>
  <si>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</si>
  <si>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</si>
  <si>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</si>
  <si>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</si>
  <si>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</si>
  <si>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</si>
  <si>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</si>
  <si>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</si>
  <si>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</si>
  <si>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</si>
  <si>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</si>
  <si>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</si>
  <si>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</si>
  <si>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</si>
  <si>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</si>
  <si>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</si>
  <si>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</si>
  <si>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</si>
  <si>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</si>
  <si>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</si>
  <si>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</si>
  <si>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</si>
  <si>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</si>
  <si>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</si>
  <si>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</si>
  <si>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</si>
  <si>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</si>
  <si>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</si>
  <si>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</si>
  <si>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</si>
  <si>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</si>
  <si>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</si>
  <si>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</si>
  <si>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</si>
  <si>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</si>
  <si>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</si>
  <si>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</si>
  <si>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</si>
  <si>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</si>
  <si>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</si>
  <si>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</si>
  <si>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</si>
  <si>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</si>
  <si>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</si>
  <si>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</si>
  <si>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</si>
  <si>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</si>
  <si>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</si>
  <si>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</si>
  <si>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</si>
  <si>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</si>
  <si>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</si>
  <si>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</si>
  <si>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</si>
  <si>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</si>
  <si>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</si>
  <si>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</si>
  <si>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</si>
  <si>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</si>
  <si>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</si>
  <si>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</si>
  <si>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</si>
  <si>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</si>
  <si>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</si>
  <si>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</si>
  <si>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</si>
  <si>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</si>
  <si>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</si>
  <si>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</si>
  <si>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</si>
  <si>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</si>
  <si>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</si>
  <si>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</si>
  <si>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</si>
  <si>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</si>
  <si>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</si>
  <si>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</si>
  <si>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</si>
  <si>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</si>
  <si>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</si>
  <si>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</si>
  <si>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</si>
  <si>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</si>
  <si>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</si>
  <si>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</si>
  <si>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</si>
  <si>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</si>
  <si>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</si>
  <si>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</si>
  <si>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</si>
  <si>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</si>
  <si>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</si>
  <si>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</si>
  <si>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</si>
  <si>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</si>
  <si>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</si>
  <si>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</si>
  <si>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</si>
  <si>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</si>
  <si>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</si>
  <si>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</si>
  <si>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</si>
  <si>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</si>
  <si>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</si>
  <si>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</si>
  <si>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</si>
  <si>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</si>
  <si>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</si>
  <si>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</si>
  <si>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</si>
  <si>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</si>
  <si>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</si>
  <si>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</si>
  <si>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</si>
  <si>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</si>
  <si>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</si>
  <si>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</si>
  <si>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</si>
  <si>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</si>
  <si>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</si>
  <si>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</si>
  <si>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</si>
  <si>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</si>
  <si>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</si>
  <si>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</si>
  <si>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</si>
  <si>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</si>
  <si>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</si>
  <si>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</si>
  <si>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</si>
  <si>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</si>
  <si>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</si>
  <si>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</si>
  <si>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</si>
  <si>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</si>
  <si>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</si>
  <si>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</si>
  <si>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</si>
  <si>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</si>
  <si>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</si>
  <si>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</si>
  <si>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</si>
  <si>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</si>
  <si>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</si>
  <si>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</si>
  <si>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</si>
  <si>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</si>
  <si>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</si>
  <si>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</si>
  <si>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</si>
  <si>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</si>
  <si>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</si>
  <si>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</si>
  <si>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</si>
  <si>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</si>
  <si>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</si>
  <si>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</si>
  <si>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</si>
  <si>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</si>
  <si>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</si>
  <si>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</si>
  <si>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</si>
  <si>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</si>
  <si>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</si>
  <si>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</si>
  <si>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</si>
  <si>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</si>
  <si>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</si>
  <si>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</si>
  <si>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</si>
  <si>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</si>
  <si>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</si>
  <si>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</si>
  <si>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</si>
  <si>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</si>
  <si>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</si>
  <si>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</si>
  <si>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</si>
  <si>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</si>
  <si>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</si>
  <si>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</si>
  <si>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</si>
  <si>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</si>
  <si>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</si>
  <si>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</si>
  <si>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</si>
  <si>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</si>
  <si>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</si>
  <si>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</si>
  <si>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</si>
  <si>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</si>
  <si>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</si>
  <si>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</si>
  <si>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</si>
  <si>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</si>
  <si>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</si>
  <si>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</si>
  <si>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</si>
  <si>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</si>
  <si>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</si>
  <si>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</si>
  <si>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</si>
  <si>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</si>
  <si>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</si>
  <si>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</si>
  <si>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</si>
  <si>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</si>
  <si>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</si>
  <si>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</si>
  <si>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</si>
  <si>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</si>
  <si>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</si>
  <si>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</si>
  <si>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</si>
  <si>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</si>
  <si>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</si>
  <si>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</si>
  <si>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</si>
  <si>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</si>
  <si>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</si>
  <si>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</si>
  <si>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</si>
  <si>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</si>
  <si>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</si>
  <si>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</si>
  <si>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</si>
  <si>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</si>
  <si>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</si>
  <si>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</si>
  <si>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</si>
  <si>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</si>
  <si>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</si>
  <si>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</si>
  <si>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</si>
  <si>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</si>
  <si>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</si>
  <si>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</si>
  <si>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</si>
  <si>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</si>
  <si>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</si>
  <si>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</si>
  <si>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</si>
  <si>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</si>
  <si>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</si>
  <si>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</si>
  <si>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</si>
  <si>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</si>
  <si>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</si>
  <si>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</si>
  <si>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</si>
  <si>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</si>
  <si>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</si>
  <si>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</si>
  <si>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</si>
  <si>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</si>
  <si>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</si>
  <si>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</si>
  <si>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</si>
  <si>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</si>
  <si>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</si>
  <si>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</si>
  <si>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</si>
  <si>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</si>
  <si>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</si>
  <si>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</si>
  <si>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</si>
  <si>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</si>
  <si>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</si>
  <si>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</si>
  <si>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</si>
  <si>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</si>
  <si>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</si>
  <si>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</si>
  <si>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</si>
  <si>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</si>
  <si>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</si>
  <si>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</si>
  <si>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</si>
  <si>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</si>
  <si>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</si>
  <si>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</si>
  <si>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</si>
  <si>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</si>
  <si>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</si>
  <si>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</si>
  <si>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</si>
  <si>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</si>
  <si>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</si>
  <si>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</si>
  <si>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</si>
  <si>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</si>
  <si>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</si>
  <si>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</si>
  <si>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</si>
  <si>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</si>
  <si>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</si>
  <si>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</si>
  <si>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</si>
  <si>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</si>
  <si>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</si>
  <si>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</si>
  <si>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</si>
  <si>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</si>
  <si>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</si>
  <si>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</si>
  <si>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</si>
  <si>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</si>
  <si>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</si>
  <si>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</si>
  <si>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</si>
  <si>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</si>
  <si>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</si>
  <si>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</si>
  <si>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</si>
  <si>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</si>
  <si>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</si>
  <si>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</si>
  <si>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</si>
  <si>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</si>
  <si>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</si>
  <si>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</si>
  <si>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</si>
  <si>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</si>
  <si>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</si>
  <si>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</si>
  <si>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</si>
  <si>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</si>
  <si>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</si>
  <si>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</si>
  <si>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</si>
  <si>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</si>
  <si>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</si>
  <si>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</si>
  <si>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</si>
  <si>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</si>
  <si>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</si>
  <si>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</si>
  <si>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</si>
  <si>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</si>
  <si>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</si>
  <si>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</si>
  <si>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</si>
  <si>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</si>
  <si>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</si>
  <si>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</si>
  <si>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</si>
  <si>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</si>
  <si>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</si>
  <si>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</si>
  <si>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</si>
  <si>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</si>
  <si>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</si>
  <si>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</si>
  <si>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</si>
  <si>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</si>
  <si>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</si>
  <si>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</si>
  <si>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</si>
  <si>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</si>
  <si>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</si>
  <si>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</si>
  <si>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</si>
  <si>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</si>
  <si>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</si>
  <si>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</si>
  <si>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</si>
  <si>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</si>
  <si>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</si>
  <si>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</si>
  <si>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</si>
  <si>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</si>
  <si>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</si>
  <si>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</si>
  <si>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</si>
  <si>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</si>
  <si>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</si>
  <si>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</si>
  <si>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</si>
  <si>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</si>
  <si>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</si>
  <si>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</si>
  <si>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</si>
  <si>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</si>
  <si>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</si>
  <si>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</si>
  <si>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</si>
  <si>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</si>
  <si>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</si>
  <si>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</si>
  <si>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</si>
  <si>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</si>
  <si>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</si>
  <si>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</si>
  <si>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</si>
  <si>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</si>
  <si>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</si>
  <si>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</si>
  <si>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</si>
  <si>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</si>
  <si>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</si>
  <si>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</si>
  <si>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</si>
  <si>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</si>
  <si>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</si>
  <si>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</si>
  <si>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</si>
  <si>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</si>
  <si>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</si>
  <si>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</si>
  <si>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</si>
  <si>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</si>
  <si>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</si>
  <si>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</si>
  <si>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</si>
  <si>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</si>
  <si>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</si>
  <si>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</si>
  <si>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</si>
  <si>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</si>
  <si>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</si>
  <si>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</si>
  <si>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</si>
  <si>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</si>
  <si>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</si>
  <si>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</si>
  <si>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</si>
  <si>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</si>
  <si>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</si>
  <si>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</si>
  <si>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</si>
  <si>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</si>
  <si>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</si>
  <si>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</si>
  <si>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</si>
  <si>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</si>
  <si>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</si>
  <si>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</si>
  <si>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</si>
  <si>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</si>
  <si>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</si>
  <si>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</si>
  <si>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</si>
  <si>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</si>
  <si>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</si>
  <si>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</si>
  <si>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</si>
  <si>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</si>
  <si>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</si>
  <si>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</si>
  <si>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</si>
  <si>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</si>
  <si>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</si>
  <si>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</si>
  <si>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</si>
  <si>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</si>
  <si>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</si>
  <si>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</si>
  <si>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</si>
  <si>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</si>
  <si>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</si>
  <si>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</si>
  <si>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</si>
  <si>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</si>
  <si>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</si>
  <si>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</si>
  <si>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</si>
  <si>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</si>
  <si>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</si>
  <si>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</si>
  <si>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</si>
  <si>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</si>
  <si>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</si>
  <si>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</si>
  <si>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</si>
  <si>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</si>
  <si>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</si>
  <si>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</si>
  <si>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</si>
  <si>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</si>
  <si>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</si>
  <si>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</si>
  <si>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</si>
  <si>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</si>
  <si>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</si>
  <si>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</si>
  <si>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</si>
  <si>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</si>
  <si>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</si>
  <si>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</si>
  <si>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</si>
  <si>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</si>
  <si>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</si>
  <si>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</si>
  <si>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</si>
  <si>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</si>
  <si>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</si>
  <si>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</si>
  <si>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</si>
  <si>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</si>
  <si>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</si>
  <si>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</si>
  <si>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</si>
  <si>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</si>
  <si>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</si>
  <si>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</si>
  <si>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</si>
  <si>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</si>
  <si>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</si>
  <si>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</si>
  <si>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</si>
  <si>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</si>
  <si>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</si>
  <si>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</si>
  <si>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</si>
  <si>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</si>
  <si>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</si>
  <si>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</si>
  <si>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</si>
  <si>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</si>
  <si>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</si>
  <si>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</si>
  <si>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</si>
  <si>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</si>
  <si>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</si>
  <si>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</si>
  <si>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</si>
  <si>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</si>
  <si>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</si>
  <si>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</si>
  <si>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</si>
  <si>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</si>
  <si>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</si>
  <si>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</si>
  <si>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</si>
  <si>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</si>
  <si>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</si>
  <si>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</si>
  <si>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</si>
  <si>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</si>
  <si>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</si>
  <si>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</si>
  <si>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</si>
  <si>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</si>
  <si>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</si>
  <si>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</si>
  <si>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</si>
  <si>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</si>
  <si>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</si>
  <si>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</si>
  <si>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</si>
  <si>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</si>
  <si>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</si>
  <si>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</si>
  <si>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</si>
  <si>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</si>
  <si>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</si>
  <si>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</si>
  <si>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</si>
  <si>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</si>
  <si>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</si>
  <si>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</si>
  <si>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</si>
  <si>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</si>
  <si>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</si>
  <si>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</si>
  <si>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</si>
  <si>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</si>
  <si>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</si>
  <si>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</si>
  <si>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</si>
  <si>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</si>
  <si>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</si>
  <si>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</si>
  <si>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</si>
  <si>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</si>
  <si>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</si>
  <si>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</si>
  <si>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</si>
  <si>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</si>
  <si>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</si>
  <si>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</si>
  <si>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</si>
  <si>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</si>
  <si>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</si>
  <si>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</si>
  <si>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</si>
  <si>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</si>
  <si>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</si>
  <si>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</si>
  <si>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</si>
  <si>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</si>
  <si>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</si>
  <si>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</si>
  <si>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</si>
  <si>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</si>
  <si>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</si>
  <si>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</si>
  <si>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</si>
  <si>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</si>
  <si>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</si>
  <si>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</si>
  <si>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</si>
  <si>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</si>
  <si>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</si>
  <si>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</si>
  <si>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</si>
  <si>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</si>
  <si>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</si>
  <si>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</si>
  <si>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</si>
  <si>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</si>
  <si>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</si>
  <si>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</si>
  <si>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</si>
  <si>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</si>
  <si>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</si>
  <si>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</si>
  <si>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</si>
  <si>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</si>
  <si>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</si>
  <si>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</si>
  <si>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</si>
  <si>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</si>
  <si>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</si>
  <si>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</si>
  <si>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</si>
  <si>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</si>
  <si>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</si>
  <si>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</si>
  <si>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</si>
  <si>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</si>
  <si>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</si>
  <si>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</si>
  <si>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</si>
  <si>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</si>
  <si>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</si>
  <si>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</si>
  <si>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</si>
  <si>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</si>
  <si>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</si>
  <si>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</si>
  <si>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</si>
  <si>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</si>
  <si>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</si>
  <si>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</si>
  <si>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</si>
  <si>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</si>
  <si>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</si>
  <si>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</si>
  <si>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</si>
  <si>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</si>
  <si>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</si>
  <si>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</si>
  <si>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</si>
  <si>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</si>
  <si>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</si>
  <si>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</si>
  <si>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</si>
  <si>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</si>
  <si>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</si>
  <si>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</si>
  <si>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</si>
  <si>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</si>
  <si>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</si>
  <si>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</si>
  <si>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</si>
  <si>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</si>
  <si>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</si>
  <si>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</si>
  <si>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</si>
  <si>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</si>
  <si>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</si>
  <si>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</si>
  <si>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</si>
  <si>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</si>
  <si>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</si>
  <si>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</si>
  <si>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</si>
  <si>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</si>
  <si>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</si>
  <si>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</si>
  <si>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</si>
  <si>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</si>
  <si>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</si>
  <si>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</si>
  <si>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</si>
  <si>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</si>
  <si>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</si>
  <si>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</si>
  <si>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</si>
  <si>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</si>
  <si>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</si>
  <si>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</si>
  <si>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</si>
  <si>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</si>
  <si>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</si>
  <si>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</si>
  <si>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</si>
  <si>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</si>
  <si>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</si>
  <si>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</si>
  <si>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</si>
  <si>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</si>
  <si>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</si>
  <si>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</si>
  <si>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</si>
  <si>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</si>
  <si>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</si>
  <si>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</si>
  <si>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</si>
  <si>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</si>
  <si>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</si>
  <si>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</si>
  <si>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</si>
  <si>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</si>
  <si>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</si>
  <si>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</si>
  <si>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</si>
  <si>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</si>
  <si>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</si>
  <si>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</si>
  <si>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</si>
  <si>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</si>
  <si>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</si>
  <si>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</si>
  <si>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</si>
  <si>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</si>
  <si>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</si>
  <si>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</si>
  <si>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</si>
  <si>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</si>
  <si>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</si>
  <si>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</si>
  <si>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</si>
  <si>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</si>
  <si>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</si>
  <si>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</si>
  <si>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</si>
  <si>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</si>
  <si>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</si>
  <si>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</si>
  <si>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</si>
  <si>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</si>
  <si>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</si>
  <si>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</si>
  <si>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</si>
  <si>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</si>
  <si>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</si>
  <si>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</si>
  <si>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</si>
  <si>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</si>
  <si>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</si>
  <si>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</si>
  <si>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</si>
  <si>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</si>
  <si>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</si>
  <si>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</si>
  <si>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</si>
  <si>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</si>
  <si>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</si>
  <si>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</si>
  <si>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</si>
  <si>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</si>
  <si>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</si>
  <si>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</si>
  <si>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</si>
  <si>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</si>
  <si>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</si>
  <si>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</si>
  <si>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</si>
  <si>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</si>
  <si>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</si>
  <si>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</si>
  <si>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</si>
  <si>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</si>
  <si>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</si>
  <si>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</si>
  <si>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</si>
  <si>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</si>
  <si>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</si>
  <si>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</si>
  <si>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</si>
  <si>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</si>
  <si>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</si>
  <si>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</si>
  <si>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</si>
  <si>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</si>
  <si>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</si>
  <si>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</si>
  <si>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</si>
  <si>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</si>
  <si>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</si>
  <si>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</si>
  <si>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</si>
  <si>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</si>
  <si>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</si>
  <si>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</si>
  <si>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</si>
  <si>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</si>
  <si>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</si>
  <si>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</si>
  <si>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</si>
  <si>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</si>
  <si>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</si>
  <si>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</si>
  <si>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</si>
  <si>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</si>
  <si>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</si>
  <si>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</si>
  <si>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</si>
  <si>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</si>
  <si>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</si>
  <si>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</si>
  <si>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</si>
  <si>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</si>
  <si>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</si>
  <si>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</si>
  <si>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</si>
  <si>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</si>
  <si>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</si>
  <si>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</si>
  <si>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</si>
  <si>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</si>
  <si>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</si>
  <si>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</si>
  <si>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</si>
  <si>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</si>
  <si>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</si>
  <si>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</si>
  <si>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</si>
  <si>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</si>
  <si>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</si>
  <si>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</si>
  <si>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</si>
  <si>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</si>
  <si>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</si>
  <si>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</si>
  <si>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</si>
  <si>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</si>
  <si>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</si>
  <si>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</si>
  <si>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</si>
  <si>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</si>
  <si>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</si>
  <si>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</si>
  <si>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</si>
  <si>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</si>
  <si>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</si>
  <si>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</si>
  <si>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</si>
  <si>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</si>
  <si>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</si>
  <si>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</si>
  <si>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</si>
  <si>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</si>
  <si>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</si>
  <si>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</si>
  <si>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</si>
  <si>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</si>
  <si>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</si>
  <si>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</si>
  <si>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</si>
  <si>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</si>
  <si>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</si>
  <si>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</si>
  <si>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</si>
  <si>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</si>
  <si>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</si>
  <si>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</si>
  <si>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</si>
  <si>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</si>
  <si>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</si>
  <si>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</si>
  <si>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</si>
  <si>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</si>
  <si>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</si>
  <si>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</si>
  <si>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</si>
  <si>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</si>
  <si>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</si>
  <si>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</si>
  <si>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</si>
  <si>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</si>
  <si>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</si>
  <si>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</si>
  <si>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</si>
  <si>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</si>
  <si>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</si>
  <si>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</si>
  <si>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</si>
  <si>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</si>
  <si>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</si>
  <si>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</si>
  <si>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</si>
  <si>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</si>
  <si>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</si>
  <si>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</si>
  <si>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</si>
  <si>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</si>
  <si>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</si>
  <si>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</si>
  <si>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</si>
  <si>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</si>
  <si>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</si>
  <si>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</si>
  <si>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</si>
  <si>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</si>
  <si>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</si>
  <si>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</si>
  <si>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</si>
  <si>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</si>
  <si>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</si>
  <si>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</si>
  <si>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</si>
  <si>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</si>
  <si>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</si>
  <si>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</si>
  <si>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</si>
  <si>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</si>
  <si>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</si>
  <si>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</si>
  <si>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</si>
  <si>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</si>
  <si>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</si>
  <si>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</si>
  <si>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</si>
  <si>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</si>
  <si>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</si>
  <si>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</si>
  <si>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</si>
  <si>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</si>
  <si>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</si>
  <si>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</si>
  <si>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</si>
  <si>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</si>
  <si>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</si>
  <si>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</si>
  <si>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</si>
  <si>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</si>
  <si>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</si>
  <si>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</si>
  <si>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</si>
  <si>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</si>
  <si>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</si>
  <si>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</si>
  <si>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</si>
  <si>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</si>
  <si>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</si>
  <si>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</si>
  <si>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</si>
  <si>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</si>
  <si>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</si>
  <si>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</si>
  <si>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</si>
  <si>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</si>
  <si>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</si>
  <si>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</si>
  <si>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</si>
  <si>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</si>
  <si>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</si>
  <si>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</si>
  <si>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</si>
  <si>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</si>
  <si>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</si>
  <si>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</si>
  <si>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</si>
  <si>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</si>
  <si>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</si>
  <si>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</si>
  <si>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</si>
  <si>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</si>
  <si>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</si>
  <si>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</si>
  <si>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</si>
  <si>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</si>
  <si>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</si>
  <si>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</si>
  <si>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</si>
  <si>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</si>
  <si>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</si>
  <si>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</si>
  <si>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</si>
  <si>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</si>
  <si>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</si>
  <si>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</si>
  <si>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</si>
  <si>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</si>
  <si>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</si>
  <si>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</si>
  <si>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</si>
  <si>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</si>
  <si>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</si>
  <si>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</si>
  <si>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</si>
  <si>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</si>
  <si>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</si>
  <si>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</si>
  <si>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</si>
  <si>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</si>
  <si>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</si>
  <si>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</si>
  <si>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</si>
  <si>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</si>
  <si>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</si>
  <si>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</si>
  <si>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</si>
  <si>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</si>
  <si>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</si>
  <si>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</si>
  <si>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</si>
  <si>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</si>
  <si>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</si>
  <si>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</si>
  <si>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</si>
  <si>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</si>
  <si>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</si>
  <si>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</si>
  <si>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</si>
  <si>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</si>
  <si>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</si>
  <si>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</si>
  <si>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</si>
  <si>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</si>
  <si>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</si>
  <si>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</si>
  <si>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</si>
  <si>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</si>
  <si>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</si>
  <si>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</si>
  <si>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</si>
  <si>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</si>
  <si>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</si>
  <si>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</si>
  <si>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</si>
  <si>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</si>
  <si>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</si>
  <si>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</si>
  <si>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</si>
  <si>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</si>
  <si>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</si>
  <si>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</si>
  <si>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</si>
  <si>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</si>
  <si>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</si>
  <si>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</si>
  <si>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</si>
  <si>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</si>
  <si>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</si>
  <si>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</si>
  <si>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</si>
  <si>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</si>
  <si>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</si>
  <si>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</si>
  <si>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</si>
  <si>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</si>
  <si>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</si>
  <si>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</si>
  <si>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</si>
  <si>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</si>
  <si>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</si>
  <si>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</si>
  <si>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</si>
  <si>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</si>
  <si>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</si>
  <si>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</si>
  <si>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</si>
  <si>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</si>
  <si>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</si>
  <si>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</si>
  <si>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</si>
  <si>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</si>
  <si>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</si>
  <si>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</si>
  <si>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</si>
  <si>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</si>
  <si>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</si>
  <si>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</si>
  <si>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</si>
  <si>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</si>
  <si>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</si>
  <si>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</si>
  <si>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</si>
  <si>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</si>
  <si>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</si>
  <si>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</si>
  <si>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</si>
  <si>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</si>
  <si>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</si>
  <si>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</si>
  <si>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</si>
  <si>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</si>
  <si>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</si>
  <si>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</si>
  <si>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</si>
  <si>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</si>
  <si>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</si>
  <si>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</si>
  <si>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</si>
  <si>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</si>
  <si>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</si>
  <si>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</si>
  <si>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</si>
  <si>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</si>
  <si>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</si>
  <si>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</si>
  <si>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</si>
  <si>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</si>
  <si>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</si>
  <si>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</si>
  <si>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</si>
  <si>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</si>
  <si>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</si>
  <si>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</si>
  <si>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</si>
  <si>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</si>
  <si>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</si>
  <si>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</si>
  <si>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</si>
  <si>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</si>
  <si>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</si>
  <si>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</si>
  <si>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</si>
  <si>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</si>
  <si>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</si>
  <si>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</si>
  <si>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</si>
  <si>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</si>
  <si>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</si>
  <si>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</si>
  <si>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</si>
  <si>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</si>
  <si>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</si>
  <si>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</si>
  <si>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</si>
  <si>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</si>
  <si>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</si>
  <si>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</si>
  <si>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</si>
  <si>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</si>
  <si>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</si>
  <si>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</si>
  <si>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</si>
  <si>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</si>
  <si>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</si>
  <si>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</si>
  <si>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</si>
  <si>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</si>
  <si>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</si>
  <si>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</si>
  <si>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</si>
  <si>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</si>
  <si>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</si>
  <si>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</si>
  <si>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</si>
  <si>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</si>
  <si>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</si>
  <si>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</si>
  <si>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</si>
  <si>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</si>
  <si>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</si>
  <si>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</si>
  <si>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</si>
  <si>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</si>
  <si>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</si>
  <si>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</si>
  <si>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</si>
  <si>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</si>
  <si>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</si>
  <si>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</si>
  <si>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</si>
  <si>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</si>
  <si>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</si>
  <si>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</si>
  <si>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</si>
  <si>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</si>
  <si>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</si>
  <si>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</si>
  <si>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</si>
  <si>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</si>
  <si>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</si>
  <si>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</si>
  <si>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</si>
  <si>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</si>
  <si>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</si>
  <si>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</si>
  <si>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</si>
  <si>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</si>
  <si>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</si>
  <si>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</si>
  <si>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</si>
  <si>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</si>
  <si>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</si>
  <si>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</si>
  <si>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</si>
  <si>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</si>
  <si>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</si>
  <si>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</si>
  <si>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</si>
  <si>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</si>
  <si>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</si>
  <si>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</si>
  <si>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</si>
  <si>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</si>
  <si>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</si>
  <si>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</si>
  <si>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</si>
  <si>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</si>
  <si>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</si>
  <si>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</si>
  <si>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</si>
  <si>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</si>
  <si>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</si>
  <si>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</si>
  <si>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</si>
  <si>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</si>
  <si>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</si>
  <si>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</si>
  <si>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</si>
  <si>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</si>
  <si>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</si>
  <si>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</si>
  <si>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</si>
  <si>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</si>
  <si>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</si>
  <si>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</si>
  <si>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</si>
  <si>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</si>
  <si>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</si>
  <si>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</si>
  <si>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</si>
  <si>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</si>
  <si>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</si>
  <si>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</si>
  <si>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</si>
  <si>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</si>
  <si>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</si>
  <si>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</si>
  <si>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</si>
  <si>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</si>
  <si>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</si>
  <si>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</si>
  <si>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</si>
  <si>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</si>
  <si>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</si>
  <si>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</si>
  <si>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</si>
  <si>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</si>
  <si>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</si>
  <si>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</si>
  <si>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</si>
  <si>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</si>
  <si>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</si>
  <si>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</si>
  <si>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</si>
  <si>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</si>
  <si>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</si>
  <si>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</si>
  <si>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</si>
  <si>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</si>
  <si>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</si>
  <si>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</si>
  <si>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</si>
  <si>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</si>
  <si>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</si>
  <si>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</si>
  <si>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</si>
  <si>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</si>
  <si>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</si>
  <si>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</si>
  <si>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</si>
  <si>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</si>
  <si>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</si>
  <si>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</si>
  <si>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</si>
  <si>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</si>
  <si>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</si>
  <si>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</si>
  <si>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</si>
  <si>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</si>
  <si>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</si>
  <si>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</si>
  <si>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</si>
  <si>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</si>
  <si>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</si>
  <si>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</si>
  <si>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</si>
  <si>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</si>
  <si>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</si>
  <si>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</si>
  <si>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</si>
  <si>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</si>
  <si>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</si>
  <si>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</si>
  <si>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</si>
  <si>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</si>
  <si>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</si>
  <si>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</si>
  <si>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</si>
  <si>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</si>
  <si>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</si>
  <si>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</si>
  <si>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</si>
  <si>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</si>
  <si>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</si>
  <si>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</si>
  <si>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</si>
  <si>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</si>
  <si>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</si>
  <si>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</si>
  <si>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</si>
  <si>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</si>
  <si>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</si>
  <si>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</si>
  <si>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</si>
  <si>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</si>
  <si>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</si>
  <si>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</si>
  <si>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</si>
  <si>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</si>
  <si>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</si>
  <si>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</si>
  <si>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</si>
  <si>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</si>
  <si>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</si>
  <si>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</si>
  <si>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</si>
  <si>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</si>
  <si>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</si>
  <si>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</si>
  <si>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</si>
  <si>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</si>
  <si>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</si>
  <si>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</si>
  <si>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</si>
  <si>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</si>
  <si>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</si>
  <si>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</si>
  <si>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</si>
  <si>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</si>
  <si>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</si>
  <si>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</si>
  <si>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</si>
  <si>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</si>
  <si>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</si>
  <si>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</si>
  <si>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</si>
  <si>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</si>
  <si>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</si>
  <si>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</si>
  <si>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</si>
  <si>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</si>
  <si>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</si>
  <si>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</si>
  <si>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</si>
  <si>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</si>
  <si>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</si>
  <si>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</si>
  <si>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</si>
  <si>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</si>
  <si>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</si>
  <si>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</si>
  <si>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</si>
  <si>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</si>
  <si>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</si>
  <si>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</si>
  <si>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</si>
  <si>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</si>
  <si>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</si>
  <si>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</si>
  <si>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</si>
  <si>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</si>
  <si>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</si>
  <si>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</si>
  <si>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</si>
  <si>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</si>
  <si>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</si>
  <si>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</si>
  <si>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</si>
  <si>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</si>
  <si>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</si>
  <si>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</si>
  <si>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</si>
  <si>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</si>
  <si>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</si>
  <si>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</si>
  <si>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</si>
  <si>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</si>
  <si>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</si>
  <si>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</si>
  <si>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</si>
  <si>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</si>
  <si>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</si>
  <si>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</si>
  <si>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</si>
  <si>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</si>
  <si>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</si>
  <si>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</si>
  <si>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</si>
  <si>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</si>
  <si>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</si>
  <si>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</si>
  <si>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</si>
  <si>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</si>
  <si>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</si>
  <si>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</si>
  <si>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</si>
  <si>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</si>
  <si>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</si>
  <si>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</si>
  <si>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</si>
  <si>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</si>
  <si>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</si>
  <si>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</si>
  <si>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</si>
  <si>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</si>
  <si>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</si>
  <si>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</si>
  <si>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</si>
  <si>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</si>
  <si>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</si>
  <si>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</si>
  <si>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</si>
  <si>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</si>
  <si>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</si>
  <si>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</si>
  <si>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</si>
  <si>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</si>
  <si>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</si>
  <si>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</si>
  <si>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</si>
  <si>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</si>
  <si>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</si>
  <si>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</si>
  <si>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</si>
  <si>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</si>
  <si>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</si>
  <si>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</si>
  <si>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</si>
  <si>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</si>
  <si>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</si>
  <si>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</si>
  <si>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</si>
  <si>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</si>
  <si>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</si>
  <si>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</si>
  <si>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</si>
  <si>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</si>
  <si>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</si>
  <si>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</si>
  <si>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</si>
  <si>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</si>
  <si>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</si>
  <si>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</si>
  <si>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</si>
  <si>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</si>
  <si>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</si>
  <si>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</si>
  <si>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</si>
  <si>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</si>
  <si>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</si>
  <si>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</si>
  <si>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</si>
  <si>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</si>
  <si>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</si>
  <si>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</si>
  <si>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</si>
  <si>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</si>
  <si>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</si>
  <si>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</si>
  <si>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</si>
  <si>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</si>
  <si>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</si>
  <si>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</si>
  <si>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</si>
  <si>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</si>
  <si>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</si>
  <si>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</si>
  <si>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</si>
  <si>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</si>
  <si>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</si>
  <si>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</si>
  <si>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</si>
  <si>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</si>
  <si>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</si>
  <si>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</si>
  <si>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</si>
  <si>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</si>
  <si>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</si>
  <si>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</si>
  <si>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</si>
  <si>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</si>
  <si>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</si>
  <si>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</si>
  <si>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</si>
  <si>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</si>
  <si>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</si>
  <si>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</si>
  <si>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</si>
  <si>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</si>
  <si>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</si>
  <si>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</si>
  <si>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</si>
  <si>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</si>
  <si>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</si>
  <si>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</si>
  <si>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</si>
  <si>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</si>
  <si>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</si>
  <si>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</si>
  <si>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</si>
  <si>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</si>
  <si>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</si>
  <si>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</si>
  <si>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</si>
  <si>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</si>
  <si>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</si>
  <si>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</si>
  <si>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</si>
  <si>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</si>
  <si>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</si>
  <si>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</si>
  <si>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</si>
  <si>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</si>
  <si>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</si>
  <si>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</si>
  <si>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</si>
  <si>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</si>
  <si>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</si>
  <si>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</si>
  <si>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</si>
  <si>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</si>
  <si>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</si>
  <si>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</si>
  <si>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</si>
  <si>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</si>
  <si>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</si>
  <si>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</si>
  <si>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</si>
  <si>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</si>
  <si>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</si>
  <si>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</si>
  <si>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</si>
  <si>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</si>
  <si>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</si>
  <si>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</si>
  <si>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</si>
  <si>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</si>
  <si>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</si>
  <si>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</si>
  <si>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</si>
  <si>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</si>
  <si>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</si>
  <si>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</si>
  <si>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</si>
  <si>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</si>
  <si>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</si>
  <si>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</si>
  <si>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</si>
  <si>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</si>
  <si>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</si>
  <si>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</si>
  <si>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</si>
  <si>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</si>
  <si>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</si>
  <si>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</si>
  <si>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</si>
  <si>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</si>
  <si>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</si>
  <si>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</si>
  <si>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</si>
  <si>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</si>
  <si>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</si>
  <si>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</si>
  <si>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</si>
  <si>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</si>
  <si>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</si>
  <si>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</si>
  <si>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</si>
  <si>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</si>
  <si>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</si>
  <si>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</si>
  <si>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</si>
  <si>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</si>
  <si>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</si>
  <si>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</si>
  <si>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</si>
  <si>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</si>
  <si>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</si>
  <si>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</si>
  <si>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</si>
  <si>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</si>
  <si>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</si>
  <si>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</si>
  <si>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</si>
  <si>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</si>
  <si>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</si>
  <si>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</si>
  <si>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</si>
  <si>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</si>
  <si>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</si>
  <si>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</si>
  <si>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</si>
  <si>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</si>
  <si>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</si>
  <si>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</si>
  <si>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</si>
  <si>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</si>
  <si>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</si>
  <si>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</si>
  <si>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</si>
  <si>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</si>
  <si>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</si>
  <si>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</si>
  <si>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</si>
  <si>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</si>
  <si>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</si>
  <si>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</si>
  <si>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</si>
  <si>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</si>
  <si>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</si>
  <si>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</si>
  <si>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</si>
  <si>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</si>
  <si>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</si>
  <si>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</si>
  <si>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</si>
  <si>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</si>
  <si>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</si>
  <si>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</si>
  <si>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</si>
  <si>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</si>
  <si>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</si>
  <si>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</si>
  <si>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</si>
  <si>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</si>
  <si>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</si>
  <si>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</si>
  <si>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</si>
  <si>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</si>
  <si>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</si>
  <si>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</si>
  <si>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</si>
  <si>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</si>
  <si>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</si>
  <si>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</si>
  <si>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</si>
  <si>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</si>
  <si>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</si>
  <si>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</si>
  <si>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</si>
  <si>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</si>
  <si>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</si>
  <si>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</si>
  <si>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</si>
  <si>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</si>
  <si>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</si>
  <si>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</si>
  <si>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</si>
  <si>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</si>
  <si>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</si>
  <si>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</si>
  <si>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</si>
  <si>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</si>
  <si>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</si>
  <si>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</si>
  <si>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</si>
  <si>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</si>
  <si>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</si>
  <si>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</si>
  <si>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</si>
  <si>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</si>
  <si>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</si>
  <si>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</si>
  <si>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</si>
  <si>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</si>
  <si>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</si>
  <si>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</si>
  <si>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</si>
  <si>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</si>
  <si>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</si>
  <si>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</si>
  <si>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</si>
  <si>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</si>
  <si>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</si>
  <si>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</si>
  <si>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</si>
  <si>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</si>
  <si>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</si>
  <si>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</si>
  <si>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</si>
  <si>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</si>
  <si>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</si>
  <si>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</si>
  <si>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</si>
  <si>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</si>
  <si>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</si>
  <si>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</si>
  <si>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</si>
  <si>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</si>
  <si>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</si>
  <si>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</si>
  <si>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</si>
  <si>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</si>
  <si>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</si>
  <si>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</si>
  <si>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</si>
  <si>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</si>
  <si>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</si>
  <si>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</si>
  <si>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</si>
  <si>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</si>
  <si>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</si>
  <si>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</si>
  <si>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</si>
  <si>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</si>
  <si>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</si>
  <si>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</si>
  <si>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</si>
  <si>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</si>
  <si>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</si>
  <si>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</si>
  <si>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</si>
  <si>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</si>
  <si>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</si>
  <si>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</si>
  <si>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</si>
  <si>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</si>
  <si>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</si>
  <si>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</si>
  <si>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</si>
  <si>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</si>
  <si>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</si>
  <si>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</si>
  <si>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</si>
  <si>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</si>
  <si>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</si>
  <si>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</si>
  <si>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</si>
  <si>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</si>
  <si>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</si>
  <si>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</si>
  <si>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</si>
  <si>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</si>
  <si>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</si>
  <si>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</si>
  <si>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</si>
  <si>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</si>
  <si>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</si>
  <si>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</si>
  <si>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</si>
  <si>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</si>
  <si>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</si>
  <si>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</si>
  <si>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</si>
  <si>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</si>
  <si>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</si>
  <si>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</si>
  <si>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</si>
  <si>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</si>
  <si>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</si>
  <si>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</si>
  <si>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</si>
  <si>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</si>
  <si>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</si>
  <si>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</si>
  <si>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</si>
  <si>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</si>
  <si>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</si>
  <si>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</si>
  <si>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</si>
  <si>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</si>
  <si>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</si>
  <si>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</si>
  <si>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</si>
  <si>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</si>
  <si>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</si>
  <si>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</si>
  <si>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</si>
  <si>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</si>
  <si>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</si>
  <si>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</si>
  <si>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</si>
  <si>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</si>
  <si>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</si>
  <si>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</si>
  <si>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</si>
  <si>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</si>
  <si>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</si>
  <si>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</si>
  <si>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</si>
  <si>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</si>
  <si>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</si>
  <si>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</si>
  <si>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</si>
  <si>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</si>
  <si>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</si>
  <si>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</si>
  <si>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</si>
  <si>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</si>
  <si>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</si>
  <si>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</si>
  <si>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</si>
  <si>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</si>
  <si>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</si>
  <si>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</si>
  <si>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</si>
  <si>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</si>
  <si>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</si>
  <si>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</si>
  <si>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</si>
  <si>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</si>
  <si>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</si>
  <si>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</si>
  <si>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</si>
  <si>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</si>
  <si>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</si>
  <si>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</si>
  <si>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</si>
  <si>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</si>
  <si>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</si>
  <si>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</si>
  <si>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</si>
  <si>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</si>
  <si>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</si>
  <si>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</si>
  <si>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</si>
  <si>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</si>
  <si>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</si>
  <si>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</si>
  <si>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</si>
  <si>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</si>
  <si>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</si>
  <si>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</si>
  <si>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</si>
  <si>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</si>
  <si>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</si>
  <si>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</si>
  <si>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</si>
  <si>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</si>
  <si>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</si>
  <si>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</si>
  <si>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</si>
  <si>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</si>
  <si>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</si>
  <si>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</si>
  <si>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</si>
  <si>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</si>
  <si>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</si>
  <si>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</si>
  <si>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</si>
  <si>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</si>
  <si>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</si>
  <si>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</si>
  <si>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</si>
  <si>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</si>
  <si>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</si>
  <si>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</si>
  <si>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</si>
  <si>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</si>
  <si>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</si>
  <si>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</si>
  <si>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</si>
  <si>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</si>
  <si>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</si>
  <si>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</si>
  <si>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</si>
  <si>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</si>
  <si>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</si>
  <si>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</si>
  <si>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</si>
  <si>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</si>
  <si>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</si>
  <si>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</si>
  <si>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</si>
  <si>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</si>
  <si>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</si>
  <si>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</si>
  <si>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</si>
  <si>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</si>
  <si>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</si>
  <si>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</si>
  <si>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</si>
  <si>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</si>
  <si>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</si>
  <si>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</si>
  <si>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</si>
  <si>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</si>
  <si>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</si>
  <si>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</si>
  <si>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</si>
  <si>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</si>
  <si>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</si>
  <si>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</si>
  <si>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</si>
  <si>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</si>
  <si>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</si>
  <si>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</si>
  <si>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</si>
  <si>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</si>
  <si>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</si>
  <si>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</si>
  <si>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</si>
  <si>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</si>
  <si>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</si>
  <si>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</si>
  <si>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</si>
  <si>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</si>
  <si>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</si>
  <si>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</si>
  <si>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</si>
  <si>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</si>
  <si>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</si>
  <si>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</si>
  <si>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</si>
  <si>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</si>
  <si>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</si>
  <si>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</si>
  <si>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</si>
  <si>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</si>
  <si>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</si>
  <si>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</si>
  <si>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</si>
  <si>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</si>
  <si>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</si>
  <si>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</si>
  <si>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</si>
  <si>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</si>
  <si>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</si>
  <si>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</si>
  <si>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</si>
  <si>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</si>
  <si>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</si>
  <si>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</si>
  <si>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</si>
  <si>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</si>
  <si>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</si>
  <si>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</si>
  <si>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</si>
  <si>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</si>
  <si>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</si>
  <si>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</si>
  <si>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</si>
  <si>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</si>
  <si>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</si>
  <si>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</si>
  <si>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</si>
  <si>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</si>
  <si>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</si>
  <si>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</si>
  <si>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</si>
  <si>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</si>
  <si>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</si>
  <si>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</si>
  <si>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</si>
  <si>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</si>
  <si>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</si>
  <si>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</si>
  <si>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</si>
  <si>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</si>
  <si>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</si>
  <si>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</si>
  <si>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</si>
  <si>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</si>
  <si>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</si>
  <si>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</si>
  <si>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</si>
  <si>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</si>
  <si>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</si>
  <si>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</si>
  <si>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</si>
  <si>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</si>
  <si>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</si>
  <si>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</si>
  <si>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</si>
  <si>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</si>
  <si>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</si>
  <si>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</si>
  <si>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</si>
  <si>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</si>
  <si>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</si>
  <si>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</si>
  <si>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</si>
  <si>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</si>
  <si>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</si>
  <si>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</si>
  <si>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</si>
  <si>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</si>
  <si>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</si>
  <si>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</si>
  <si>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</si>
  <si>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</si>
  <si>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</si>
  <si>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</si>
  <si>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</si>
  <si>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</si>
  <si>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</si>
  <si>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</si>
  <si>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</si>
  <si>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</si>
  <si>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</si>
  <si>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</si>
  <si>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</si>
  <si>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</si>
  <si>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</si>
  <si>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</si>
  <si>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</si>
  <si>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</si>
  <si>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</si>
  <si>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</si>
  <si>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</si>
  <si>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</si>
  <si>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</si>
  <si>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</si>
  <si>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</si>
  <si>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</si>
  <si>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</si>
  <si>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</si>
  <si>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</si>
  <si>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</si>
  <si>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</si>
  <si>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</si>
  <si>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</si>
  <si>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</si>
  <si>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</si>
  <si>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</si>
  <si>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</si>
  <si>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</si>
  <si>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</si>
  <si>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</si>
  <si>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</si>
  <si>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</si>
  <si>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</si>
  <si>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</si>
  <si>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</si>
  <si>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</si>
  <si>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</si>
  <si>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</si>
  <si>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</si>
  <si>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</si>
  <si>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</si>
  <si>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</si>
  <si>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</si>
  <si>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</si>
  <si>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</si>
  <si>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</si>
  <si>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</si>
  <si>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</si>
  <si>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</si>
  <si>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</si>
  <si>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</si>
  <si>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</si>
  <si>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</si>
  <si>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</si>
  <si>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</si>
  <si>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</si>
  <si>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</si>
  <si>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</si>
  <si>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</si>
  <si>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</si>
  <si>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</si>
  <si>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</si>
  <si>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</si>
  <si>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</si>
  <si>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</si>
  <si>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</si>
  <si>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</si>
  <si>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</si>
  <si>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</si>
  <si>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</si>
  <si>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</si>
  <si>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</si>
  <si>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</si>
  <si>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</si>
  <si>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</si>
  <si>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</si>
  <si>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</si>
  <si>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</si>
  <si>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</si>
  <si>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</si>
  <si>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</si>
  <si>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</si>
  <si>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</si>
  <si>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</si>
  <si>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</si>
  <si>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</si>
  <si>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</si>
  <si>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</si>
  <si>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</si>
  <si>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</si>
  <si>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</si>
  <si>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</si>
  <si>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</si>
  <si>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</si>
  <si>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</si>
  <si>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</si>
  <si>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</si>
  <si>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</si>
  <si>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</si>
  <si>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</si>
  <si>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</si>
  <si>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</si>
  <si>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</si>
  <si>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</si>
  <si>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</si>
  <si>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</si>
  <si>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</si>
  <si>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</si>
  <si>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</si>
  <si>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</si>
  <si>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</si>
  <si>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</si>
  <si>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</si>
  <si>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</si>
  <si>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</si>
  <si>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</si>
  <si>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</si>
  <si>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</si>
  <si>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</si>
  <si>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</si>
  <si>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</si>
  <si>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</si>
  <si>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</si>
  <si>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</si>
  <si>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</si>
  <si>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</si>
  <si>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</si>
  <si>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</si>
  <si>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</si>
  <si>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</si>
  <si>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</si>
  <si>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</si>
  <si>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</si>
  <si>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</si>
  <si>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</si>
  <si>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</si>
  <si>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</si>
  <si>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</si>
  <si>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</si>
  <si>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</si>
  <si>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</si>
  <si>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</si>
  <si>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</si>
  <si>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</si>
  <si>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</si>
  <si>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</si>
  <si>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</si>
  <si>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</si>
  <si>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</si>
  <si>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</si>
  <si>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</si>
  <si>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</si>
  <si>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</si>
  <si>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</si>
  <si>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</si>
  <si>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</si>
  <si>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</si>
  <si>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</si>
  <si>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</si>
  <si>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</si>
  <si>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</si>
  <si>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</si>
  <si>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</si>
  <si>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</si>
  <si>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</si>
  <si>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</si>
  <si>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</si>
  <si>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</si>
  <si>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</si>
  <si>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</si>
  <si>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</si>
  <si>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</si>
  <si>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</si>
  <si>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</si>
  <si>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</si>
  <si>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</si>
  <si>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</si>
  <si>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</si>
  <si>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</si>
  <si>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</si>
  <si>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</si>
  <si>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</si>
  <si>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</si>
  <si>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</si>
  <si>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</si>
  <si>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</si>
  <si>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</si>
  <si>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</si>
  <si>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</si>
  <si>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</si>
  <si>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</si>
  <si>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</si>
  <si>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</si>
  <si>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</si>
  <si>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</si>
  <si>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</si>
  <si>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</si>
  <si>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</si>
  <si>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</si>
  <si>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</si>
  <si>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</si>
  <si>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</si>
  <si>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</si>
  <si>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</si>
  <si>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</si>
  <si>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</si>
  <si>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</si>
  <si>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</si>
  <si>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</si>
  <si>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</si>
  <si>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</si>
  <si>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</si>
  <si>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</si>
  <si>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</si>
  <si>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</si>
  <si>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</si>
  <si>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</si>
  <si>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</si>
  <si>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</si>
  <si>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</si>
  <si>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</si>
  <si>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</si>
  <si>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</si>
  <si>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</si>
  <si>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</si>
  <si>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</si>
  <si>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</si>
  <si>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</si>
  <si>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</si>
  <si>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</si>
  <si>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</si>
  <si>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</si>
  <si>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</si>
  <si>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</si>
  <si>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</si>
  <si>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</si>
  <si>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</si>
  <si>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</si>
  <si>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</si>
  <si>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</si>
  <si>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</si>
  <si>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</si>
  <si>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</si>
  <si>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</si>
  <si>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</si>
  <si>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</si>
  <si>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</si>
  <si>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</si>
  <si>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</si>
  <si>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</si>
  <si>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</si>
  <si>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</si>
  <si>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</si>
  <si>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</si>
  <si>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</si>
  <si>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</si>
  <si>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</si>
  <si>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</si>
  <si>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</si>
  <si>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</si>
  <si>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</si>
  <si>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</si>
  <si>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</si>
  <si>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</si>
  <si>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</si>
  <si>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</si>
  <si>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</si>
  <si>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</si>
  <si>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</si>
  <si>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</si>
  <si>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</si>
  <si>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</si>
  <si>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</si>
  <si>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</si>
  <si>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</si>
  <si>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</si>
  <si>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</si>
  <si>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</si>
  <si>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</si>
  <si>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</si>
  <si>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</si>
  <si>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</si>
  <si>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</si>
  <si>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</si>
  <si>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</si>
  <si>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</si>
  <si>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</si>
  <si>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</si>
  <si>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</si>
  <si>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</si>
  <si>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</si>
  <si>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</si>
  <si>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</si>
  <si>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</si>
  <si>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</si>
  <si>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</si>
  <si>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</si>
  <si>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</si>
  <si>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</si>
  <si>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</si>
  <si>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</si>
  <si>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</si>
  <si>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</si>
  <si>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</si>
  <si>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</si>
  <si>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</si>
  <si>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</si>
  <si>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</si>
  <si>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</si>
  <si>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</si>
  <si>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</si>
  <si>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</si>
  <si>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</si>
  <si>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</si>
  <si>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</si>
  <si>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</si>
  <si>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</si>
  <si>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</si>
  <si>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</si>
  <si>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</si>
  <si>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</si>
  <si>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</si>
  <si>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</si>
  <si>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</si>
  <si>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</si>
  <si>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</si>
  <si>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</si>
  <si>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</si>
  <si>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</si>
  <si>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</si>
  <si>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</si>
  <si>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</si>
  <si>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</si>
  <si>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</si>
  <si>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</si>
  <si>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</si>
  <si>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</si>
  <si>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</si>
  <si>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</si>
  <si>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</si>
  <si>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</si>
  <si>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</si>
  <si>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</si>
  <si>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</si>
  <si>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</si>
  <si>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</si>
  <si>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</si>
  <si>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</si>
  <si>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</si>
  <si>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</si>
  <si>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</si>
  <si>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</si>
  <si>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</si>
  <si>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</si>
  <si>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</si>
  <si>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</si>
  <si>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</si>
  <si>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</si>
  <si>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</si>
  <si>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</si>
  <si>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</si>
  <si>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</si>
  <si>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</si>
  <si>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</si>
  <si>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</si>
  <si>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</si>
  <si>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</si>
  <si>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</si>
  <si>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</si>
  <si>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</si>
  <si>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</si>
  <si>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</si>
  <si>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</si>
  <si>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</si>
  <si>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</si>
  <si>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</si>
  <si>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</si>
  <si>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</si>
  <si>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</si>
  <si>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</si>
  <si>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</si>
  <si>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</si>
  <si>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</si>
  <si>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</si>
  <si>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</si>
  <si>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</si>
  <si>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</si>
  <si>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</si>
  <si>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</si>
  <si>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</si>
  <si>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</si>
  <si>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</si>
  <si>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</si>
  <si>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</si>
  <si>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</si>
  <si>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</si>
  <si>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</si>
  <si>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</si>
  <si>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</si>
  <si>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</si>
  <si>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</si>
  <si>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</si>
  <si>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</si>
  <si>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</si>
  <si>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</si>
  <si>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</si>
  <si>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</si>
  <si>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</si>
  <si>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</si>
  <si>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</si>
  <si>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</si>
  <si>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</si>
  <si>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</si>
  <si>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</si>
  <si>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</si>
  <si>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</si>
  <si>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</si>
  <si>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</si>
  <si>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</si>
  <si>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</si>
  <si>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</si>
  <si>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</si>
  <si>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</si>
  <si>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</si>
  <si>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</si>
  <si>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</si>
  <si>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</si>
  <si>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</si>
  <si>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</si>
  <si>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</si>
  <si>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</si>
  <si>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</si>
  <si>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</si>
  <si>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</si>
  <si>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</si>
  <si>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</si>
  <si>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</si>
  <si>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</si>
  <si>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</si>
  <si>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</si>
  <si>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</si>
  <si>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</si>
  <si>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</si>
  <si>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</si>
  <si>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</si>
  <si>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</si>
  <si>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</si>
  <si>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</si>
  <si>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</si>
  <si>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</si>
  <si>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</si>
  <si>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</si>
  <si>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</si>
  <si>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</si>
  <si>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</si>
  <si>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</si>
  <si>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</si>
  <si>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</si>
  <si>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</si>
  <si>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</si>
  <si>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</si>
  <si>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</si>
  <si>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</si>
  <si>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</si>
  <si>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</si>
  <si>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</si>
  <si>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</si>
  <si>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</si>
  <si>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</si>
  <si>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</si>
  <si>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</si>
  <si>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</si>
  <si>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</si>
  <si>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</si>
  <si>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</si>
  <si>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</si>
  <si>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</si>
  <si>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</si>
  <si>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</si>
  <si>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</si>
  <si>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</si>
  <si>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</si>
  <si>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</si>
  <si>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</si>
  <si>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</si>
  <si>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</si>
  <si>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</si>
  <si>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</si>
  <si>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</si>
  <si>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</si>
  <si>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</si>
  <si>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</si>
  <si>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</si>
  <si>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</si>
  <si>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</si>
  <si>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</si>
  <si>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</si>
  <si>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</si>
  <si>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</si>
  <si>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</si>
  <si>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</si>
  <si>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</si>
  <si>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</si>
  <si>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</si>
  <si>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</si>
  <si>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</si>
  <si>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</si>
  <si>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</si>
  <si>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</si>
  <si>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</si>
  <si>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</si>
  <si>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</si>
  <si>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</si>
  <si>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</si>
  <si>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</si>
  <si>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</si>
  <si>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</si>
  <si>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</si>
  <si>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</si>
  <si>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</si>
  <si>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</si>
  <si>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</si>
  <si>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</si>
  <si>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</si>
  <si>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</si>
  <si>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</si>
  <si>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</si>
  <si>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</si>
  <si>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</si>
  <si>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</si>
  <si>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</si>
  <si>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</si>
  <si>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</si>
  <si>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</si>
  <si>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</si>
  <si>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</si>
  <si>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</si>
  <si>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</si>
  <si>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</si>
  <si>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</si>
  <si>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</si>
  <si>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</si>
  <si>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</si>
  <si>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</si>
  <si>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</si>
  <si>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</si>
  <si>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</si>
  <si>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</si>
  <si>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</si>
  <si>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</si>
  <si>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</si>
  <si>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</si>
  <si>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</si>
  <si>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</si>
  <si>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</si>
  <si>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</si>
  <si>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</si>
  <si>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</si>
  <si>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</si>
  <si>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</si>
  <si>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</si>
  <si>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</si>
  <si>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</si>
  <si>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</si>
  <si>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</si>
  <si>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</si>
  <si>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</si>
  <si>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</si>
  <si>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</si>
  <si>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</si>
  <si>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</si>
  <si>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</si>
  <si>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</si>
  <si>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</si>
  <si>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</si>
  <si>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</si>
  <si>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</si>
  <si>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</si>
  <si>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</si>
  <si>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</si>
  <si>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</si>
  <si>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</si>
  <si>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</si>
  <si>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</si>
  <si>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</si>
  <si>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</si>
  <si>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</si>
  <si>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</si>
  <si>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</si>
  <si>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</si>
  <si>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</si>
  <si>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</si>
  <si>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</si>
  <si>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</si>
  <si>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</si>
  <si>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</si>
  <si>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</si>
  <si>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</si>
  <si>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</si>
  <si>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</si>
  <si>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</si>
  <si>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</si>
  <si>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</si>
  <si>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</si>
  <si>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</si>
  <si>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</si>
  <si>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</si>
  <si>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</si>
  <si>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</si>
  <si>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</si>
  <si>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</si>
  <si>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</si>
  <si>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</si>
  <si>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</si>
  <si>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</si>
  <si>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</si>
  <si>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</si>
  <si>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</si>
  <si>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</si>
  <si>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</si>
  <si>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</si>
  <si>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</si>
  <si>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</si>
  <si>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</si>
  <si>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</si>
  <si>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</si>
  <si>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</si>
  <si>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</si>
  <si>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</si>
  <si>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</si>
  <si>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</si>
  <si>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</si>
  <si>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</si>
  <si>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</si>
  <si>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</si>
  <si>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</si>
  <si>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</si>
  <si>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</si>
  <si>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</si>
  <si>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</si>
  <si>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</si>
  <si>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</si>
  <si>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</si>
  <si>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</si>
  <si>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</si>
  <si>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</si>
  <si>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</si>
  <si>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</si>
  <si>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</si>
  <si>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</si>
  <si>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</si>
  <si>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</si>
  <si>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</si>
  <si>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</si>
  <si>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</si>
  <si>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</si>
  <si>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</si>
  <si>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</si>
  <si>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</si>
  <si>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</si>
  <si>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</si>
  <si>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</si>
  <si>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</si>
  <si>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</si>
  <si>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</si>
  <si>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</si>
  <si>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</si>
  <si>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</si>
  <si>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</si>
  <si>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</si>
  <si>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</si>
  <si>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</si>
  <si>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</si>
  <si>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</si>
  <si>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</si>
  <si>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</si>
  <si>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</si>
  <si>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</si>
  <si>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</si>
  <si>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</si>
  <si>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</si>
  <si>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</si>
  <si>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</si>
  <si>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</si>
  <si>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</si>
  <si>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</si>
  <si>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</si>
  <si>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</si>
  <si>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</si>
  <si>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</si>
  <si>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</si>
  <si>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</si>
  <si>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</si>
  <si>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</si>
  <si>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</si>
  <si>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</si>
  <si>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</si>
  <si>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</si>
  <si>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</si>
  <si>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</si>
  <si>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</si>
  <si>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</si>
  <si>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</si>
  <si>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</si>
  <si>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</si>
  <si>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</si>
  <si>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</si>
  <si>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</si>
  <si>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</si>
  <si>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</si>
  <si>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</si>
  <si>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</si>
  <si>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</si>
  <si>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</si>
  <si>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</si>
  <si>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</si>
  <si>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</si>
  <si>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</si>
  <si>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</si>
  <si>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</si>
  <si>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</si>
  <si>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</si>
  <si>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</si>
  <si>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</si>
  <si>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</si>
  <si>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</si>
  <si>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</si>
  <si>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</si>
  <si>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</si>
  <si>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</si>
  <si>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</si>
  <si>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</si>
  <si>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</si>
  <si>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</si>
  <si>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</si>
  <si>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</si>
  <si>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</si>
  <si>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</si>
  <si>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</si>
  <si>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</si>
  <si>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</si>
  <si>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</si>
  <si>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</si>
  <si>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</si>
  <si>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</si>
  <si>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</si>
  <si>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</si>
  <si>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</si>
  <si>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</si>
  <si>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</si>
  <si>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</si>
  <si>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</si>
  <si>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</si>
  <si>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</si>
  <si>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</si>
  <si>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</si>
  <si>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</si>
  <si>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</si>
  <si>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</si>
  <si>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</si>
  <si>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</si>
  <si>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</si>
  <si>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</si>
  <si>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</si>
  <si>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</si>
  <si>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</si>
  <si>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</si>
  <si>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</si>
  <si>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</si>
  <si>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</si>
  <si>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</si>
  <si>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</si>
  <si>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</si>
  <si>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</si>
  <si>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</si>
  <si>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</si>
  <si>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</si>
  <si>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</si>
  <si>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</si>
  <si>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</si>
  <si>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</si>
  <si>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</si>
  <si>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</si>
  <si>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</si>
  <si>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</si>
  <si>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</si>
  <si>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</si>
  <si>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</si>
  <si>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</si>
  <si>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</si>
  <si>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</si>
  <si>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</si>
  <si>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</si>
  <si>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</si>
  <si>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</si>
  <si>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</si>
  <si>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</si>
  <si>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</si>
  <si>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</si>
  <si>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</si>
  <si>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</si>
  <si>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</si>
  <si>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</si>
  <si>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</si>
  <si>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</si>
  <si>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</si>
  <si>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</si>
  <si>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</si>
  <si>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</si>
  <si>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</si>
  <si>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</si>
  <si>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</si>
  <si>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</si>
  <si>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</si>
  <si>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</si>
  <si>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</si>
  <si>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</si>
  <si>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</si>
  <si>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</si>
  <si>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</si>
  <si>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</si>
  <si>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</si>
  <si>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</si>
  <si>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</si>
  <si>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</si>
  <si>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</si>
  <si>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</si>
  <si>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</si>
  <si>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</si>
  <si>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</si>
  <si>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</si>
  <si>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</si>
  <si>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</si>
  <si>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</si>
  <si>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</si>
  <si>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</si>
  <si>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</si>
  <si>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</si>
  <si>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</si>
  <si>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</si>
  <si>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</si>
  <si>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</si>
  <si>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</si>
  <si>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</si>
  <si>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</si>
  <si>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</si>
  <si>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</si>
  <si>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</si>
  <si>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</si>
  <si>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</si>
  <si>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</si>
  <si>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</si>
  <si>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</si>
  <si>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</si>
  <si>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</si>
  <si>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</si>
  <si>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</si>
  <si>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</si>
  <si>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</si>
  <si>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</si>
  <si>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</si>
  <si>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</si>
  <si>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</si>
  <si>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</si>
  <si>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</si>
  <si>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</si>
  <si>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</si>
  <si>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</si>
  <si>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</si>
  <si>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</si>
  <si>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</si>
  <si>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</si>
  <si>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</si>
  <si>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</si>
  <si>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</si>
  <si>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</si>
  <si>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</si>
  <si>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</si>
  <si>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</si>
  <si>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</si>
  <si>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</si>
  <si>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</si>
  <si>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</si>
  <si>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</si>
  <si>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</si>
  <si>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</si>
  <si>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</si>
  <si>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</si>
  <si>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</si>
  <si>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</si>
  <si>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</si>
  <si>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</si>
  <si>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</si>
  <si>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</si>
  <si>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</si>
  <si>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</si>
  <si>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</si>
  <si>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</si>
  <si>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</si>
  <si>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</si>
  <si>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</si>
  <si>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</si>
  <si>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</si>
  <si>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</si>
  <si>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</si>
  <si>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</si>
  <si>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</si>
  <si>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</si>
  <si>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</si>
  <si>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</si>
  <si>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</si>
  <si>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</si>
  <si>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</si>
  <si>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</si>
  <si>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</si>
  <si>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</si>
  <si>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</si>
  <si>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</si>
  <si>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</si>
  <si>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</si>
  <si>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</si>
  <si>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</si>
  <si>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</si>
  <si>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</si>
  <si>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</si>
  <si>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</si>
  <si>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</si>
  <si>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</si>
  <si>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</si>
  <si>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</si>
  <si>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</si>
  <si>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</si>
  <si>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</si>
  <si>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</si>
  <si>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</si>
  <si>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</si>
  <si>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</si>
  <si>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</si>
  <si>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</si>
  <si>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</si>
  <si>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</si>
  <si>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</si>
  <si>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</si>
  <si>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</si>
  <si>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</si>
  <si>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</si>
  <si>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</si>
  <si>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</si>
  <si>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</si>
  <si>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</si>
  <si>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</si>
  <si>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</si>
  <si>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</si>
  <si>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</si>
  <si>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</si>
  <si>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</si>
  <si>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</si>
  <si>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</si>
  <si>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</si>
  <si>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</si>
  <si>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</si>
  <si>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</si>
  <si>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</si>
  <si>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</si>
  <si>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</si>
  <si>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</si>
  <si>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</si>
  <si>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</si>
  <si>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</si>
  <si>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</si>
  <si>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</si>
  <si>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</si>
  <si>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</si>
  <si>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</si>
  <si>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</si>
  <si>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</si>
  <si>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</si>
  <si>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</si>
  <si>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</si>
  <si>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</si>
  <si>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</si>
  <si>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</si>
  <si>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</si>
  <si>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</si>
  <si>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</si>
  <si>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</si>
  <si>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</si>
  <si>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</si>
  <si>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</si>
  <si>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</si>
  <si>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</si>
  <si>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</si>
  <si>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</si>
  <si>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</si>
  <si>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</si>
  <si>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</si>
  <si>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</si>
  <si>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</si>
  <si>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</si>
  <si>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</si>
  <si>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</si>
  <si>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</si>
  <si>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</si>
  <si>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</si>
  <si>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</si>
  <si>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</si>
  <si>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</si>
  <si>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</si>
  <si>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</si>
  <si>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</si>
  <si>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</si>
  <si>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</si>
  <si>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</si>
  <si>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</si>
  <si>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</si>
  <si>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</si>
  <si>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</si>
  <si>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</si>
  <si>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</si>
  <si>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</si>
  <si>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</si>
  <si>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</si>
  <si>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</si>
  <si>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</si>
  <si>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</si>
  <si>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</si>
  <si>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</si>
  <si>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</si>
  <si>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</si>
  <si>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</si>
  <si>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</si>
  <si>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</si>
  <si>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</si>
  <si>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</si>
  <si>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</si>
  <si>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</si>
  <si>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</si>
  <si>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</si>
  <si>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</si>
  <si>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</si>
  <si>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</si>
  <si>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</si>
  <si>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</si>
  <si>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</si>
  <si>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</si>
  <si>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</si>
  <si>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</si>
  <si>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</si>
  <si>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</si>
  <si>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</si>
  <si>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</si>
  <si>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</si>
  <si>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</si>
  <si>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</si>
  <si>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</si>
  <si>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</si>
  <si>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</si>
  <si>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</si>
  <si>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</si>
  <si>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</si>
  <si>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</si>
  <si>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</si>
  <si>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</si>
  <si>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</si>
  <si>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</si>
  <si>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</si>
  <si>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</si>
  <si>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</si>
  <si>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</si>
  <si>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</si>
  <si>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</si>
  <si>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</si>
  <si>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</si>
  <si>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</si>
  <si>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</si>
  <si>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</si>
  <si>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</si>
  <si>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</si>
  <si>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</si>
  <si>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</si>
  <si>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</si>
  <si>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</si>
  <si>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</si>
  <si>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</si>
  <si>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</si>
  <si>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</si>
  <si>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</si>
  <si>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</si>
  <si>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</si>
  <si>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</si>
  <si>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</si>
  <si>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</si>
  <si>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</si>
  <si>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</si>
  <si>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</si>
  <si>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</si>
  <si>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</si>
  <si>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</si>
  <si>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</si>
  <si>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</si>
  <si>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</si>
  <si>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</si>
  <si>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</si>
  <si>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</si>
  <si>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</si>
  <si>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</si>
  <si>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</si>
  <si>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</si>
  <si>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</si>
  <si>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</si>
  <si>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</si>
  <si>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</si>
  <si>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</si>
  <si>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</si>
  <si>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</si>
  <si>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</si>
  <si>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</si>
  <si>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</si>
  <si>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</si>
  <si>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</si>
  <si>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</si>
  <si>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</si>
  <si>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</si>
  <si>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</si>
  <si>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</si>
  <si>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</si>
  <si>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</si>
  <si>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</si>
  <si>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</si>
  <si>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</si>
  <si>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</si>
  <si>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</si>
  <si>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</si>
  <si>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</si>
  <si>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</si>
  <si>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</si>
  <si>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</si>
  <si>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</si>
  <si>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</si>
  <si>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</si>
  <si>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</si>
  <si>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</si>
  <si>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</si>
  <si>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</si>
  <si>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</si>
  <si>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</si>
  <si>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</si>
  <si>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</si>
  <si>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</si>
  <si>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</si>
  <si>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</si>
  <si>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</si>
  <si>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</si>
  <si>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</si>
  <si>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</si>
  <si>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</si>
  <si>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</si>
  <si>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</si>
  <si>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</si>
  <si>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</si>
  <si>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</si>
  <si>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</si>
  <si>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</si>
  <si>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</si>
  <si>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</si>
  <si>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</si>
  <si>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</si>
  <si>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</si>
  <si>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</si>
  <si>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</si>
  <si>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</si>
  <si>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</si>
  <si>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</si>
  <si>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</si>
  <si>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</si>
  <si>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</si>
  <si>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</si>
  <si>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</si>
  <si>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</si>
  <si>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</si>
  <si>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</si>
  <si>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</si>
  <si>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</si>
  <si>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</si>
  <si>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</si>
  <si>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</si>
  <si>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</si>
  <si>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</si>
  <si>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</si>
  <si>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</si>
  <si>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</si>
  <si>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</si>
  <si>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</si>
  <si>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</si>
  <si>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</si>
  <si>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</si>
  <si>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</si>
  <si>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</si>
  <si>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</si>
  <si>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</si>
  <si>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</si>
  <si>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</si>
  <si>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</si>
  <si>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</si>
  <si>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</si>
  <si>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</si>
  <si>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</si>
  <si>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</si>
  <si>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</si>
  <si>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</si>
  <si>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</si>
  <si>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</si>
  <si>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</si>
  <si>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</si>
  <si>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</si>
  <si>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</si>
  <si>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</si>
  <si>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</si>
  <si>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</si>
  <si>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</si>
  <si>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</si>
  <si>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</si>
  <si>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</si>
  <si>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</si>
  <si>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</si>
  <si>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</si>
  <si>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</si>
  <si>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</si>
  <si>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</si>
  <si>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</si>
  <si>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</si>
  <si>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</si>
  <si>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</si>
  <si>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</si>
  <si>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</si>
  <si>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</si>
  <si>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</si>
  <si>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</si>
  <si>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</si>
  <si>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</si>
  <si>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</si>
  <si>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</si>
  <si>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</si>
  <si>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</si>
  <si>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</si>
  <si>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</si>
  <si>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</si>
  <si>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</si>
  <si>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</si>
  <si>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</si>
  <si>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</si>
  <si>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</si>
  <si>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</si>
  <si>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</si>
  <si>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</si>
  <si>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</si>
  <si>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</si>
  <si>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</si>
  <si>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</si>
  <si>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</si>
  <si>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</si>
  <si>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</si>
  <si>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</si>
  <si>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</si>
  <si>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</si>
  <si>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</si>
  <si>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</si>
  <si>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</si>
  <si>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</si>
  <si>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</si>
  <si>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</si>
  <si>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</si>
  <si>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</si>
  <si>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</si>
  <si>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</si>
  <si>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</si>
  <si>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</si>
  <si>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</si>
  <si>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</si>
  <si>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</si>
  <si>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</si>
  <si>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</si>
  <si>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</si>
  <si>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</si>
  <si>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</si>
  <si>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</si>
  <si>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</si>
  <si>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</si>
  <si>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</si>
  <si>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</si>
  <si>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</si>
  <si>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</si>
  <si>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</si>
  <si>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</si>
  <si>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</si>
  <si>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</si>
  <si>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</si>
  <si>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</si>
  <si>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</si>
  <si>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</si>
  <si>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</si>
  <si>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</si>
  <si>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</si>
  <si>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</si>
  <si>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</si>
  <si>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</si>
  <si>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</si>
  <si>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</si>
  <si>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</si>
  <si>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</si>
  <si>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</si>
  <si>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</si>
  <si>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</si>
  <si>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</si>
  <si>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</si>
  <si>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</si>
  <si>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</si>
  <si>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</si>
  <si>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</si>
  <si>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</si>
  <si>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</si>
  <si>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</si>
  <si>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</si>
  <si>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</si>
  <si>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</si>
  <si>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</si>
  <si>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</si>
  <si>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</si>
  <si>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</si>
  <si>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</si>
  <si>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</si>
  <si>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</si>
  <si>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</si>
  <si>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</si>
  <si>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</si>
  <si>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</si>
  <si>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</si>
  <si>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</si>
  <si>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</si>
  <si>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</si>
  <si>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</si>
  <si>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</si>
  <si>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</si>
  <si>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</si>
  <si>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</si>
  <si>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</si>
  <si>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</si>
  <si>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</si>
  <si>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</si>
  <si>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</si>
  <si>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</si>
  <si>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</si>
  <si>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</si>
  <si>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</si>
  <si>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</si>
  <si>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</si>
  <si>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</si>
  <si>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</si>
  <si>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</si>
  <si>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</si>
  <si>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</si>
  <si>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</si>
  <si>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</si>
  <si>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</si>
  <si>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</si>
  <si>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</si>
  <si>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</si>
  <si>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</si>
  <si>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</si>
  <si>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</si>
  <si>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</si>
  <si>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</si>
  <si>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</si>
  <si>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</si>
  <si>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</si>
  <si>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</si>
  <si>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</si>
  <si>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</si>
  <si>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</si>
  <si>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</si>
  <si>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</si>
  <si>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</si>
  <si>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</si>
  <si>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</si>
  <si>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</si>
  <si>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</si>
  <si>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</si>
  <si>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</si>
  <si>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</si>
  <si>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</si>
  <si>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</si>
  <si>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</si>
  <si>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</si>
  <si>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</si>
  <si>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</si>
  <si>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</si>
  <si>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</si>
  <si>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</si>
  <si>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</si>
  <si>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</si>
  <si>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</si>
  <si>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</si>
  <si>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</si>
  <si>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</si>
  <si>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</si>
  <si>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</si>
  <si>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</si>
  <si>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</si>
  <si>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</si>
  <si>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</si>
  <si>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</si>
  <si>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</si>
  <si>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</si>
  <si>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</si>
  <si>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</si>
  <si>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</si>
  <si>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</si>
  <si>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</si>
  <si>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</si>
  <si>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</si>
  <si>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</si>
  <si>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</si>
  <si>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</si>
  <si>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</si>
  <si>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</si>
  <si>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</si>
  <si>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</si>
  <si>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</si>
  <si>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</si>
  <si>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</si>
  <si>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</si>
  <si>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</si>
  <si>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</si>
  <si>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</si>
  <si>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</si>
  <si>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</si>
  <si>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</si>
  <si>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</si>
  <si>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</si>
  <si>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</si>
  <si>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</si>
  <si>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</si>
  <si>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</si>
  <si>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</si>
  <si>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</si>
  <si>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</si>
  <si>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</si>
  <si>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</si>
  <si>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</si>
  <si>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</si>
  <si>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</si>
  <si>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</si>
  <si>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</si>
  <si>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</si>
  <si>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</si>
  <si>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</si>
  <si>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</si>
  <si>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</si>
  <si>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</si>
  <si>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</si>
  <si>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</si>
  <si>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</si>
  <si>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</si>
  <si>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</si>
  <si>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</si>
  <si>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</si>
  <si>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</si>
  <si>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</si>
  <si>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</si>
  <si>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</si>
  <si>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</si>
  <si>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</si>
  <si>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</si>
  <si>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</si>
  <si>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</si>
  <si>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</si>
  <si>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</si>
  <si>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</si>
  <si>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</si>
  <si>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</si>
  <si>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</si>
  <si>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</si>
  <si>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</si>
  <si>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</si>
  <si>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</si>
  <si>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</si>
  <si>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</si>
  <si>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</si>
  <si>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</si>
  <si>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</si>
  <si>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</si>
  <si>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</si>
  <si>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</si>
  <si>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</si>
  <si>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</si>
  <si>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</si>
  <si>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</si>
  <si>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</si>
  <si>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</si>
  <si>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</si>
  <si>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</si>
  <si>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</si>
  <si>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</si>
  <si>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</si>
  <si>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</si>
  <si>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</si>
  <si>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</si>
  <si>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</si>
  <si>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</si>
  <si>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</si>
  <si>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</si>
  <si>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</si>
  <si>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</si>
  <si>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</si>
  <si>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</si>
  <si>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</si>
  <si>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</si>
  <si>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</si>
  <si>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</si>
  <si>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</si>
  <si>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</si>
  <si>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</si>
  <si>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</si>
  <si>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</si>
  <si>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</si>
  <si>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</si>
  <si>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</si>
  <si>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</si>
  <si>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</si>
  <si>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</si>
  <si>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</si>
  <si>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</si>
  <si>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</si>
  <si>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</si>
  <si>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</si>
  <si>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</si>
  <si>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</si>
  <si>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</si>
  <si>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</si>
  <si>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</si>
  <si>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</si>
  <si>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</si>
  <si>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</si>
  <si>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</si>
  <si>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</si>
  <si>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</si>
  <si>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</si>
  <si>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</si>
  <si>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</si>
  <si>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</si>
  <si>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</si>
  <si>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</si>
  <si>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</si>
  <si>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</si>
  <si>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</si>
  <si>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</si>
  <si>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</si>
  <si>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</si>
  <si>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</si>
  <si>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</si>
  <si>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</si>
  <si>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</si>
  <si>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</si>
  <si>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</si>
  <si>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</si>
  <si>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</si>
  <si>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</si>
  <si>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</si>
  <si>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</si>
  <si>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</si>
  <si>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</si>
  <si>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</si>
  <si>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</si>
  <si>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</si>
  <si>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</si>
  <si>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</si>
  <si>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</si>
  <si>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</si>
  <si>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</si>
  <si>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</si>
  <si>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</si>
  <si>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</si>
  <si>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</si>
  <si>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</si>
  <si>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</si>
  <si>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</si>
  <si>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</si>
  <si>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</si>
  <si>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</si>
  <si>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</si>
  <si>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</si>
  <si>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</si>
  <si>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</si>
  <si>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</si>
  <si>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</si>
  <si>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</si>
  <si>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</si>
  <si>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</si>
  <si>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</si>
  <si>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</si>
  <si>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</si>
  <si>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</si>
  <si>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</si>
  <si>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</si>
  <si>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</si>
  <si>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</si>
  <si>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</si>
  <si>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</si>
  <si>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</si>
  <si>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</si>
  <si>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</si>
  <si>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</si>
  <si>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</si>
  <si>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</si>
  <si>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</si>
  <si>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</si>
  <si>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</si>
  <si>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</si>
  <si>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</si>
  <si>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</si>
  <si>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</si>
  <si>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</si>
  <si>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</si>
  <si>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</si>
  <si>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</si>
  <si>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</si>
  <si>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</si>
  <si>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</si>
  <si>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</si>
  <si>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</si>
  <si>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</si>
  <si>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</si>
  <si>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</si>
  <si>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</si>
  <si>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</si>
  <si>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</si>
  <si>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</si>
  <si>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</si>
  <si>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</si>
  <si>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</si>
  <si>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</si>
  <si>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</si>
  <si>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</si>
  <si>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</si>
  <si>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</si>
  <si>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</si>
  <si>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</si>
  <si>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</si>
  <si>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</si>
  <si>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</si>
  <si>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</si>
  <si>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</si>
  <si>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</si>
  <si>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</si>
  <si>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</si>
  <si>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</si>
  <si>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</si>
  <si>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</si>
  <si>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</si>
  <si>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</si>
  <si>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</si>
  <si>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</si>
  <si>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</si>
  <si>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</si>
  <si>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</si>
  <si>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</si>
  <si>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</si>
  <si>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</si>
  <si>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</si>
  <si>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</si>
  <si>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</si>
  <si>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</si>
  <si>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</si>
  <si>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</si>
  <si>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</si>
  <si>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</si>
  <si>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</si>
  <si>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</si>
  <si>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</si>
  <si>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</si>
  <si>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</si>
  <si>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</si>
  <si>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</si>
  <si>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</si>
  <si>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</si>
  <si>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</si>
  <si>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</si>
  <si>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</si>
  <si>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</si>
  <si>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</si>
  <si>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</si>
  <si>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</si>
  <si>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</si>
  <si>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</si>
  <si>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</si>
  <si>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</si>
  <si>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</si>
  <si>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</si>
  <si>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</si>
  <si>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</si>
  <si>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</si>
  <si>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</si>
  <si>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</si>
  <si>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</si>
  <si>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</si>
  <si>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</si>
  <si>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</si>
  <si>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</si>
  <si>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</si>
  <si>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</si>
  <si>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</si>
  <si>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</si>
  <si>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</si>
  <si>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</si>
  <si>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</si>
  <si>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</si>
  <si>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</si>
  <si>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</si>
  <si>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</si>
  <si>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</si>
  <si>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</si>
  <si>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</si>
  <si>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</si>
  <si>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</si>
  <si>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</si>
  <si>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</si>
  <si>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</si>
  <si>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</si>
  <si>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</si>
  <si>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</si>
  <si>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</si>
  <si>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</si>
  <si>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</si>
  <si>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</si>
  <si>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</si>
  <si>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</si>
  <si>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</si>
  <si>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</si>
  <si>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</si>
  <si>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</si>
  <si>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</si>
  <si>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</si>
  <si>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</si>
  <si>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</si>
  <si>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</si>
  <si>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</si>
  <si>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</si>
  <si>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</si>
  <si>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</si>
  <si>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</si>
  <si>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</si>
  <si>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</si>
  <si>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</si>
  <si>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</si>
  <si>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</si>
  <si>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</si>
  <si>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</si>
  <si>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</si>
  <si>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</si>
  <si>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</si>
  <si>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</si>
  <si>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</si>
  <si>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</si>
  <si>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</si>
  <si>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</si>
  <si>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</si>
  <si>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</si>
  <si>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</si>
  <si>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</si>
  <si>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</si>
  <si>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</si>
  <si>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</si>
  <si>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</si>
  <si>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</si>
  <si>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</si>
  <si>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</si>
  <si>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</si>
  <si>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</si>
  <si>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</si>
  <si>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</si>
  <si>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</si>
  <si>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</si>
  <si>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</si>
  <si>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</si>
  <si>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</si>
  <si>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</si>
  <si>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</si>
  <si>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</si>
  <si>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</si>
  <si>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</si>
  <si>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</si>
  <si>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</si>
  <si>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</si>
  <si>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</si>
  <si>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</si>
  <si>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</si>
  <si>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</si>
  <si>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</si>
  <si>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</si>
  <si>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</si>
  <si>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</si>
  <si>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</si>
  <si>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</si>
  <si>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</si>
  <si>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</si>
  <si>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</si>
  <si>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</si>
  <si>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</si>
  <si>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</si>
  <si>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</si>
  <si>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</si>
  <si>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</si>
  <si>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</si>
  <si>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</si>
  <si>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</si>
  <si>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</si>
  <si>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</si>
  <si>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</si>
  <si>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</si>
  <si>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</si>
  <si>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</si>
  <si>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</si>
  <si>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</si>
  <si>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</si>
  <si>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</si>
  <si>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</si>
  <si>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</si>
  <si>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</si>
  <si>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</si>
  <si>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</si>
  <si>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</si>
  <si>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</si>
  <si>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</si>
  <si>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</si>
  <si>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</si>
  <si>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</si>
  <si>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</si>
  <si>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</si>
  <si>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</si>
  <si>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</si>
  <si>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</si>
  <si>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</si>
  <si>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</si>
  <si>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</si>
  <si>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</si>
  <si>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</si>
  <si>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</si>
  <si>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</si>
  <si>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</si>
  <si>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</si>
  <si>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</si>
  <si>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</si>
  <si>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</si>
  <si>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</si>
  <si>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</si>
  <si>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</si>
  <si>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</si>
  <si>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</si>
  <si>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</si>
  <si>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</si>
  <si>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</si>
  <si>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</si>
  <si>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</si>
  <si>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</si>
  <si>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</si>
  <si>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</si>
  <si>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</si>
  <si>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</si>
  <si>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</si>
  <si>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</si>
  <si>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</si>
  <si>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</si>
  <si>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</si>
  <si>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</si>
  <si>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</si>
  <si>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</si>
  <si>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</si>
  <si>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</si>
  <si>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</si>
  <si>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</si>
  <si>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</si>
  <si>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</si>
  <si>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</si>
  <si>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</si>
  <si>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</si>
  <si>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</si>
  <si>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</si>
  <si>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</si>
  <si>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</si>
  <si>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</si>
  <si>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</si>
  <si>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</si>
  <si>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</si>
  <si>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</si>
  <si>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</si>
  <si>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</si>
  <si>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</si>
  <si>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</si>
  <si>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</si>
  <si>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</si>
  <si>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</si>
  <si>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</si>
  <si>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</si>
  <si>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</si>
  <si>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</si>
  <si>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</si>
  <si>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</si>
  <si>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</si>
  <si>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</si>
  <si>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</si>
  <si>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</si>
  <si>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</si>
  <si>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</si>
  <si>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</si>
  <si>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</si>
  <si>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</si>
  <si>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</si>
  <si>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</si>
  <si>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</si>
  <si>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</si>
  <si>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</si>
  <si>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</si>
  <si>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</si>
  <si>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</si>
  <si>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</si>
  <si>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</si>
  <si>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</si>
  <si>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</si>
  <si>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</si>
  <si>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</si>
  <si>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</si>
  <si>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</si>
  <si>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</si>
  <si>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</si>
  <si>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</si>
  <si>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</si>
  <si>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</si>
  <si>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</si>
  <si>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</si>
  <si>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</si>
  <si>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</si>
  <si>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</si>
  <si>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</si>
  <si>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</si>
  <si>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</si>
  <si>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</si>
  <si>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</si>
  <si>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</si>
  <si>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</si>
  <si>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</si>
  <si>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</si>
  <si>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</si>
  <si>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</si>
  <si>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</si>
  <si>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</si>
  <si>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</si>
  <si>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</si>
  <si>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</si>
  <si>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</si>
  <si>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</si>
  <si>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</si>
  <si>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</si>
  <si>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</si>
  <si>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</si>
  <si>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</si>
  <si>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</si>
  <si>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</si>
  <si>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</si>
  <si>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</si>
  <si>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</si>
  <si>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</si>
  <si>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</si>
  <si>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</si>
  <si>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</si>
  <si>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</si>
  <si>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</si>
  <si>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</si>
  <si>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</si>
  <si>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</si>
  <si>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</si>
  <si>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</si>
  <si>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</si>
  <si>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</si>
  <si>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</si>
  <si>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</si>
  <si>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</si>
  <si>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</si>
  <si>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</si>
  <si>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</si>
  <si>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</si>
  <si>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</si>
  <si>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</si>
  <si>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</si>
  <si>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</si>
  <si>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</si>
  <si>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</si>
  <si>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</si>
  <si>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</si>
  <si>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</si>
  <si>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</si>
  <si>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</si>
  <si>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</si>
  <si>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</si>
  <si>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</si>
  <si>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</si>
  <si>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</si>
  <si>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</si>
  <si>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</si>
  <si>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</si>
  <si>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</si>
  <si>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</si>
  <si>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</si>
  <si>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</si>
  <si>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</si>
  <si>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</si>
  <si>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</si>
  <si>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</si>
  <si>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</si>
  <si>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</si>
  <si>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</si>
  <si>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</si>
  <si>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</si>
  <si>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</si>
  <si>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</si>
  <si>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</si>
  <si>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</si>
  <si>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</si>
  <si>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</si>
  <si>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</si>
  <si>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</si>
  <si>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</si>
  <si>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</si>
  <si>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</si>
  <si>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</si>
  <si>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</si>
  <si>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</si>
  <si>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</si>
  <si>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</si>
  <si>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</si>
  <si>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</si>
  <si>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</si>
  <si>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</si>
  <si>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</si>
  <si>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</si>
  <si>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</si>
  <si>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</si>
  <si>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</si>
  <si>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</si>
  <si>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</si>
  <si>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</si>
  <si>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</si>
  <si>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</si>
  <si>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</si>
  <si>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</si>
  <si>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</si>
  <si>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</si>
  <si>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</si>
  <si>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</si>
  <si>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</si>
  <si>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</si>
  <si>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</si>
  <si>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</si>
  <si>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</si>
  <si>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</si>
  <si>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</si>
  <si>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</si>
  <si>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</si>
  <si>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</si>
  <si>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</si>
  <si>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</si>
  <si>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</si>
  <si>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</si>
  <si>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</si>
  <si>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</si>
  <si>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</si>
  <si>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</si>
  <si>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</si>
  <si>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</si>
  <si>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</si>
  <si>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</si>
  <si>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</si>
  <si>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</si>
  <si>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</si>
  <si>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</si>
  <si>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</si>
  <si>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</si>
  <si>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</si>
  <si>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</si>
  <si>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</si>
  <si>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</si>
  <si>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</si>
  <si>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</si>
  <si>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</si>
  <si>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</si>
  <si>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</si>
  <si>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</si>
  <si>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</si>
  <si>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</si>
  <si>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</si>
  <si>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</si>
  <si>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</si>
  <si>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</si>
  <si>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</si>
  <si>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</si>
  <si>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</si>
  <si>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</si>
  <si>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</si>
  <si>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</si>
  <si>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</si>
  <si>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</si>
  <si>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</si>
  <si>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</si>
  <si>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</si>
  <si>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</si>
  <si>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</si>
  <si>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</si>
  <si>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</si>
  <si>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</si>
  <si>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</si>
  <si>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</si>
  <si>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</si>
  <si>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</si>
  <si>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</si>
  <si>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</si>
  <si>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</si>
  <si>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</si>
  <si>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</si>
  <si>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</si>
  <si>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</si>
  <si>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</si>
  <si>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</si>
  <si>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</si>
  <si>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</si>
  <si>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</si>
  <si>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</si>
  <si>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</si>
  <si>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</si>
  <si>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</si>
  <si>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</si>
  <si>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</si>
  <si>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</si>
  <si>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</si>
  <si>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</si>
  <si>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</si>
  <si>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</si>
  <si>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</si>
  <si>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</si>
  <si>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</si>
  <si>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</si>
  <si>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</si>
  <si>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</si>
  <si>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</si>
  <si>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</si>
  <si>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</si>
  <si>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</si>
  <si>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</si>
  <si>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</si>
  <si>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</si>
  <si>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</si>
  <si>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</si>
  <si>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</si>
  <si>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</si>
  <si>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</si>
  <si>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</si>
  <si>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</si>
  <si>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</si>
  <si>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</si>
  <si>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</si>
  <si>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</si>
  <si>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</si>
  <si>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</si>
  <si>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</si>
  <si>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</si>
  <si>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</si>
  <si>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</si>
  <si>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</si>
  <si>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</si>
  <si>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</si>
  <si>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</si>
  <si>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</si>
  <si>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</si>
  <si>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</si>
  <si>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</si>
  <si>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</si>
  <si>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</si>
  <si>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</si>
  <si>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</si>
  <si>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</si>
  <si>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</si>
  <si>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</si>
  <si>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</si>
  <si>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</si>
  <si>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</si>
  <si>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</si>
  <si>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</si>
  <si>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</si>
  <si>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</si>
  <si>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</si>
  <si>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</si>
  <si>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</si>
  <si>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</si>
  <si>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</si>
  <si>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</si>
  <si>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</si>
  <si>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</si>
  <si>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</si>
  <si>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</si>
  <si>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</si>
  <si>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</si>
  <si>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</si>
  <si>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</si>
  <si>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</si>
  <si>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</si>
  <si>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</si>
  <si>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</si>
  <si>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</si>
  <si>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</si>
  <si>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</si>
  <si>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</si>
  <si>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</si>
  <si>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</si>
  <si>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</si>
  <si>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</si>
  <si>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</si>
  <si>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</si>
  <si>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</si>
  <si>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</si>
  <si>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</si>
  <si>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</si>
  <si>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</si>
  <si>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</si>
  <si>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</si>
  <si>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</si>
  <si>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</si>
  <si>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</si>
  <si>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</si>
  <si>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</si>
  <si>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</si>
  <si>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</si>
  <si>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</si>
  <si>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</si>
  <si>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</si>
  <si>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</si>
  <si>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</si>
  <si>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</si>
  <si>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</si>
  <si>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</si>
  <si>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</si>
  <si>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</si>
  <si>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</si>
  <si>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</si>
  <si>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</si>
  <si>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</si>
  <si>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</si>
  <si>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</si>
  <si>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</si>
  <si>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</si>
  <si>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</si>
  <si>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</si>
  <si>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</si>
  <si>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</si>
  <si>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</si>
  <si>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</si>
  <si>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</si>
  <si>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</si>
  <si>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</si>
  <si>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</si>
  <si>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</si>
  <si>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</si>
  <si>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</si>
  <si>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</si>
  <si>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</si>
  <si>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</si>
  <si>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</si>
  <si>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</si>
  <si>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</si>
  <si>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</si>
  <si>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</si>
  <si>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</si>
  <si>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</si>
  <si>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</si>
  <si>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</si>
  <si>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</si>
  <si>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</si>
  <si>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</si>
  <si>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</si>
  <si>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</si>
  <si>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</si>
  <si>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</si>
  <si>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</si>
  <si>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</si>
  <si>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</si>
  <si>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</si>
  <si>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</si>
  <si>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</si>
  <si>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</si>
  <si>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</si>
  <si>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</si>
  <si>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</si>
  <si>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</si>
  <si>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</si>
  <si>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</si>
  <si>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</si>
  <si>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</si>
  <si>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</si>
  <si>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</si>
  <si>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</si>
  <si>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</si>
  <si>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</si>
  <si>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</si>
  <si>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</si>
  <si>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</si>
  <si>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</si>
  <si>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</si>
  <si>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</si>
  <si>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</si>
  <si>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</si>
  <si>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</si>
  <si>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</si>
  <si>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</si>
  <si>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</si>
  <si>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</si>
  <si>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</si>
  <si>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</si>
  <si>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</si>
  <si>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</si>
  <si>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</si>
  <si>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</si>
  <si>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</si>
  <si>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</si>
  <si>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</si>
  <si>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</si>
  <si>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</si>
  <si>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</si>
  <si>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</si>
  <si>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</si>
  <si>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</si>
  <si>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</si>
  <si>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</si>
  <si>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</si>
  <si>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</si>
  <si>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</si>
  <si>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</si>
  <si>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</si>
  <si>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</si>
  <si>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</si>
  <si>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</si>
  <si>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</si>
  <si>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</si>
  <si>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</si>
  <si>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</si>
  <si>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</si>
  <si>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</si>
  <si>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</si>
  <si>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</si>
  <si>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</si>
  <si>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</si>
  <si>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</si>
  <si>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</si>
  <si>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</si>
  <si>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</si>
  <si>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</si>
  <si>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</si>
  <si>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</si>
  <si>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</si>
  <si>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</si>
  <si>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</si>
  <si>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</si>
  <si>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</si>
  <si>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</si>
  <si>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</si>
  <si>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</si>
  <si>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</si>
  <si>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</si>
  <si>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</si>
  <si>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</si>
  <si>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</si>
  <si>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</si>
  <si>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</si>
  <si>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</si>
  <si>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</si>
  <si>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</si>
  <si>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</si>
  <si>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</si>
  <si>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</si>
  <si>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</si>
  <si>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</si>
  <si>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</si>
  <si>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</si>
  <si>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</si>
  <si>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</si>
  <si>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</si>
  <si>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</si>
  <si>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</si>
  <si>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</si>
  <si>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</si>
  <si>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</si>
  <si>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</si>
  <si>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</si>
  <si>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</si>
  <si>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</si>
  <si>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</si>
  <si>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</si>
  <si>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</si>
  <si>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</si>
  <si>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</si>
  <si>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</si>
  <si>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</si>
  <si>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</si>
  <si>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</si>
  <si>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</si>
  <si>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</si>
  <si>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</si>
  <si>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</si>
  <si>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</si>
  <si>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</si>
  <si>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</si>
  <si>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</si>
  <si>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</si>
  <si>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</si>
  <si>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</si>
  <si>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</si>
  <si>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</si>
  <si>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</si>
  <si>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</si>
  <si>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</si>
  <si>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</si>
  <si>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</si>
  <si>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</si>
  <si>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</si>
  <si>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</si>
  <si>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</si>
  <si>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</si>
  <si>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</si>
  <si>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</si>
  <si>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</si>
  <si>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</si>
  <si>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</si>
  <si>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</si>
  <si>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</si>
  <si>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</si>
  <si>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</si>
  <si>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</si>
  <si>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</si>
  <si>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</si>
  <si>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</si>
  <si>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</si>
  <si>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</si>
  <si>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</si>
  <si>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</si>
  <si>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</si>
  <si>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</si>
  <si>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</si>
  <si>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</si>
  <si>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</si>
  <si>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</si>
  <si>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</si>
  <si>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</si>
  <si>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</si>
  <si>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</si>
  <si>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</si>
  <si>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</si>
  <si>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</si>
  <si>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</si>
  <si>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</si>
  <si>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</si>
  <si>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</si>
  <si>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</si>
  <si>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</si>
  <si>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</si>
  <si>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</si>
  <si>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</si>
  <si>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</si>
  <si>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</si>
  <si>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</si>
  <si>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</si>
  <si>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</si>
  <si>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</si>
  <si>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</si>
  <si>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</si>
  <si>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</si>
  <si>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</si>
  <si>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</si>
  <si>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</si>
  <si>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</si>
  <si>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</si>
  <si>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</si>
  <si>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</si>
  <si>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</si>
  <si>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</si>
  <si>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</si>
  <si>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</si>
  <si>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</si>
  <si>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</si>
  <si>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</si>
  <si>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</si>
  <si>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</si>
  <si>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</si>
  <si>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</si>
  <si>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</si>
  <si>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</si>
  <si>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</si>
  <si>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</si>
  <si>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</si>
  <si>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</si>
  <si>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</si>
  <si>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</si>
  <si>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</si>
  <si>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</si>
  <si>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</si>
  <si>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</si>
  <si>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</si>
  <si>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</si>
  <si>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</si>
  <si>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</si>
  <si>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</si>
  <si>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</si>
  <si>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</si>
  <si>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</si>
  <si>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</si>
  <si>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</si>
  <si>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</si>
  <si>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</si>
  <si>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</si>
  <si>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</si>
  <si>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</si>
  <si>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</si>
  <si>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</si>
  <si>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</si>
  <si>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</si>
  <si>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</si>
  <si>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</si>
  <si>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</si>
  <si>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</si>
  <si>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</si>
  <si>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</si>
  <si>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</si>
  <si>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</si>
  <si>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</si>
  <si>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</si>
  <si>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</si>
  <si>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</si>
  <si>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</si>
  <si>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</si>
  <si>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</si>
  <si>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</si>
  <si>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</si>
  <si>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</si>
  <si>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</si>
  <si>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</si>
  <si>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</si>
  <si>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</si>
  <si>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</si>
  <si>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</si>
  <si>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</si>
  <si>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</si>
  <si>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</si>
  <si>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</si>
  <si>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</si>
  <si>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</si>
  <si>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</si>
  <si>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</si>
  <si>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</si>
  <si>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</si>
  <si>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</si>
  <si>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</si>
  <si>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</si>
  <si>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</si>
  <si>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</si>
  <si>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</si>
  <si>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</si>
  <si>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</si>
  <si>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</si>
  <si>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</si>
  <si>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</si>
  <si>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</si>
  <si>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</si>
  <si>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</si>
  <si>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</si>
  <si>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</si>
  <si>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</si>
  <si>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</si>
  <si>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</si>
  <si>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</si>
  <si>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</si>
  <si>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</si>
  <si>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</si>
  <si>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</si>
  <si>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</si>
  <si>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</si>
  <si>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</si>
  <si>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</si>
  <si>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</si>
  <si>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</si>
  <si>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</si>
  <si>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</si>
  <si>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</si>
  <si>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</si>
  <si>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</si>
  <si>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</si>
  <si>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</si>
  <si>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</si>
  <si>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</si>
  <si>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</si>
  <si>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</si>
  <si>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</si>
  <si>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</si>
  <si>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</si>
  <si>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</si>
  <si>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</si>
  <si>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</si>
  <si>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</si>
  <si>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</si>
  <si>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</si>
  <si>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</si>
  <si>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</si>
  <si>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</si>
  <si>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</si>
  <si>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</si>
  <si>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</si>
  <si>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</si>
  <si>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</si>
  <si>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</si>
  <si>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</si>
  <si>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</si>
  <si>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</si>
  <si>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</si>
  <si>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</si>
  <si>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</si>
  <si>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</si>
  <si>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</si>
  <si>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</si>
  <si>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</si>
  <si>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</si>
  <si>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</si>
  <si>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</si>
  <si>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</si>
  <si>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</si>
  <si>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</si>
  <si>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</si>
  <si>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</si>
  <si>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</si>
  <si>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</si>
  <si>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</si>
  <si>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</si>
  <si>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</si>
  <si>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</si>
  <si>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</si>
  <si>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</si>
  <si>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</si>
  <si>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</si>
  <si>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</si>
  <si>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</si>
  <si>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</si>
  <si>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</si>
  <si>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</si>
  <si>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</si>
  <si>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</si>
  <si>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</si>
  <si>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</si>
  <si>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</si>
  <si>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</si>
  <si>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</si>
  <si>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</si>
  <si>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</si>
  <si>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</si>
  <si>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</si>
  <si>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</si>
  <si>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</si>
  <si>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</si>
  <si>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</si>
  <si>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</si>
  <si>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</si>
  <si>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</si>
  <si>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</si>
  <si>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</si>
  <si>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</si>
  <si>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</si>
  <si>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</si>
  <si>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</si>
  <si>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</si>
  <si>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</si>
  <si>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</si>
  <si>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</si>
  <si>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</si>
  <si>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</si>
  <si>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</si>
  <si>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</si>
  <si>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</si>
  <si>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</si>
  <si>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</si>
  <si>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</si>
  <si>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</si>
  <si>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</si>
  <si>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</si>
  <si>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</si>
  <si>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</si>
  <si>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</si>
  <si>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</si>
  <si>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</si>
  <si>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</si>
  <si>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</si>
  <si>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</si>
  <si>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</si>
  <si>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</si>
  <si>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</si>
  <si>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</si>
  <si>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</si>
  <si>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</si>
  <si>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</si>
  <si>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</si>
  <si>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</si>
  <si>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</si>
  <si>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</si>
  <si>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</si>
  <si>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</si>
  <si>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</si>
  <si>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</si>
  <si>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</si>
  <si>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</si>
  <si>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</si>
  <si>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</si>
  <si>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</si>
  <si>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</si>
  <si>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</si>
  <si>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</si>
  <si>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</si>
  <si>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</si>
  <si>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</si>
  <si>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</si>
  <si>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</si>
  <si>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</si>
  <si>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</si>
  <si>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</si>
  <si>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</si>
  <si>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</si>
  <si>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</si>
  <si>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</si>
  <si>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</si>
  <si>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</si>
  <si>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</si>
  <si>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</si>
  <si>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</si>
  <si>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</si>
  <si>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</si>
  <si>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</si>
  <si>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</si>
  <si>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</si>
  <si>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</si>
  <si>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</si>
  <si>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</si>
  <si>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</si>
  <si>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</si>
  <si>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</si>
  <si>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</si>
  <si>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</si>
  <si>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</si>
  <si>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</si>
  <si>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</si>
  <si>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</si>
  <si>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</si>
  <si>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</si>
  <si>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</si>
  <si>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</si>
  <si>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</si>
  <si>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</si>
  <si>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</si>
  <si>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</si>
  <si>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</si>
  <si>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</si>
  <si>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</si>
  <si>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</si>
  <si>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</si>
  <si>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</si>
  <si>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</si>
  <si>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</si>
  <si>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</si>
  <si>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</si>
  <si>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</si>
  <si>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</si>
  <si>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</si>
  <si>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</si>
  <si>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</si>
  <si>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</si>
  <si>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</si>
  <si>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</si>
  <si>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</si>
  <si>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</si>
  <si>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</si>
  <si>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</si>
  <si>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</si>
  <si>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</si>
  <si>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</si>
  <si>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</si>
  <si>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</si>
  <si>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</si>
  <si>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</si>
  <si>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</si>
  <si>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</si>
  <si>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</si>
  <si>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</si>
  <si>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</si>
  <si>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</si>
  <si>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</si>
  <si>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</si>
  <si>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</si>
  <si>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</si>
  <si>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</si>
  <si>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</si>
  <si>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</si>
  <si>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</si>
  <si>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</si>
  <si>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</si>
  <si>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</si>
  <si>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</si>
  <si>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</si>
  <si>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</si>
  <si>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</si>
  <si>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</si>
  <si>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</si>
  <si>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</si>
  <si>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</si>
  <si>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</si>
  <si>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</si>
  <si>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</si>
  <si>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</si>
  <si>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</si>
  <si>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</si>
  <si>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</si>
  <si>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</si>
  <si>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</si>
  <si>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</si>
  <si>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</si>
  <si>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</si>
  <si>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</si>
  <si>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</si>
  <si>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</si>
  <si>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</si>
  <si>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</si>
  <si>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</si>
  <si>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</si>
  <si>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</si>
  <si>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</si>
  <si>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</si>
  <si>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</si>
  <si>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</si>
  <si>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</si>
  <si>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</si>
  <si>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</si>
  <si>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</si>
  <si>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</si>
  <si>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</si>
  <si>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</si>
  <si>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</si>
  <si>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</si>
  <si>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</si>
  <si>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</si>
  <si>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</si>
  <si>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</si>
  <si>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</si>
  <si>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</si>
  <si>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</si>
  <si>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</si>
  <si>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</si>
  <si>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</si>
  <si>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</si>
  <si>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</si>
  <si>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</si>
  <si>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</si>
  <si>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</si>
  <si>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</si>
  <si>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</si>
  <si>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</si>
  <si>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</si>
  <si>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</si>
  <si>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</si>
  <si>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</si>
  <si>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</si>
  <si>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</si>
  <si>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</si>
  <si>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</si>
  <si>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</si>
  <si>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</si>
  <si>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</si>
  <si>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</si>
  <si>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</si>
  <si>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</si>
  <si>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</si>
  <si>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</si>
  <si>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</si>
  <si>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</si>
  <si>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</si>
  <si>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</si>
  <si>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</si>
  <si>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</si>
  <si>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</si>
  <si>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</si>
  <si>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</si>
  <si>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</si>
  <si>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</si>
  <si>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</si>
  <si>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</si>
  <si>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</si>
  <si>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</si>
  <si>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</si>
  <si>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</si>
  <si>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</si>
  <si>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</si>
  <si>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</si>
  <si>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</si>
  <si>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</si>
  <si>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</si>
  <si>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</si>
  <si>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</si>
  <si>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</si>
  <si>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</si>
  <si>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</si>
  <si>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</si>
  <si>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</si>
  <si>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</si>
  <si>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</si>
  <si>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</si>
  <si>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</si>
  <si>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</si>
  <si>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</si>
  <si>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</si>
  <si>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</si>
  <si>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</si>
  <si>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</si>
  <si>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</si>
  <si>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</si>
  <si>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</si>
  <si>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</si>
  <si>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</si>
  <si>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</si>
  <si>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</si>
  <si>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</si>
  <si>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</si>
  <si>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</si>
  <si>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</si>
  <si>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</si>
  <si>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</si>
  <si>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</si>
  <si>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</si>
  <si>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</si>
  <si>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</si>
  <si>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</si>
  <si>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</si>
  <si>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</si>
  <si>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</si>
  <si>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</si>
  <si>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</si>
  <si>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</si>
  <si>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</si>
  <si>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</si>
  <si>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</si>
  <si>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</si>
  <si>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</si>
  <si>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</si>
  <si>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</si>
  <si>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</si>
  <si>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</si>
  <si>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</si>
  <si>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</si>
  <si>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</si>
  <si>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</si>
  <si>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</si>
  <si>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</si>
  <si>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</si>
  <si>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</si>
  <si>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</si>
  <si>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</si>
  <si>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</si>
  <si>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</si>
  <si>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</si>
  <si>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</si>
  <si>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</si>
  <si>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</si>
  <si>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</si>
  <si>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</si>
  <si>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</si>
  <si>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</si>
  <si>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</si>
  <si>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</si>
  <si>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</si>
  <si>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</si>
  <si>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</si>
  <si>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</si>
  <si>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</si>
  <si>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</si>
  <si>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</si>
  <si>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</si>
  <si>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</si>
  <si>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</si>
  <si>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</si>
  <si>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</si>
  <si>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</si>
  <si>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</si>
  <si>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</si>
  <si>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</si>
  <si>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</si>
  <si>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</si>
  <si>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</si>
  <si>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</si>
  <si>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</si>
  <si>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</si>
  <si>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</si>
  <si>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</si>
  <si>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</si>
  <si>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</si>
  <si>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</si>
  <si>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</si>
  <si>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</si>
  <si>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</si>
  <si>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</si>
  <si>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</si>
  <si>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</si>
  <si>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</si>
  <si>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</si>
  <si>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</si>
  <si>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</si>
  <si>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</si>
  <si>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</si>
  <si>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</si>
  <si>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</si>
  <si>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</si>
  <si>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</si>
  <si>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</si>
  <si>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</si>
  <si>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</si>
  <si>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</si>
  <si>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</si>
  <si>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</si>
  <si>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</si>
  <si>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</si>
  <si>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</si>
  <si>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</si>
  <si>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</si>
  <si>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</si>
  <si>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</si>
  <si>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</si>
  <si>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</si>
  <si>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</si>
  <si>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</si>
  <si>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</si>
  <si>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</si>
  <si>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</si>
  <si>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</si>
  <si>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</si>
  <si>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</si>
  <si>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</si>
  <si>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</si>
  <si>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</si>
  <si>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</si>
  <si>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</si>
  <si>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</si>
  <si>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</si>
  <si>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</si>
  <si>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</si>
  <si>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</si>
  <si>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</si>
  <si>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</si>
  <si>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</si>
  <si>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</si>
  <si>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</si>
  <si>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</si>
  <si>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</si>
  <si>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</si>
  <si>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</si>
  <si>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</si>
  <si>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</si>
  <si>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</si>
  <si>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</si>
  <si>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</si>
  <si>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</si>
  <si>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</si>
  <si>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</si>
  <si>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</si>
  <si>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</si>
  <si>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</si>
  <si>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</si>
  <si>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</si>
  <si>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</si>
  <si>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</si>
  <si>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</si>
  <si>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</si>
  <si>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</si>
  <si>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</si>
  <si>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</si>
  <si>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</si>
  <si>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</si>
  <si>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</si>
  <si>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</si>
  <si>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</si>
  <si>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</si>
  <si>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</si>
  <si>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</si>
  <si>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</si>
  <si>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</si>
  <si>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</si>
  <si>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</si>
  <si>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</si>
  <si>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</si>
  <si>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</si>
  <si>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</si>
  <si>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</si>
  <si>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</si>
  <si>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</si>
  <si>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</si>
  <si>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</si>
  <si>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</si>
  <si>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</si>
  <si>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</si>
  <si>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</si>
  <si>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</si>
  <si>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</si>
  <si>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</si>
  <si>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</si>
  <si>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</si>
  <si>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</si>
  <si>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</si>
  <si>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</si>
  <si>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</si>
  <si>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</si>
  <si>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</si>
  <si>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</si>
  <si>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</si>
  <si>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</si>
  <si>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</si>
  <si>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</si>
  <si>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</si>
  <si>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</si>
  <si>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</si>
  <si>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</si>
  <si>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</si>
  <si>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</si>
  <si>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</si>
  <si>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</si>
  <si>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</si>
  <si>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</si>
  <si>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</si>
  <si>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</si>
  <si>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</si>
  <si>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</si>
  <si>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</si>
  <si>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</si>
  <si>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</si>
  <si>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</si>
  <si>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</si>
  <si>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</si>
  <si>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</si>
  <si>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</si>
  <si>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</si>
  <si>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</si>
  <si>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</si>
  <si>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</si>
  <si>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</si>
  <si>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</si>
  <si>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</si>
  <si>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</si>
  <si>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</si>
  <si>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</si>
  <si>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</si>
  <si>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</si>
  <si>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</si>
  <si>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</si>
  <si>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</si>
  <si>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</si>
  <si>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</si>
  <si>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</si>
  <si>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</si>
  <si>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</si>
  <si>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</si>
  <si>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</si>
  <si>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</si>
  <si>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</si>
  <si>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</si>
  <si>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</si>
  <si>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</si>
  <si>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</si>
  <si>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</si>
  <si>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</si>
  <si>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</si>
  <si>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</si>
  <si>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</si>
  <si>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</si>
  <si>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</si>
  <si>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</si>
  <si>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</si>
  <si>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</si>
  <si>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</si>
  <si>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</si>
  <si>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</si>
  <si>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</si>
  <si>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</si>
  <si>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</si>
  <si>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</si>
  <si>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</si>
  <si>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</si>
  <si>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</si>
  <si>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</si>
  <si>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</si>
  <si>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</si>
  <si>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</si>
  <si>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</si>
  <si>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</si>
  <si>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</si>
  <si>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</si>
  <si>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</si>
  <si>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</si>
  <si>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</si>
  <si>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</si>
  <si>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</si>
  <si>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</si>
  <si>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</si>
  <si>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</si>
  <si>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</si>
  <si>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</si>
  <si>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</si>
  <si>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</si>
  <si>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</si>
  <si>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</si>
  <si>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</si>
  <si>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</si>
  <si>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</si>
  <si>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</si>
  <si>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</si>
  <si>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</si>
  <si>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</si>
  <si>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</si>
  <si>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</si>
  <si>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</si>
  <si>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</si>
  <si>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</si>
  <si>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</si>
  <si>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</si>
  <si>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</si>
  <si>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</si>
  <si>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</si>
  <si>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</si>
  <si>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</si>
  <si>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</si>
  <si>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</si>
  <si>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</si>
  <si>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</si>
  <si>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</si>
  <si>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</si>
  <si>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</si>
  <si>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</si>
  <si>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</si>
  <si>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</si>
  <si>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</si>
  <si>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</si>
  <si>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</si>
  <si>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</si>
  <si>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</si>
  <si>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</si>
  <si>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</si>
  <si>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</si>
  <si>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</si>
  <si>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</si>
  <si>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</si>
  <si>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</si>
  <si>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</si>
  <si>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</si>
  <si>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</si>
  <si>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</si>
  <si>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</si>
  <si>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</si>
  <si>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</si>
  <si>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</si>
  <si>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</si>
  <si>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</si>
  <si>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</si>
  <si>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</si>
  <si>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</si>
  <si>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</si>
  <si>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</si>
  <si>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</si>
  <si>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</si>
  <si>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</si>
  <si>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</si>
  <si>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</si>
  <si>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</si>
  <si>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</si>
  <si>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</si>
  <si>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</si>
  <si>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</si>
  <si>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</si>
  <si>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</si>
  <si>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</si>
  <si>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</si>
  <si>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</si>
  <si>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</si>
  <si>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</si>
  <si>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</si>
  <si>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</si>
  <si>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</si>
  <si>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</si>
  <si>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</si>
  <si>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</si>
  <si>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</si>
  <si>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</si>
  <si>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</si>
  <si>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</si>
  <si>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</si>
  <si>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</si>
  <si>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</si>
  <si>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</si>
  <si>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</si>
  <si>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</si>
  <si>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</si>
  <si>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</si>
  <si>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</si>
  <si>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</si>
  <si>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</si>
  <si>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</si>
  <si>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</si>
  <si>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</si>
  <si>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</si>
  <si>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</si>
  <si>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</si>
  <si>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</si>
  <si>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</si>
  <si>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</si>
  <si>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</si>
  <si>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</si>
  <si>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</si>
  <si>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</si>
  <si>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</si>
  <si>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</si>
  <si>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</si>
  <si>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</si>
  <si>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</si>
  <si>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</si>
  <si>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</si>
  <si>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</si>
  <si>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</si>
  <si>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</si>
  <si>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</si>
  <si>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</si>
  <si>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</si>
  <si>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</si>
  <si>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</si>
  <si>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</si>
  <si>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</si>
  <si>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</si>
  <si>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</si>
  <si>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</si>
  <si>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</si>
  <si>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</si>
  <si>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</si>
  <si>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</si>
  <si>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</si>
  <si>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</si>
  <si>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</si>
  <si>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</si>
  <si>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</si>
  <si>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</si>
  <si>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</si>
  <si>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</si>
  <si>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</si>
  <si>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</si>
  <si>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</si>
  <si>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</si>
  <si>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</si>
  <si>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</si>
  <si>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</si>
  <si>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</si>
  <si>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</si>
  <si>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</si>
  <si>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</si>
  <si>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</si>
  <si>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</si>
  <si>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</si>
  <si>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</si>
  <si>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</si>
  <si>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</si>
  <si>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</si>
  <si>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</si>
  <si>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</si>
  <si>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</si>
  <si>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</si>
  <si>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</si>
  <si>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</si>
  <si>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</si>
  <si>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</si>
  <si>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</si>
  <si>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</si>
  <si>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</si>
  <si>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</si>
  <si>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</si>
  <si>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</si>
  <si>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</si>
  <si>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</si>
  <si>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</si>
  <si>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</si>
  <si>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</si>
  <si>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</si>
  <si>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</si>
  <si>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</si>
  <si>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</si>
  <si>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</si>
  <si>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</si>
  <si>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</si>
  <si>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</si>
  <si>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</si>
  <si>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</si>
  <si>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</si>
  <si>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</si>
  <si>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</si>
  <si>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</si>
  <si>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</si>
  <si>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</si>
  <si>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</si>
  <si>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</si>
  <si>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</si>
  <si>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</si>
  <si>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</si>
  <si>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</si>
  <si>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</si>
  <si>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</si>
  <si>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</si>
  <si>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</si>
  <si>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</si>
  <si>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</si>
  <si>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</si>
  <si>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</si>
  <si>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</si>
  <si>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</si>
  <si>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</si>
  <si>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</si>
  <si>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</si>
  <si>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</si>
  <si>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</si>
  <si>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</si>
  <si>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</si>
  <si>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</si>
  <si>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</si>
  <si>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</si>
  <si>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</si>
  <si>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</si>
  <si>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</si>
  <si>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</si>
  <si>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</si>
  <si>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</si>
  <si>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</si>
  <si>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</si>
  <si>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</si>
  <si>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</si>
  <si>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</si>
  <si>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</si>
  <si>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</si>
  <si>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</si>
  <si>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</si>
  <si>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</si>
  <si>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</si>
  <si>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</si>
  <si>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</si>
  <si>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</si>
  <si>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</si>
  <si>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</si>
  <si>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</si>
  <si>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</si>
  <si>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</si>
  <si>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</si>
  <si>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</si>
  <si>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</si>
  <si>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</si>
  <si>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</si>
  <si>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</si>
  <si>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</si>
  <si>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</si>
  <si>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</si>
  <si>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</si>
  <si>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</si>
  <si>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</si>
  <si>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</si>
  <si>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</si>
  <si>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</si>
  <si>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</si>
  <si>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</si>
  <si>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</si>
  <si>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</si>
  <si>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</si>
  <si>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</si>
  <si>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</si>
  <si>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</si>
  <si>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</si>
  <si>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</si>
  <si>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</si>
  <si>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</si>
  <si>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</si>
  <si>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</si>
  <si>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</si>
  <si>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</si>
  <si>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</si>
  <si>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</si>
  <si>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</si>
  <si>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</si>
  <si>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</si>
  <si>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</si>
  <si>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</si>
  <si>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</si>
  <si>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</si>
  <si>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</si>
  <si>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</si>
  <si>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</si>
  <si>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</si>
  <si>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</si>
  <si>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</si>
  <si>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</si>
  <si>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</si>
  <si>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</si>
  <si>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</si>
  <si>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</si>
  <si>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</si>
  <si>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</si>
  <si>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</si>
  <si>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</si>
  <si>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</si>
  <si>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</si>
  <si>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</si>
  <si>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</si>
  <si>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</si>
  <si>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</si>
  <si>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</si>
  <si>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</si>
  <si>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</si>
  <si>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</si>
  <si>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</si>
  <si>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</si>
  <si>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</si>
  <si>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</si>
  <si>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</si>
  <si>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</si>
  <si>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</si>
  <si>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</si>
  <si>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</si>
  <si>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</si>
  <si>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</si>
  <si>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</si>
  <si>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</si>
  <si>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</si>
  <si>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</si>
  <si>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</si>
  <si>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</si>
  <si>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</si>
  <si>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</si>
  <si>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</si>
  <si>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</si>
  <si>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</si>
  <si>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</si>
  <si>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</si>
  <si>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</si>
  <si>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</si>
  <si>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</si>
  <si>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</si>
  <si>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</si>
  <si>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</si>
  <si>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</si>
  <si>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</si>
  <si>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</si>
  <si>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</si>
  <si>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</si>
  <si>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</si>
  <si>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</si>
  <si>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</si>
  <si>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</si>
  <si>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</si>
  <si>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</si>
  <si>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</si>
  <si>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</si>
  <si>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</si>
  <si>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</si>
  <si>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</si>
  <si>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</si>
  <si>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</si>
  <si>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</si>
  <si>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</si>
  <si>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</si>
  <si>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</si>
  <si>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</si>
  <si>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</si>
  <si>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</si>
  <si>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</si>
  <si>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</si>
  <si>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</si>
  <si>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</si>
  <si>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</si>
  <si>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</si>
  <si>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</si>
  <si>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</si>
  <si>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</si>
  <si>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</si>
  <si>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</si>
  <si>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</si>
  <si>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</si>
  <si>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</si>
  <si>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</si>
  <si>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</si>
  <si>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</si>
  <si>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</si>
  <si>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</si>
  <si>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</si>
  <si>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</si>
  <si>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</si>
  <si>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</si>
  <si>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</si>
  <si>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</si>
  <si>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</si>
  <si>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</si>
  <si>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</si>
  <si>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</si>
  <si>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</si>
  <si>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</si>
  <si>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</si>
  <si>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</si>
  <si>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</si>
  <si>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</si>
  <si>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</si>
  <si>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</si>
  <si>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</si>
  <si>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</si>
  <si>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</si>
  <si>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</si>
  <si>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</si>
  <si>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</si>
  <si>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</si>
  <si>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</si>
  <si>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</si>
  <si>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</si>
  <si>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</si>
  <si>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</si>
  <si>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</si>
  <si>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</si>
  <si>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</si>
  <si>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</si>
  <si>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</si>
  <si>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</si>
  <si>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</si>
  <si>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</si>
  <si>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</si>
  <si>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</si>
  <si>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</si>
  <si>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</si>
  <si>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</si>
  <si>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</si>
  <si>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</si>
  <si>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</si>
  <si>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</si>
  <si>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</si>
  <si>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</si>
  <si>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</si>
  <si>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</si>
  <si>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</si>
  <si>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</si>
  <si>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</si>
  <si>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</si>
  <si>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</si>
  <si>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</si>
  <si>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</si>
  <si>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</si>
  <si>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</si>
  <si>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</si>
  <si>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</si>
  <si>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</si>
  <si>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</si>
  <si>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</si>
  <si>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</si>
  <si>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</si>
  <si>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</si>
  <si>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</si>
  <si>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</si>
  <si>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</si>
  <si>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</si>
  <si>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</si>
  <si>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</si>
  <si>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</si>
  <si>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</si>
  <si>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</si>
  <si>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</si>
  <si>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</si>
  <si>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</si>
  <si>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</si>
  <si>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</si>
  <si>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</si>
  <si>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</si>
  <si>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</si>
  <si>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</si>
  <si>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</si>
  <si>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</si>
  <si>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</si>
  <si>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</si>
  <si>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</si>
  <si>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</si>
  <si>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</si>
  <si>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</si>
  <si>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</si>
  <si>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</si>
  <si>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</si>
  <si>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</si>
  <si>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</si>
  <si>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</si>
  <si>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</si>
  <si>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</si>
  <si>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</si>
  <si>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</si>
  <si>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</si>
  <si>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</si>
  <si>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</si>
  <si>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</si>
  <si>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</si>
  <si>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</si>
  <si>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</si>
  <si>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</si>
  <si>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</si>
  <si>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</si>
  <si>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</si>
  <si>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</si>
  <si>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</si>
  <si>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</si>
  <si>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</si>
  <si>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</si>
  <si>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</si>
  <si>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</si>
  <si>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</si>
  <si>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</si>
  <si>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</si>
  <si>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</si>
  <si>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</si>
  <si>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</si>
  <si>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</si>
  <si>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</si>
  <si>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</si>
  <si>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</si>
  <si>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</si>
  <si>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</si>
  <si>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</si>
  <si>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</si>
  <si>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</si>
  <si>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</si>
  <si>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</si>
  <si>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</si>
  <si>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</si>
  <si>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</si>
  <si>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</si>
  <si>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</si>
  <si>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</si>
  <si>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</si>
  <si>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</si>
  <si>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</si>
  <si>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</si>
  <si>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</si>
  <si>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</si>
  <si>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</si>
  <si>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</si>
  <si>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</si>
  <si>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</si>
  <si>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</si>
  <si>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</si>
  <si>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</si>
  <si>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</si>
  <si>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</si>
  <si>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</si>
  <si>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</si>
  <si>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</si>
  <si>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</si>
  <si>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</si>
  <si>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</si>
  <si>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</si>
  <si>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</si>
  <si>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</si>
  <si>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</si>
  <si>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</si>
  <si>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</si>
  <si>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</si>
  <si>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</si>
  <si>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</si>
  <si>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</si>
  <si>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</si>
  <si>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</si>
  <si>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</si>
  <si>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</si>
  <si>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</si>
  <si>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</si>
  <si>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</si>
  <si>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</si>
  <si>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</si>
  <si>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</si>
  <si>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</si>
  <si>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</si>
  <si>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</si>
  <si>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</si>
  <si>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</si>
  <si>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</si>
  <si>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</si>
  <si>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</si>
  <si>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</si>
  <si>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</si>
  <si>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</si>
  <si>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</si>
  <si>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</si>
  <si>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</si>
  <si>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</si>
  <si>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</si>
  <si>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</si>
  <si>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</si>
  <si>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</si>
  <si>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</si>
  <si>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</si>
  <si>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</si>
  <si>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</si>
  <si>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</si>
  <si>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</si>
  <si>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</si>
  <si>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</si>
  <si>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</si>
  <si>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</si>
  <si>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</si>
  <si>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</si>
  <si>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</si>
  <si>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</si>
  <si>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</si>
  <si>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</si>
  <si>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</si>
  <si>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</si>
  <si>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</si>
  <si>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</si>
  <si>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</si>
  <si>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</si>
  <si>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</si>
  <si>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</si>
  <si>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</si>
  <si>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</si>
  <si>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</si>
  <si>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</si>
  <si>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</si>
  <si>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</si>
  <si>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</si>
  <si>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</si>
  <si>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</si>
  <si>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</si>
  <si>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</si>
  <si>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</si>
  <si>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</si>
  <si>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</si>
  <si>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</si>
  <si>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</si>
  <si>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</si>
  <si>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</si>
  <si>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</si>
  <si>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</si>
  <si>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</si>
  <si>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</si>
  <si>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</si>
  <si>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</si>
  <si>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</si>
  <si>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</si>
  <si>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</si>
  <si>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</si>
  <si>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</si>
  <si>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</si>
  <si>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</si>
  <si>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</si>
  <si>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</si>
  <si>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</si>
  <si>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</si>
  <si>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</si>
  <si>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</si>
  <si>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</si>
  <si>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</si>
  <si>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</si>
  <si>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</si>
  <si>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</si>
  <si>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</si>
  <si>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</si>
  <si>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</si>
  <si>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</si>
  <si>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</si>
  <si>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</si>
  <si>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</si>
  <si>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</si>
  <si>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</si>
  <si>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</si>
  <si>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</si>
  <si>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</si>
  <si>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</si>
  <si>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</si>
  <si>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</si>
  <si>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</si>
  <si>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</si>
  <si>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</si>
  <si>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</si>
  <si>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</si>
  <si>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</si>
  <si>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</si>
  <si>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</si>
  <si>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</si>
  <si>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</si>
  <si>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</si>
  <si>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</si>
  <si>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</si>
  <si>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</si>
  <si>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</si>
  <si>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</si>
  <si>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</si>
  <si>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</si>
  <si>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</si>
  <si>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</si>
  <si>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</si>
  <si>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</si>
  <si>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</si>
  <si>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</si>
  <si>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</si>
  <si>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</si>
  <si>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</si>
  <si>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</si>
  <si>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</si>
  <si>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</si>
  <si>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</si>
  <si>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</si>
  <si>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</si>
  <si>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</si>
  <si>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</si>
  <si>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</si>
  <si>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</si>
  <si>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</si>
  <si>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</si>
  <si>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</si>
  <si>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</si>
  <si>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</si>
  <si>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</si>
  <si>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</si>
  <si>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</si>
  <si>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</si>
  <si>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</si>
  <si>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</si>
  <si>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</si>
  <si>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</si>
  <si>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</si>
  <si>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</si>
  <si>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</si>
  <si>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</si>
  <si>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</si>
  <si>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</si>
  <si>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</si>
  <si>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</si>
  <si>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</si>
  <si>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</si>
  <si>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</si>
  <si>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</si>
  <si>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</si>
  <si>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</si>
  <si>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</si>
  <si>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</si>
  <si>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</si>
  <si>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</si>
  <si>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</si>
  <si>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</si>
  <si>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</si>
  <si>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</si>
  <si>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</si>
  <si>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</si>
  <si>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</si>
  <si>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</si>
  <si>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</si>
  <si>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</si>
  <si>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</si>
  <si>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</si>
  <si>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</si>
  <si>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</si>
  <si>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</si>
  <si>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</si>
  <si>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</si>
  <si>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</si>
  <si>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</si>
  <si>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</si>
  <si>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</si>
  <si>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</si>
  <si>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</si>
  <si>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</si>
  <si>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</si>
  <si>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</si>
  <si>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</si>
  <si>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</si>
  <si>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</si>
  <si>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</si>
  <si>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</si>
  <si>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</si>
  <si>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</si>
  <si>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</si>
  <si>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</si>
  <si>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</si>
  <si>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</si>
  <si>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</si>
  <si>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</si>
  <si>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</si>
  <si>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</si>
  <si>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</si>
  <si>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</si>
  <si>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</si>
  <si>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</si>
  <si>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</si>
  <si>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</si>
  <si>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</si>
  <si>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</si>
  <si>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</si>
  <si>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</si>
  <si>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</si>
  <si>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</si>
  <si>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</si>
  <si>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</si>
  <si>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</si>
  <si>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</si>
  <si>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</si>
  <si>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</si>
  <si>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</si>
  <si>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</si>
  <si>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</si>
  <si>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</si>
  <si>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</si>
  <si>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</si>
  <si>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</si>
  <si>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</si>
  <si>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</si>
  <si>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</si>
  <si>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</si>
  <si>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</si>
  <si>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</si>
  <si>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</si>
  <si>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</si>
  <si>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</si>
  <si>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</si>
  <si>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</si>
  <si>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</si>
  <si>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</si>
  <si>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</si>
  <si>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</si>
  <si>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</si>
  <si>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</si>
  <si>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</si>
  <si>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</si>
  <si>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</si>
  <si>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</si>
  <si>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</si>
  <si>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</si>
  <si>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</si>
  <si>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</si>
  <si>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</si>
  <si>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</si>
  <si>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</si>
  <si>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</si>
  <si>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</si>
  <si>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</si>
  <si>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</si>
  <si>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</si>
  <si>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</si>
  <si>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</si>
  <si>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</si>
  <si>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</si>
  <si>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</si>
  <si>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</si>
  <si>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</si>
  <si>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</si>
  <si>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</si>
  <si>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</si>
  <si>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</si>
  <si>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</si>
  <si>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</si>
  <si>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</si>
  <si>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</si>
  <si>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</si>
  <si>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</si>
  <si>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</si>
  <si>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</si>
  <si>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</si>
  <si>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</si>
  <si>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</si>
  <si>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</si>
  <si>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</si>
  <si>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</si>
  <si>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</si>
  <si>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</si>
  <si>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</si>
  <si>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</si>
  <si>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</si>
  <si>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</si>
  <si>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</si>
  <si>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</si>
  <si>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</si>
  <si>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</si>
  <si>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</si>
  <si>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</si>
  <si>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</si>
  <si>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</si>
  <si>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</si>
  <si>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</si>
  <si>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</si>
  <si>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</si>
  <si>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</si>
  <si>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</si>
  <si>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</si>
  <si>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</si>
  <si>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</si>
  <si>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</si>
  <si>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</si>
  <si>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</si>
  <si>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</si>
  <si>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</si>
  <si>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</si>
  <si>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</si>
  <si>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</si>
  <si>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</si>
  <si>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</si>
  <si>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</si>
  <si>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</si>
  <si>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</si>
  <si>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</si>
  <si>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</si>
  <si>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</si>
  <si>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</si>
  <si>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</si>
  <si>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</si>
  <si>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</si>
  <si>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</si>
  <si>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</si>
  <si>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</si>
  <si>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</si>
  <si>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</si>
  <si>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</si>
  <si>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</si>
  <si>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</si>
  <si>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</si>
  <si>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</si>
  <si>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</si>
  <si>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</si>
  <si>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</si>
  <si>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</si>
  <si>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</si>
  <si>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</si>
  <si>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</si>
  <si>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</si>
  <si>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</si>
  <si>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</si>
  <si>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</si>
  <si>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</si>
  <si>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</si>
  <si>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</si>
  <si>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</si>
  <si>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</si>
  <si>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</si>
  <si>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</si>
  <si>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</si>
  <si>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</si>
  <si>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</si>
  <si>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</si>
  <si>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</si>
  <si>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</si>
  <si>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</si>
  <si>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</si>
  <si>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</si>
  <si>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</si>
  <si>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</si>
  <si>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</si>
  <si>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</si>
  <si>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</si>
  <si>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</si>
  <si>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</si>
  <si>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</si>
  <si>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</si>
  <si>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</si>
  <si>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</si>
  <si>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</si>
  <si>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</si>
  <si>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</si>
  <si>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</si>
  <si>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</si>
  <si>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</si>
  <si>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</si>
  <si>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</si>
  <si>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</si>
  <si>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</si>
  <si>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</si>
  <si>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</si>
  <si>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</si>
  <si>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</si>
  <si>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</si>
  <si>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</si>
  <si>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</si>
  <si>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</si>
  <si>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</si>
  <si>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</si>
  <si>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</si>
  <si>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</si>
  <si>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</si>
  <si>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</si>
  <si>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</si>
  <si>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</si>
  <si>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</si>
  <si>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</si>
  <si>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</si>
  <si>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</si>
  <si>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</si>
  <si>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</si>
  <si>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</si>
  <si>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</si>
  <si>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</si>
  <si>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</si>
  <si>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</si>
  <si>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</si>
  <si>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</si>
  <si>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</si>
  <si>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</si>
  <si>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</si>
  <si>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</si>
  <si>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</si>
  <si>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</si>
  <si>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</si>
  <si>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</si>
  <si>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</si>
  <si>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</si>
  <si>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</si>
  <si>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</si>
  <si>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</si>
  <si>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</si>
  <si>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</si>
  <si>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</si>
  <si>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</si>
  <si>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</si>
  <si>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</si>
  <si>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</si>
  <si>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</si>
  <si>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</si>
  <si>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</si>
  <si>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</si>
  <si>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</si>
  <si>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</si>
  <si>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</si>
  <si>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</si>
  <si>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</si>
  <si>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</si>
  <si>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</si>
  <si>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</si>
  <si>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</si>
  <si>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</si>
  <si>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</si>
  <si>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</si>
  <si>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</si>
  <si>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</si>
  <si>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</si>
  <si>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</si>
  <si>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</si>
  <si>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</si>
  <si>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</si>
  <si>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</si>
  <si>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</si>
  <si>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</si>
  <si>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</si>
  <si>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</si>
  <si>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</si>
  <si>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</si>
  <si>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</si>
  <si>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</si>
  <si>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</si>
  <si>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</si>
  <si>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</si>
  <si>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</si>
  <si>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</si>
  <si>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</si>
  <si>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</si>
  <si>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</si>
  <si>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</si>
  <si>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</si>
  <si>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</si>
  <si>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</si>
  <si>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</si>
  <si>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</si>
  <si>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</si>
  <si>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</si>
  <si>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</si>
  <si>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</si>
  <si>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</si>
  <si>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</si>
  <si>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</si>
  <si>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</si>
  <si>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</si>
  <si>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</si>
  <si>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</si>
  <si>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</si>
  <si>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</si>
  <si>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</si>
  <si>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</si>
  <si>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</si>
  <si>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</si>
  <si>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</si>
  <si>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</si>
  <si>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</si>
  <si>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</si>
  <si>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</si>
  <si>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</si>
  <si>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</si>
  <si>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</si>
  <si>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</si>
  <si>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</si>
  <si>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</si>
  <si>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</si>
  <si>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</si>
  <si>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</si>
  <si>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</si>
  <si>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</si>
  <si>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</si>
  <si>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</si>
  <si>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</si>
  <si>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</si>
  <si>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</si>
  <si>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</si>
  <si>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</si>
  <si>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</si>
  <si>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</si>
  <si>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</si>
  <si>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</si>
  <si>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</si>
  <si>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</si>
  <si>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</si>
  <si>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</si>
  <si>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</si>
  <si>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</si>
  <si>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</si>
  <si>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</si>
  <si>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</si>
  <si>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</si>
  <si>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</si>
  <si>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</si>
  <si>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</si>
  <si>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</si>
  <si>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</si>
  <si>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</si>
  <si>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</si>
  <si>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</si>
  <si>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</si>
  <si>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</si>
  <si>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</si>
  <si>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</si>
  <si>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</si>
  <si>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</si>
  <si>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</si>
  <si>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</si>
  <si>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</si>
  <si>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</si>
  <si>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</si>
  <si>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</si>
  <si>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</si>
  <si>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</si>
  <si>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</si>
  <si>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</si>
  <si>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</si>
  <si>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</si>
  <si>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</si>
  <si>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</si>
  <si>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</si>
  <si>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</si>
  <si>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</si>
  <si>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</si>
  <si>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</si>
  <si>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</si>
  <si>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</si>
  <si>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</si>
  <si>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</si>
  <si>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</si>
  <si>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</si>
  <si>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</si>
  <si>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</si>
  <si>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</si>
  <si>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</si>
  <si>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</si>
  <si>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</si>
  <si>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</si>
  <si>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</si>
  <si>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</si>
  <si>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</si>
  <si>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</si>
  <si>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</si>
  <si>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</si>
  <si>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</si>
  <si>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</si>
  <si>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</si>
  <si>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</si>
  <si>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</si>
  <si>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</si>
  <si>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</si>
  <si>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</si>
  <si>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</si>
  <si>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</si>
  <si>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</si>
  <si>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</si>
  <si>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</si>
  <si>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</si>
  <si>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</si>
  <si>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</si>
  <si>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</si>
  <si>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</si>
  <si>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</si>
  <si>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</si>
  <si>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</si>
  <si>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</si>
  <si>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</si>
  <si>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</si>
  <si>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</si>
  <si>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</si>
  <si>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</si>
  <si>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</si>
  <si>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</si>
  <si>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</si>
  <si>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</si>
  <si>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</si>
  <si>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</si>
  <si>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</si>
  <si>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</si>
  <si>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</si>
  <si>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</si>
  <si>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</si>
  <si>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</si>
  <si>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</si>
  <si>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</si>
  <si>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</si>
  <si>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</si>
  <si>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</si>
  <si>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</si>
  <si>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</si>
  <si>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</si>
  <si>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</si>
  <si>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</si>
  <si>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</si>
  <si>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</si>
  <si>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</si>
  <si>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</si>
  <si>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</si>
  <si>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</si>
  <si>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</si>
  <si>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</si>
  <si>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</si>
  <si>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</si>
  <si>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</si>
  <si>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</si>
  <si>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</si>
  <si>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</si>
  <si>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</si>
  <si>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</si>
  <si>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</si>
  <si>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</si>
  <si>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</si>
  <si>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</si>
  <si>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</si>
  <si>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</si>
  <si>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</si>
  <si>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</si>
  <si>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</si>
  <si>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</si>
  <si>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</si>
  <si>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</si>
  <si>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</si>
  <si>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</si>
  <si>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</si>
  <si>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</si>
  <si>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</si>
  <si>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</si>
  <si>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</si>
  <si>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</si>
  <si>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</si>
  <si>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</si>
  <si>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</si>
  <si>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</si>
  <si>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</si>
  <si>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</si>
  <si>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</si>
  <si>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</si>
  <si>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</si>
  <si>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</si>
  <si>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</si>
  <si>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</si>
  <si>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</si>
  <si>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</si>
  <si>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</si>
  <si>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</si>
  <si>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</si>
  <si>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</si>
  <si>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</si>
  <si>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</si>
  <si>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</si>
  <si>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</si>
  <si>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</si>
  <si>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</si>
  <si>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</si>
  <si>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</si>
  <si>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</si>
  <si>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</si>
  <si>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</si>
  <si>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</si>
  <si>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</si>
  <si>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</si>
  <si>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</si>
  <si>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</si>
  <si>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</si>
  <si>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</si>
  <si>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</si>
  <si>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</si>
  <si>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</si>
  <si>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</si>
  <si>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</si>
  <si>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</si>
  <si>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</si>
  <si>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</si>
  <si>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</si>
  <si>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</si>
  <si>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</si>
  <si>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</si>
  <si>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</si>
  <si>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</si>
  <si>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</si>
  <si>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</si>
  <si>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</si>
  <si>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</si>
  <si>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</si>
  <si>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</si>
  <si>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</si>
  <si>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</si>
  <si>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</si>
  <si>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</si>
  <si>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</si>
  <si>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</si>
  <si>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</si>
  <si>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</si>
  <si>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</si>
  <si>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</si>
  <si>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</si>
  <si>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</si>
  <si>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</si>
  <si>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</si>
  <si>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</si>
  <si>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</si>
  <si>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</si>
  <si>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</si>
  <si>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</si>
  <si>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</si>
  <si>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</si>
  <si>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</si>
  <si>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</si>
  <si>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</si>
  <si>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</si>
  <si>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</si>
  <si>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</si>
  <si>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</si>
  <si>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</si>
  <si>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</si>
  <si>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</si>
  <si>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</si>
  <si>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</si>
  <si>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</si>
  <si>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</si>
  <si>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</si>
  <si>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</si>
  <si>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</si>
  <si>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</si>
  <si>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</si>
  <si>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</si>
  <si>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</si>
  <si>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</si>
  <si>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</si>
  <si>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</si>
  <si>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</si>
  <si>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</si>
  <si>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</si>
  <si>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</si>
  <si>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</si>
  <si>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</si>
  <si>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</si>
  <si>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</si>
  <si>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</si>
  <si>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</si>
  <si>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</si>
  <si>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</si>
  <si>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</si>
  <si>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</si>
  <si>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</si>
  <si>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</si>
  <si>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</si>
  <si>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</si>
  <si>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</si>
  <si>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</si>
  <si>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</si>
  <si>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</si>
  <si>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</si>
  <si>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</si>
  <si>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</si>
  <si>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</si>
  <si>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</si>
  <si>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</si>
  <si>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</si>
  <si>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</si>
  <si>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</si>
  <si>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</si>
  <si>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</si>
  <si>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</si>
  <si>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</si>
  <si>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</si>
  <si>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</si>
  <si>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</si>
  <si>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</si>
  <si>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</si>
  <si>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</si>
  <si>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</si>
  <si>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</si>
  <si>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</si>
  <si>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</si>
  <si>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</si>
  <si>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</si>
  <si>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</si>
  <si>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</si>
  <si>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</si>
  <si>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</si>
  <si>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</si>
  <si>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</si>
  <si>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</si>
  <si>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</si>
  <si>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</si>
  <si>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</si>
  <si>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</si>
  <si>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</si>
  <si>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</si>
  <si>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</si>
  <si>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</si>
  <si>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</si>
  <si>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</si>
  <si>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</si>
  <si>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</si>
  <si>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</si>
  <si>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</si>
  <si>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</si>
  <si>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</si>
  <si>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</si>
  <si>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</si>
  <si>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</si>
  <si>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</si>
  <si>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</si>
  <si>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</si>
  <si>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</si>
  <si>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</si>
  <si>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</si>
  <si>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</si>
  <si>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</si>
  <si>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</si>
  <si>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</si>
  <si>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</si>
  <si>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</si>
  <si>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</si>
  <si>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</si>
  <si>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</si>
  <si>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</si>
  <si>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</si>
  <si>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</si>
  <si>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</si>
  <si>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</si>
  <si>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</si>
  <si>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</si>
  <si>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</si>
  <si>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</si>
  <si>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</si>
  <si>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</si>
  <si>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</si>
  <si>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</si>
  <si>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</si>
  <si>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</si>
  <si>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</si>
  <si>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</si>
  <si>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</si>
  <si>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</si>
  <si>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</si>
  <si>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</si>
  <si>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</si>
  <si>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</si>
  <si>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</si>
  <si>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</si>
  <si>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</si>
  <si>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</si>
  <si>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</si>
  <si>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</si>
  <si>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</si>
  <si>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</si>
  <si>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</si>
  <si>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</si>
  <si>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</si>
  <si>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</si>
  <si>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</si>
  <si>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</si>
  <si>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</si>
  <si>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</si>
  <si>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</si>
  <si>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</si>
  <si>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</si>
  <si>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</si>
  <si>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</si>
  <si>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</si>
  <si>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</si>
  <si>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</si>
  <si>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</si>
  <si>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</si>
  <si>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</si>
  <si>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</si>
  <si>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</si>
  <si>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</si>
  <si>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</si>
  <si>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</si>
  <si>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</si>
  <si>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</si>
  <si>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</si>
  <si>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</si>
  <si>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</si>
  <si>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</si>
  <si>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</si>
  <si>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</si>
  <si>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</si>
  <si>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</si>
  <si>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</si>
  <si>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</si>
  <si>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</si>
  <si>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</si>
  <si>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</si>
  <si>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</si>
  <si>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</si>
  <si>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</si>
  <si>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</si>
  <si>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</si>
  <si>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</si>
  <si>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</si>
  <si>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</si>
  <si>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</si>
  <si>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</si>
  <si>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</si>
  <si>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</si>
  <si>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</si>
  <si>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</si>
  <si>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</si>
  <si>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</si>
  <si>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</si>
  <si>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</si>
  <si>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</si>
  <si>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</si>
  <si>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</si>
  <si>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</si>
  <si>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</si>
  <si>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</si>
  <si>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</si>
  <si>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</si>
  <si>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</si>
  <si>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</si>
  <si>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</si>
  <si>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</si>
  <si>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</si>
  <si>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</si>
  <si>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</si>
  <si>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</si>
  <si>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</si>
  <si>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</si>
  <si>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</si>
  <si>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</si>
  <si>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</si>
  <si>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</si>
  <si>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</si>
  <si>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</si>
  <si>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</si>
  <si>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</si>
  <si>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</si>
  <si>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</si>
  <si>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</si>
  <si>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</si>
  <si>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</si>
  <si>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</si>
  <si>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</si>
  <si>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</si>
  <si>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</si>
  <si>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</si>
  <si>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</si>
  <si>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</si>
  <si>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</si>
  <si>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</si>
  <si>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</si>
  <si>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</si>
  <si>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</si>
  <si>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</si>
  <si>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</si>
  <si>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</si>
  <si>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</si>
  <si>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</si>
  <si>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</si>
  <si>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</si>
  <si>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</si>
  <si>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</si>
  <si>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</si>
  <si>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</si>
  <si>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</si>
  <si>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</si>
  <si>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</si>
  <si>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</si>
  <si>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</si>
  <si>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</si>
  <si>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</si>
  <si>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</si>
  <si>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</si>
  <si>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</si>
  <si>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</si>
  <si>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</si>
  <si>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</si>
  <si>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</si>
  <si>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</si>
  <si>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</si>
  <si>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</si>
  <si>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</si>
  <si>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</si>
  <si>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</si>
  <si>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</si>
  <si>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</si>
  <si>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</si>
  <si>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</si>
  <si>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</si>
  <si>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</si>
  <si>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</si>
  <si>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</si>
  <si>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</si>
  <si>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</si>
  <si>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</si>
  <si>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</si>
  <si>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</si>
  <si>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</si>
  <si>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</si>
  <si>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</si>
  <si>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</si>
  <si>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</si>
  <si>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</si>
  <si>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</si>
  <si>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</si>
  <si>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</si>
  <si>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</si>
  <si>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</si>
  <si>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</si>
  <si>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</si>
  <si>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</si>
  <si>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</si>
  <si>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</si>
  <si>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</si>
  <si>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</si>
  <si>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</si>
  <si>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</si>
  <si>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</si>
  <si>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</si>
  <si>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</si>
  <si>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</si>
  <si>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</si>
  <si>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</si>
  <si>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</si>
  <si>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</si>
  <si>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</si>
  <si>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</si>
  <si>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</si>
  <si>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</si>
  <si>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</si>
  <si>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</si>
  <si>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</si>
  <si>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</si>
  <si>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</si>
  <si>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</si>
  <si>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</si>
  <si>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</si>
  <si>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</si>
  <si>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</si>
  <si>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</si>
  <si>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</si>
  <si>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</si>
  <si>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</si>
  <si>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</si>
  <si>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</si>
  <si>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</si>
  <si>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</si>
  <si>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</si>
  <si>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</si>
  <si>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</si>
  <si>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</si>
  <si>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</si>
  <si>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</si>
  <si>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</si>
  <si>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</si>
  <si>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</si>
  <si>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</si>
  <si>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</si>
  <si>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</si>
  <si>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</si>
  <si>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</si>
  <si>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</si>
  <si>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</si>
  <si>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</si>
  <si>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</si>
  <si>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</si>
  <si>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</si>
  <si>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</si>
  <si>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</si>
  <si>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</si>
  <si>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</si>
  <si>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</si>
  <si>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</si>
  <si>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</si>
  <si>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</si>
  <si>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</si>
  <si>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</si>
  <si>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</si>
  <si>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</si>
  <si>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</si>
  <si>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</si>
  <si>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</si>
  <si>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</si>
  <si>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</si>
  <si>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</si>
  <si>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</si>
  <si>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</si>
  <si>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</si>
  <si>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</si>
  <si>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</si>
  <si>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</si>
  <si>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</si>
  <si>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</si>
  <si>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</si>
  <si>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</si>
  <si>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</si>
  <si>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</si>
  <si>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</si>
  <si>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</si>
  <si>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</si>
  <si>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</si>
  <si>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</si>
  <si>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</si>
  <si>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</si>
  <si>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</si>
  <si>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</si>
  <si>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</si>
  <si>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</si>
  <si>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</si>
  <si>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</si>
  <si>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</si>
  <si>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</si>
  <si>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</si>
  <si>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</si>
  <si>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</si>
  <si>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</si>
  <si>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</si>
  <si>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</si>
  <si>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</si>
  <si>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</si>
  <si>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</si>
  <si>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</si>
  <si>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</si>
  <si>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</si>
  <si>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</si>
  <si>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</si>
  <si>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</si>
  <si>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</si>
  <si>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</si>
  <si>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</si>
  <si>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</si>
  <si>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</si>
  <si>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</si>
  <si>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</si>
  <si>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</si>
  <si>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</si>
  <si>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</si>
  <si>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</si>
  <si>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</si>
  <si>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</si>
  <si>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</si>
  <si>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</si>
  <si>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</si>
  <si>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</si>
  <si>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</si>
  <si>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</si>
  <si>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</si>
  <si>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</si>
  <si>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</si>
  <si>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</si>
  <si>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</si>
  <si>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</si>
  <si>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</si>
  <si>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</si>
  <si>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</si>
  <si>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</si>
  <si>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</si>
  <si>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</si>
  <si>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</si>
  <si>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</si>
  <si>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</si>
  <si>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</si>
  <si>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</si>
  <si>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</si>
  <si>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</si>
  <si>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</si>
  <si>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</si>
  <si>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</si>
  <si>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</si>
  <si>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</si>
  <si>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</si>
  <si>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</si>
  <si>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</si>
  <si>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</si>
  <si>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</si>
  <si>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</si>
  <si>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</si>
  <si>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</si>
  <si>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</si>
  <si>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</si>
  <si>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</si>
  <si>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</si>
  <si>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</si>
  <si>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</si>
  <si>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</si>
  <si>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</si>
  <si>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</si>
  <si>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</si>
  <si>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</si>
  <si>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</si>
  <si>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</si>
  <si>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</si>
  <si>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</si>
  <si>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</si>
  <si>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</si>
  <si>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</si>
  <si>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</si>
  <si>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</si>
  <si>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</si>
  <si>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</si>
  <si>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</si>
  <si>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</si>
  <si>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</si>
  <si>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</si>
  <si>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</si>
  <si>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</si>
  <si>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</si>
  <si>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</si>
  <si>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</si>
  <si>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</si>
  <si>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</si>
  <si>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</si>
  <si>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</si>
  <si>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</si>
  <si>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</si>
  <si>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</si>
  <si>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</si>
  <si>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</si>
  <si>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</si>
  <si>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</si>
  <si>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</si>
  <si>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</si>
  <si>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</si>
  <si>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</si>
  <si>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</si>
  <si>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</si>
  <si>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</si>
  <si>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</si>
  <si>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</si>
  <si>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</si>
  <si>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</si>
  <si>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</si>
  <si>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</si>
  <si>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</si>
  <si>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</si>
  <si>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</si>
  <si>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</si>
  <si>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</si>
  <si>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</si>
  <si>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</si>
  <si>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</si>
  <si>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</si>
  <si>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</si>
  <si>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</si>
  <si>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</si>
  <si>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</si>
  <si>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</si>
  <si>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</si>
  <si>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</si>
  <si>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</si>
  <si>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</si>
  <si>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</si>
  <si>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</si>
  <si>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</si>
  <si>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</si>
  <si>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</si>
  <si>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</si>
  <si>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</si>
  <si>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</si>
  <si>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</si>
  <si>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</si>
  <si>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</si>
  <si>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</si>
  <si>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</si>
  <si>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</si>
  <si>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</si>
  <si>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</si>
  <si>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</si>
  <si>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</si>
  <si>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</si>
  <si>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</si>
  <si>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</si>
  <si>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</si>
  <si>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</si>
  <si>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</si>
  <si>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</si>
  <si>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</si>
  <si>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</si>
  <si>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</si>
  <si>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</si>
  <si>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</si>
  <si>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</si>
  <si>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</si>
  <si>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</si>
  <si>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</si>
  <si>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</si>
  <si>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</si>
  <si>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</si>
  <si>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</si>
  <si>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</si>
  <si>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</si>
  <si>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</si>
  <si>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</si>
  <si>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</si>
  <si>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</si>
  <si>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</si>
  <si>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</si>
  <si>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</si>
  <si>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</si>
  <si>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</si>
  <si>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</si>
  <si>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</si>
  <si>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</si>
  <si>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</si>
  <si>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</si>
  <si>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</si>
  <si>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</si>
  <si>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</si>
  <si>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</si>
  <si>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</si>
  <si>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</si>
  <si>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</si>
  <si>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</si>
  <si>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</si>
  <si>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</si>
  <si>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</si>
  <si>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</si>
  <si>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</si>
  <si>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</si>
  <si>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</si>
  <si>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</si>
  <si>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</si>
  <si>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</si>
  <si>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</si>
  <si>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</si>
  <si>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</si>
  <si>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</si>
  <si>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</si>
  <si>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</si>
  <si>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</si>
  <si>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</si>
  <si>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</si>
  <si>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</si>
  <si>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</si>
  <si>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</si>
  <si>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</si>
  <si>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</si>
  <si>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</si>
  <si>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</si>
  <si>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</si>
  <si>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</si>
  <si>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</si>
  <si>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</si>
  <si>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</si>
  <si>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</si>
  <si>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</si>
  <si>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</si>
  <si>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</si>
  <si>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</si>
  <si>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</si>
  <si>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</si>
  <si>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</si>
  <si>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</si>
  <si>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</si>
  <si>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</si>
  <si>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</si>
  <si>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</si>
  <si>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</si>
  <si>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</si>
  <si>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</si>
  <si>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</si>
  <si>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</si>
  <si>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</si>
  <si>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</si>
  <si>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</si>
  <si>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</si>
  <si>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</si>
  <si>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</si>
  <si>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</si>
  <si>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</si>
  <si>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</si>
  <si>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</si>
  <si>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</si>
  <si>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</si>
  <si>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</si>
  <si>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</si>
  <si>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</si>
  <si>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</si>
  <si>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</si>
  <si>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</si>
  <si>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</si>
  <si>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</si>
  <si>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</si>
  <si>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</si>
  <si>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</si>
  <si>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</si>
  <si>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</si>
  <si>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</si>
  <si>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</si>
  <si>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</si>
  <si>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</si>
  <si>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</si>
  <si>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</si>
  <si>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</si>
  <si>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</si>
  <si>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</si>
  <si>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</si>
  <si>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</si>
  <si>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</si>
  <si>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</si>
  <si>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</si>
  <si>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</si>
  <si>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</si>
  <si>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</si>
  <si>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</si>
  <si>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</si>
  <si>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</si>
  <si>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</si>
  <si>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</si>
  <si>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</si>
  <si>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</si>
  <si>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</si>
  <si>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</si>
  <si>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</si>
  <si>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</si>
  <si>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</si>
  <si>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</si>
  <si>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</si>
  <si>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</si>
  <si>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</si>
  <si>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</si>
  <si>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</si>
  <si>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</si>
  <si>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</si>
  <si>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</si>
  <si>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</si>
  <si>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</si>
  <si>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</si>
  <si>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</si>
  <si>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</si>
  <si>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</si>
  <si>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</si>
  <si>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</si>
  <si>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</si>
  <si>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</si>
  <si>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</si>
  <si>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</si>
  <si>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</si>
  <si>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</si>
  <si>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</si>
  <si>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</si>
  <si>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</si>
  <si>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</si>
  <si>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</si>
  <si>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</si>
  <si>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</si>
  <si>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</si>
  <si>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</si>
  <si>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</si>
  <si>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</si>
  <si>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</si>
  <si>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</si>
  <si>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</si>
  <si>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</si>
  <si>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</si>
  <si>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</si>
  <si>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</si>
  <si>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</si>
  <si>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</si>
  <si>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</si>
  <si>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</si>
  <si>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</si>
  <si>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</si>
  <si>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</si>
  <si>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</si>
  <si>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</si>
  <si>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</si>
  <si>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</si>
  <si>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</si>
  <si>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</si>
  <si>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</si>
  <si>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</si>
  <si>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</si>
  <si>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</si>
  <si>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</si>
  <si>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</si>
  <si>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</si>
  <si>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</si>
  <si>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</si>
  <si>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</si>
  <si>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</si>
  <si>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</si>
  <si>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</si>
  <si>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</si>
  <si>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</si>
  <si>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</si>
  <si>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</si>
  <si>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</si>
  <si>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</si>
  <si>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</si>
  <si>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</si>
  <si>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</si>
  <si>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</si>
  <si>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</si>
  <si>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</si>
  <si>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</si>
  <si>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</si>
  <si>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</si>
  <si>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</si>
  <si>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</si>
  <si>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</si>
  <si>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</si>
  <si>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</si>
  <si>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</si>
  <si>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</si>
  <si>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</si>
  <si>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</si>
  <si>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</si>
  <si>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</si>
  <si>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</si>
  <si>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</si>
  <si>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</si>
  <si>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</si>
  <si>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</si>
  <si>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</si>
  <si>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</si>
  <si>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</si>
  <si>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</si>
  <si>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</si>
  <si>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</si>
  <si>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</si>
  <si>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</si>
  <si>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</si>
  <si>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</si>
  <si>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</si>
  <si>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</si>
  <si>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</si>
  <si>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</si>
  <si>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</si>
  <si>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</si>
  <si>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</si>
  <si>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</si>
  <si>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</si>
  <si>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</si>
  <si>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</si>
  <si>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</si>
  <si>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</si>
  <si>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</si>
  <si>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</si>
  <si>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</si>
  <si>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</si>
  <si>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</si>
  <si>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</si>
  <si>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</si>
  <si>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</si>
  <si>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</si>
  <si>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</si>
  <si>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</si>
  <si>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</si>
  <si>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</si>
  <si>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</si>
  <si>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</si>
  <si>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</si>
  <si>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</si>
  <si>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</si>
  <si>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</si>
  <si>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</si>
  <si>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</si>
  <si>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</si>
  <si>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</si>
  <si>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</si>
  <si>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</si>
  <si>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</si>
  <si>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</si>
  <si>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</si>
  <si>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</si>
  <si>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</si>
  <si>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</si>
  <si>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</si>
  <si>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</si>
  <si>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</si>
  <si>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</si>
  <si>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</si>
  <si>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</si>
  <si>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</si>
  <si>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</si>
  <si>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</si>
  <si>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</si>
  <si>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</si>
  <si>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</si>
  <si>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</si>
  <si>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</si>
  <si>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</si>
  <si>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</si>
  <si>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</si>
  <si>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</si>
  <si>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</si>
  <si>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</si>
  <si>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</si>
  <si>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</si>
  <si>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</si>
  <si>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</si>
  <si>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</si>
  <si>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</si>
  <si>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</si>
  <si>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</si>
  <si>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</si>
  <si>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</si>
  <si>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</si>
  <si>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</si>
  <si>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</si>
  <si>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</si>
  <si>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</si>
  <si>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</si>
  <si>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</si>
  <si>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</si>
  <si>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</si>
  <si>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</si>
  <si>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</si>
  <si>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</si>
  <si>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</si>
  <si>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</si>
  <si>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</si>
  <si>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</si>
  <si>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</si>
  <si>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</si>
  <si>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</si>
  <si>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</si>
  <si>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</si>
  <si>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</si>
  <si>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</si>
  <si>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</si>
  <si>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</si>
  <si>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</si>
  <si>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</si>
  <si>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</si>
  <si>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</si>
  <si>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</si>
  <si>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</si>
  <si>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</si>
  <si>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</si>
  <si>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</si>
  <si>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</si>
  <si>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</si>
  <si>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</si>
  <si>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</si>
  <si>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</si>
  <si>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</si>
  <si>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</si>
  <si>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</si>
  <si>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</si>
  <si>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</si>
  <si>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</si>
  <si>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</si>
  <si>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</si>
  <si>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</si>
  <si>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</si>
  <si>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</si>
  <si>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</si>
  <si>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</si>
  <si>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</si>
  <si>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</si>
  <si>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</si>
  <si>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</si>
  <si>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</si>
  <si>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</si>
  <si>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</si>
  <si>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</si>
  <si>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</si>
  <si>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</si>
  <si>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</si>
  <si>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</si>
  <si>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</si>
  <si>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</si>
  <si>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</si>
  <si>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</si>
  <si>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</si>
  <si>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</si>
  <si>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</si>
  <si>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</si>
  <si>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</si>
  <si>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</si>
  <si>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</si>
  <si>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</si>
  <si>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</si>
  <si>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</si>
  <si>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</si>
  <si>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</si>
  <si>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</si>
  <si>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</si>
  <si>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</si>
  <si>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</si>
  <si>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</si>
  <si>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</si>
  <si>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</si>
  <si>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</si>
  <si>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</si>
  <si>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</si>
  <si>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</si>
  <si>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</si>
  <si>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</si>
  <si>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</si>
  <si>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</si>
  <si>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</si>
  <si>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</si>
  <si>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</si>
  <si>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</si>
  <si>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</si>
  <si>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</si>
  <si>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</si>
  <si>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</si>
  <si>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</si>
  <si>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</si>
  <si>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</si>
  <si>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</si>
  <si>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</si>
  <si>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</si>
  <si>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</si>
  <si>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</si>
  <si>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</si>
  <si>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</si>
  <si>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</si>
  <si>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</si>
  <si>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</si>
  <si>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</si>
  <si>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</si>
  <si>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</si>
  <si>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</si>
  <si>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</si>
  <si>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</si>
  <si>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</si>
  <si>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</si>
  <si>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</si>
  <si>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</si>
  <si>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</si>
  <si>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</si>
  <si>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</si>
  <si>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</si>
  <si>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</si>
  <si>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</si>
  <si>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</si>
  <si>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</si>
  <si>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</si>
  <si>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</si>
  <si>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</si>
  <si>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</si>
  <si>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</si>
  <si>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</si>
  <si>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</si>
  <si>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</si>
  <si>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</si>
  <si>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</si>
  <si>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</si>
  <si>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</si>
  <si>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</si>
  <si>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</si>
  <si>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</si>
  <si>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</si>
  <si>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</si>
  <si>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</si>
  <si>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</si>
  <si>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</si>
  <si>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</si>
  <si>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</si>
  <si>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</si>
  <si>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</si>
  <si>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</si>
  <si>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</si>
  <si>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</si>
  <si>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</si>
  <si>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</si>
  <si>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</si>
  <si>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</si>
  <si>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</si>
  <si>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</si>
  <si>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</si>
  <si>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</si>
  <si>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</si>
  <si>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</si>
  <si>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</si>
  <si>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</si>
  <si>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</si>
  <si>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</si>
  <si>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</si>
  <si>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</si>
  <si>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</si>
  <si>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</si>
  <si>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</si>
  <si>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</si>
  <si>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</si>
  <si>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</si>
  <si>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</si>
  <si>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</si>
  <si>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</si>
  <si>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</si>
  <si>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</si>
  <si>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</si>
  <si>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</si>
  <si>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</si>
  <si>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</si>
  <si>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</si>
  <si>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</si>
  <si>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</si>
  <si>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</si>
  <si>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</si>
  <si>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</si>
  <si>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</si>
  <si>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</si>
  <si>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</si>
  <si>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</si>
  <si>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</si>
  <si>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</si>
  <si>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</si>
  <si>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</si>
  <si>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</si>
  <si>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</si>
  <si>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</si>
  <si>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</si>
  <si>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</si>
  <si>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</si>
  <si>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</si>
  <si>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</si>
  <si>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</si>
  <si>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</si>
  <si>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</si>
  <si>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</si>
  <si>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</si>
  <si>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</si>
  <si>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</si>
  <si>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</si>
  <si>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</si>
  <si>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</si>
  <si>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</si>
  <si>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</si>
  <si>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</si>
  <si>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</si>
  <si>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</si>
  <si>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</si>
  <si>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</si>
  <si>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</si>
  <si>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</si>
  <si>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</si>
  <si>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</si>
  <si>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</si>
  <si>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</si>
  <si>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</si>
  <si>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</si>
  <si>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</si>
  <si>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</si>
  <si>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</si>
  <si>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</si>
  <si>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</si>
  <si>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</si>
  <si>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</si>
  <si>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</si>
  <si>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</si>
  <si>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</si>
  <si>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</si>
  <si>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</si>
  <si>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</si>
  <si>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</si>
  <si>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</si>
  <si>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</si>
  <si>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</si>
  <si>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</si>
  <si>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</si>
  <si>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</si>
  <si>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</si>
  <si>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</si>
  <si>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</si>
  <si>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</si>
  <si>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</si>
  <si>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</si>
  <si>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</si>
  <si>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</si>
  <si>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</si>
  <si>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</si>
  <si>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</si>
  <si>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</si>
  <si>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</si>
  <si>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</si>
  <si>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</si>
  <si>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</si>
  <si>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</si>
  <si>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</si>
  <si>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</si>
  <si>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</si>
  <si>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</si>
  <si>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</si>
  <si>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</si>
  <si>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</si>
  <si>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</si>
  <si>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</si>
  <si>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</si>
  <si>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</si>
  <si>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</si>
  <si>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</si>
  <si>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</si>
  <si>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</si>
  <si>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</si>
  <si>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</si>
  <si>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</si>
  <si>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</si>
  <si>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</si>
  <si>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</si>
  <si>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</si>
  <si>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</si>
  <si>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</si>
  <si>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</si>
  <si>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</si>
  <si>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</si>
  <si>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</si>
  <si>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</si>
  <si>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</si>
  <si>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</si>
  <si>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</si>
  <si>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</si>
  <si>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</si>
  <si>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</si>
  <si>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</si>
  <si>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</si>
  <si>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</si>
  <si>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</si>
  <si>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</si>
  <si>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</si>
  <si>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</si>
  <si>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</si>
  <si>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</si>
  <si>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</si>
  <si>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</si>
  <si>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</si>
  <si>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</si>
  <si>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</si>
  <si>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</si>
  <si>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</si>
  <si>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</si>
  <si>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</si>
  <si>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</si>
  <si>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</si>
  <si>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</si>
  <si>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</si>
  <si>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</si>
  <si>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</si>
  <si>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</si>
  <si>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</si>
  <si>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</si>
  <si>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</si>
  <si>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</si>
  <si>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</si>
  <si>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</si>
  <si>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</si>
  <si>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</si>
  <si>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</si>
  <si>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</si>
  <si>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</si>
  <si>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</si>
  <si>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</si>
  <si>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</si>
  <si>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</si>
  <si>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</si>
  <si>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</si>
  <si>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</si>
  <si>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</si>
  <si>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</si>
  <si>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</si>
  <si>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</si>
  <si>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</si>
  <si>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</si>
  <si>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</si>
  <si>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</si>
  <si>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</si>
  <si>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</si>
  <si>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</si>
  <si>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</si>
  <si>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</si>
  <si>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</si>
  <si>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</si>
  <si>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</si>
  <si>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</si>
  <si>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</si>
  <si>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</si>
  <si>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</si>
  <si>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</si>
  <si>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</si>
  <si>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</si>
  <si>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</si>
  <si>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</si>
  <si>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</si>
  <si>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</si>
  <si>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</si>
  <si>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</si>
  <si>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</si>
  <si>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</si>
  <si>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</si>
  <si>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</si>
  <si>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</si>
  <si>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</si>
  <si>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</si>
  <si>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</si>
  <si>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</si>
  <si>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</si>
  <si>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</si>
  <si>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</si>
  <si>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</si>
  <si>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</si>
  <si>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</si>
  <si>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</si>
  <si>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</si>
  <si>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</si>
  <si>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</si>
  <si>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</si>
  <si>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</si>
  <si>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</si>
  <si>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</si>
  <si>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</si>
  <si>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</si>
  <si>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</si>
  <si>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</si>
  <si>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</si>
  <si>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</si>
  <si>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</si>
  <si>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</si>
  <si>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</si>
  <si>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</si>
  <si>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</si>
  <si>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</si>
  <si>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</si>
  <si>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</si>
  <si>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</si>
  <si>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</si>
  <si>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</si>
  <si>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</si>
  <si>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</si>
  <si>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</si>
  <si>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</si>
  <si>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</si>
  <si>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</si>
  <si>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</si>
  <si>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</si>
  <si>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</si>
  <si>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</si>
  <si>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</si>
  <si>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</si>
  <si>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</si>
  <si>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</si>
  <si>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</si>
  <si>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</si>
  <si>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</si>
  <si>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</si>
  <si>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</si>
  <si>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</si>
  <si>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</si>
  <si>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</si>
  <si>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</si>
  <si>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</si>
  <si>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</si>
  <si>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</si>
  <si>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</si>
  <si>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</si>
  <si>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</si>
  <si>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</si>
  <si>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</si>
  <si>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</si>
  <si>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</si>
  <si>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</si>
  <si>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</si>
  <si>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</si>
  <si>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</si>
  <si>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</si>
  <si>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</si>
  <si>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</si>
  <si>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</si>
  <si>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</si>
  <si>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</si>
  <si>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</si>
  <si>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</si>
  <si>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</si>
  <si>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</si>
  <si>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</si>
  <si>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</si>
  <si>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</si>
  <si>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</si>
  <si>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</si>
  <si>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</si>
  <si>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</si>
  <si>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</si>
  <si>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</si>
  <si>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</si>
  <si>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</si>
  <si>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</si>
  <si>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</si>
  <si>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</si>
  <si>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</si>
  <si>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</si>
  <si>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</si>
  <si>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</si>
  <si>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</si>
  <si>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</si>
  <si>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</si>
  <si>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</si>
  <si>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</si>
  <si>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</si>
  <si>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</si>
  <si>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</si>
  <si>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</si>
  <si>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</si>
  <si>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</si>
  <si>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</si>
  <si>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</si>
  <si>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</si>
  <si>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</si>
  <si>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</si>
  <si>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</si>
  <si>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</si>
  <si>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</si>
  <si>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</si>
  <si>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</si>
  <si>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</si>
  <si>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</si>
  <si>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</si>
  <si>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</si>
  <si>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</si>
  <si>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</si>
  <si>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</si>
  <si>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</si>
  <si>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</si>
  <si>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</si>
  <si>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</si>
  <si>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</si>
  <si>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</si>
  <si>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</si>
  <si>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</si>
  <si>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</si>
  <si>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</si>
  <si>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</si>
  <si>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</si>
  <si>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</si>
  <si>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</si>
  <si>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</si>
  <si>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</si>
  <si>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</si>
  <si>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</si>
  <si>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</si>
  <si>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</si>
  <si>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</si>
  <si>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</si>
  <si>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</si>
  <si>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</si>
  <si>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</si>
  <si>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</si>
  <si>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</si>
  <si>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</si>
  <si>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</si>
  <si>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</si>
  <si>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</si>
  <si>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</si>
  <si>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</si>
  <si>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</si>
  <si>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</si>
  <si>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</si>
  <si>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</si>
  <si>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</si>
  <si>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</si>
  <si>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</si>
  <si>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</si>
  <si>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</si>
  <si>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</si>
  <si>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</si>
  <si>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</si>
  <si>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</si>
  <si>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</si>
  <si>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</si>
  <si>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</si>
  <si>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</si>
  <si>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</si>
  <si>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</si>
  <si>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</si>
  <si>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</si>
  <si>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</si>
  <si>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</si>
  <si>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</si>
  <si>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</si>
  <si>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</si>
  <si>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</si>
  <si>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</si>
  <si>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</si>
  <si>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</si>
  <si>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</si>
  <si>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</si>
  <si>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</si>
  <si>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</si>
  <si>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</si>
  <si>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</si>
  <si>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</si>
  <si>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</si>
  <si>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</si>
  <si>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</si>
  <si>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</si>
  <si>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</si>
  <si>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</si>
  <si>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</si>
  <si>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</si>
  <si>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</si>
  <si>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</si>
  <si>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</si>
  <si>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</si>
  <si>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</si>
  <si>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</si>
  <si>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</si>
  <si>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</si>
  <si>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</si>
  <si>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</si>
  <si>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</si>
  <si>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</si>
  <si>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</si>
  <si>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</si>
  <si>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</si>
  <si>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</si>
  <si>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</si>
  <si>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</si>
  <si>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</si>
  <si>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</si>
  <si>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</si>
  <si>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</si>
  <si>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</si>
  <si>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</si>
  <si>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</si>
  <si>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</si>
  <si>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</si>
  <si>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</si>
  <si>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</si>
  <si>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</si>
  <si>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</si>
  <si>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</si>
  <si>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</si>
  <si>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</si>
  <si>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</si>
  <si>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</si>
  <si>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</si>
  <si>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</si>
  <si>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</si>
  <si>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</si>
  <si>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</si>
  <si>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</si>
  <si>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</si>
  <si>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</si>
  <si>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</si>
  <si>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</si>
  <si>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</si>
  <si>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</si>
  <si>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</si>
  <si>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</si>
  <si>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</si>
  <si>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</si>
  <si>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</si>
  <si>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</si>
  <si>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</si>
  <si>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</si>
  <si>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</si>
  <si>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</si>
  <si>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</si>
  <si>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</si>
  <si>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</si>
  <si>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</si>
  <si>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</si>
  <si>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</si>
  <si>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</si>
  <si>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</si>
  <si>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</si>
  <si>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</si>
  <si>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</si>
  <si>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</si>
  <si>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</si>
  <si>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</si>
  <si>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</si>
  <si>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</si>
  <si>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</si>
  <si>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</si>
  <si>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</si>
  <si>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</si>
  <si>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</si>
  <si>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</si>
  <si>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</si>
  <si>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</si>
  <si>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</si>
  <si>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</si>
  <si>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</si>
  <si>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</si>
  <si>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</si>
  <si>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</si>
  <si>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</si>
  <si>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</si>
  <si>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</si>
  <si>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</si>
  <si>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</si>
  <si>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</si>
  <si>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</si>
  <si>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</si>
  <si>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</si>
  <si>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</si>
  <si>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</si>
  <si>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</si>
  <si>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</si>
  <si>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</si>
  <si>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</si>
  <si>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</si>
  <si>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</si>
  <si>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</si>
  <si>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</si>
  <si>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</si>
  <si>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</si>
  <si>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</si>
  <si>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</si>
  <si>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</si>
  <si>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</si>
  <si>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</si>
  <si>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</si>
  <si>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</si>
  <si>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</si>
  <si>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</si>
  <si>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</si>
  <si>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</si>
  <si>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</si>
  <si>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</si>
  <si>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</si>
  <si>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</si>
  <si>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</si>
  <si>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</si>
  <si>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</si>
  <si>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</si>
  <si>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</si>
  <si>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</si>
  <si>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</si>
  <si>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</si>
  <si>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</si>
  <si>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</si>
  <si>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</si>
  <si>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</si>
  <si>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</si>
  <si>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</si>
  <si>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</si>
  <si>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</si>
  <si>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</si>
  <si>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</si>
  <si>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</si>
  <si>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</si>
  <si>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</si>
  <si>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</si>
  <si>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</si>
  <si>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</si>
  <si>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</si>
  <si>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</si>
  <si>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</si>
  <si>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</si>
  <si>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</si>
  <si>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</si>
  <si>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</si>
  <si>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</si>
  <si>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</si>
  <si>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</si>
  <si>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</si>
  <si>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</si>
  <si>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</si>
  <si>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</si>
  <si>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</si>
  <si>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</si>
  <si>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</si>
  <si>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</si>
  <si>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</si>
  <si>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</si>
  <si>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</si>
  <si>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</si>
  <si>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</si>
  <si>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</si>
  <si>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</si>
  <si>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</si>
  <si>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</si>
  <si>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</si>
  <si>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</si>
  <si>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</si>
  <si>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</si>
  <si>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</si>
  <si>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</si>
  <si>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</si>
  <si>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</si>
  <si>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</si>
  <si>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</si>
  <si>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</si>
  <si>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</si>
  <si>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</si>
  <si>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</si>
  <si>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</si>
  <si>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</si>
  <si>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</si>
  <si>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</si>
  <si>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</si>
  <si>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</si>
  <si>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</si>
  <si>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</si>
  <si>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</si>
  <si>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</si>
  <si>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</si>
  <si>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</si>
  <si>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</si>
  <si>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</si>
  <si>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</si>
  <si>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</si>
  <si>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</si>
  <si>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</si>
  <si>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</si>
  <si>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</si>
  <si>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</si>
  <si>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</si>
  <si>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</si>
  <si>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</si>
  <si>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</si>
  <si>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</si>
  <si>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</si>
  <si>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</si>
  <si>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</si>
  <si>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</si>
  <si>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</si>
  <si>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</si>
  <si>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</si>
  <si>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</si>
  <si>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</si>
  <si>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</si>
  <si>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</si>
  <si>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</si>
  <si>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</si>
  <si>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</si>
  <si>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</si>
  <si>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</si>
  <si>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</si>
  <si>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</si>
  <si>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</si>
  <si>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</si>
  <si>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</si>
  <si>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</si>
  <si>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</si>
  <si>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</si>
  <si>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</si>
  <si>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</si>
  <si>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</si>
  <si>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</si>
  <si>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</si>
  <si>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</si>
  <si>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</si>
  <si>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</si>
  <si>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</si>
  <si>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</si>
  <si>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</si>
  <si>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</si>
  <si>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</si>
  <si>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</si>
  <si>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</si>
  <si>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</si>
  <si>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</si>
  <si>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</si>
  <si>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</si>
  <si>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</si>
  <si>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</si>
  <si>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</si>
  <si>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</si>
  <si>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</si>
  <si>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</si>
  <si>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</si>
  <si>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</si>
  <si>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</si>
  <si>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</si>
  <si>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</si>
  <si>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</si>
  <si>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</si>
  <si>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</si>
  <si>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</si>
  <si>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</si>
  <si>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</si>
  <si>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</si>
  <si>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</si>
  <si>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</si>
  <si>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</si>
  <si>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</si>
  <si>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</si>
  <si>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</si>
  <si>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</si>
  <si>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</si>
  <si>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</si>
  <si>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</si>
  <si>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</si>
  <si>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</si>
  <si>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</si>
  <si>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</si>
  <si>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</si>
  <si>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</si>
  <si>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</si>
  <si>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</si>
  <si>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</si>
  <si>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</si>
  <si>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</si>
  <si>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</si>
  <si>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</si>
  <si>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</si>
  <si>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</si>
  <si>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</si>
  <si>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</si>
  <si>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</si>
  <si>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</si>
  <si>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</si>
  <si>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</si>
  <si>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</si>
  <si>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</si>
  <si>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</si>
  <si>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</si>
  <si>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</si>
  <si>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</si>
  <si>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</si>
  <si>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</si>
  <si>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</si>
  <si>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</si>
  <si>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</si>
  <si>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</si>
  <si>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</si>
  <si>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</si>
  <si>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</si>
  <si>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</si>
  <si>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</si>
  <si>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</si>
  <si>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</si>
  <si>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</si>
  <si>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</si>
  <si>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</si>
  <si>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</si>
  <si>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</si>
  <si>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</si>
  <si>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</si>
  <si>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</si>
  <si>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</si>
  <si>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</si>
  <si>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</si>
  <si>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</si>
  <si>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</si>
  <si>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</si>
  <si>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</si>
  <si>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</si>
  <si>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</si>
  <si>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</si>
  <si>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</si>
  <si>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</si>
  <si>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</si>
  <si>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</si>
  <si>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</si>
  <si>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</si>
  <si>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</si>
  <si>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</si>
  <si>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</si>
  <si>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</si>
  <si>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</si>
  <si>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</si>
  <si>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</si>
  <si>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</si>
  <si>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</si>
  <si>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</si>
  <si>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</si>
  <si>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</si>
  <si>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</si>
  <si>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</si>
  <si>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</si>
  <si>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</si>
  <si>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</si>
  <si>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</si>
  <si>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</si>
  <si>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</si>
  <si>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</si>
  <si>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</si>
  <si>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</si>
  <si>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</si>
  <si>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</si>
  <si>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</si>
  <si>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</si>
  <si>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</si>
  <si>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</si>
  <si>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</si>
  <si>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</si>
  <si>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</si>
  <si>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</si>
  <si>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</si>
  <si>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</si>
  <si>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</si>
  <si>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</si>
  <si>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</si>
  <si>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</si>
  <si>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</si>
  <si>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</si>
  <si>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</si>
  <si>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</si>
  <si>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</si>
  <si>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</si>
  <si>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</si>
  <si>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</si>
  <si>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</si>
  <si>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</si>
  <si>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</si>
  <si>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</si>
  <si>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</si>
  <si>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</si>
  <si>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</si>
  <si>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</si>
  <si>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</si>
  <si>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</si>
  <si>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</si>
  <si>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</si>
  <si>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</si>
  <si>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</si>
  <si>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</si>
  <si>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</si>
  <si>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</si>
  <si>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</si>
  <si>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</si>
  <si>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</si>
  <si>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</si>
  <si>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</si>
  <si>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</si>
  <si>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</si>
  <si>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</si>
  <si>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</si>
  <si>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</si>
  <si>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</si>
  <si>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</si>
  <si>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</si>
  <si>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</si>
  <si>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</si>
  <si>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</si>
  <si>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</si>
  <si>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</si>
  <si>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</si>
  <si>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</si>
  <si>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</si>
  <si>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</si>
  <si>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</si>
  <si>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</si>
  <si>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</si>
  <si>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</si>
  <si>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</si>
  <si>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</si>
  <si>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</si>
  <si>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</si>
  <si>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</si>
  <si>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</si>
  <si>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</si>
  <si>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</si>
  <si>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</si>
  <si>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</si>
  <si>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</si>
  <si>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</si>
  <si>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</si>
  <si>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</si>
  <si>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</si>
  <si>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</si>
  <si>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</si>
  <si>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</si>
  <si>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</si>
  <si>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</si>
  <si>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</si>
  <si>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</si>
  <si>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</si>
  <si>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</si>
  <si>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</si>
  <si>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</si>
  <si>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</si>
  <si>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</si>
  <si>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</si>
  <si>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</si>
  <si>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</si>
  <si>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</si>
  <si>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</si>
  <si>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</si>
  <si>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</si>
  <si>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</si>
  <si>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</si>
  <si>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</si>
  <si>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</si>
  <si>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</si>
  <si>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</si>
  <si>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</si>
  <si>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</si>
  <si>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</si>
  <si>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</si>
  <si>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</si>
  <si>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</si>
  <si>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</si>
  <si>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</si>
  <si>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</si>
  <si>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</si>
  <si>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</si>
  <si>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</si>
  <si>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</si>
  <si>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</si>
  <si>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</si>
  <si>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</si>
  <si>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</si>
  <si>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</si>
  <si>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</si>
  <si>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</si>
  <si>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</si>
  <si>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</si>
  <si>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</si>
  <si>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</si>
  <si>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</si>
  <si>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</si>
  <si>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</si>
  <si>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</si>
  <si>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</si>
  <si>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</si>
  <si>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</si>
  <si>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</si>
  <si>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</si>
  <si>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</si>
  <si>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</si>
  <si>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</si>
  <si>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</si>
  <si>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</si>
  <si>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</si>
  <si>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</si>
  <si>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</si>
  <si>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</si>
  <si>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</si>
  <si>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</si>
  <si>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</si>
  <si>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</si>
  <si>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</si>
  <si>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</si>
  <si>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</si>
  <si>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</si>
  <si>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</si>
  <si>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</si>
  <si>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</si>
  <si>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</si>
  <si>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</si>
  <si>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</si>
  <si>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</si>
  <si>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</si>
  <si>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</si>
  <si>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</si>
  <si>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</si>
  <si>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</si>
  <si>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</si>
  <si>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</si>
  <si>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</si>
  <si>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</si>
  <si>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</si>
  <si>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</si>
  <si>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</si>
  <si>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</si>
  <si>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</si>
  <si>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</si>
  <si>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</si>
  <si>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</si>
  <si>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</si>
  <si>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</si>
  <si>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</si>
  <si>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</si>
  <si>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</si>
  <si>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</si>
  <si>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</si>
  <si>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</si>
  <si>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</si>
  <si>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</si>
  <si>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</si>
  <si>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</si>
  <si>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</si>
  <si>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</si>
  <si>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</si>
  <si>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</si>
  <si>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</si>
  <si>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</si>
  <si>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</si>
  <si>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</si>
  <si>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</si>
  <si>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</si>
  <si>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</si>
  <si>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</si>
  <si>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</si>
  <si>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</si>
  <si>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</si>
  <si>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</si>
  <si>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</si>
  <si>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</si>
  <si>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</si>
  <si>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</si>
  <si>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</si>
  <si>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</si>
  <si>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</si>
  <si>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</si>
  <si>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</si>
  <si>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</si>
  <si>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</si>
  <si>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</si>
  <si>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</si>
  <si>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</si>
  <si>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</si>
  <si>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</si>
  <si>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</si>
  <si>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</si>
  <si>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</si>
  <si>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</si>
  <si>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</si>
  <si>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</si>
  <si>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</si>
  <si>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</si>
  <si>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</si>
  <si>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</si>
  <si>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</si>
  <si>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</si>
  <si>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</si>
  <si>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</si>
  <si>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</si>
  <si>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</si>
  <si>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</si>
  <si>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</si>
  <si>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</si>
  <si>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</si>
  <si>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</si>
  <si>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</si>
  <si>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</si>
  <si>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</si>
  <si>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</si>
  <si>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</si>
  <si>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</si>
  <si>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</si>
  <si>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</si>
  <si>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</si>
  <si>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</si>
  <si>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</si>
  <si>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</si>
  <si>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</si>
  <si>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</si>
  <si>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</si>
  <si>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</si>
  <si>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</si>
  <si>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</si>
  <si>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</si>
  <si>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</si>
  <si>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</si>
  <si>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</si>
  <si>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</si>
  <si>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</si>
  <si>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</si>
  <si>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</si>
  <si>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</si>
  <si>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</si>
  <si>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</si>
  <si>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</si>
  <si>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</si>
  <si>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</si>
  <si>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</si>
  <si>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</si>
  <si>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</si>
  <si>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</si>
  <si>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</si>
  <si>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</si>
  <si>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</si>
  <si>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</si>
  <si>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</si>
  <si>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</si>
  <si>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</si>
  <si>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</si>
  <si>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</si>
  <si>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</si>
  <si>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</si>
  <si>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</si>
  <si>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</si>
  <si>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</si>
  <si>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</si>
  <si>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</si>
  <si>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</si>
  <si>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</si>
  <si>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</si>
  <si>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</si>
  <si>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</si>
  <si>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</si>
  <si>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</si>
  <si>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</si>
  <si>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</si>
  <si>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</si>
  <si>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</si>
  <si>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</si>
  <si>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</si>
  <si>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</si>
  <si>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</si>
  <si>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</si>
  <si>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</si>
  <si>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</si>
  <si>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</si>
  <si>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</si>
  <si>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</si>
  <si>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</si>
  <si>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</si>
  <si>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</si>
  <si>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</si>
  <si>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</si>
  <si>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</si>
  <si>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</si>
  <si>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</si>
  <si>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</si>
  <si>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</si>
  <si>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</si>
  <si>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</si>
  <si>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</si>
  <si>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</si>
  <si>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</si>
  <si>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</si>
  <si>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</si>
  <si>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</si>
  <si>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</si>
  <si>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</si>
  <si>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</si>
  <si>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</si>
  <si>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</si>
  <si>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</si>
  <si>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</si>
  <si>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</si>
  <si>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</si>
  <si>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</si>
  <si>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</si>
  <si>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</si>
  <si>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</si>
  <si>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</si>
  <si>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</si>
  <si>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</si>
  <si>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</si>
  <si>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</si>
  <si>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</si>
  <si>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</si>
  <si>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</si>
  <si>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</si>
  <si>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</si>
  <si>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</si>
  <si>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</si>
  <si>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</si>
  <si>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</si>
  <si>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</si>
  <si>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</si>
  <si>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</si>
  <si>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</si>
  <si>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</si>
  <si>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</si>
  <si>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</si>
  <si>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</si>
  <si>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</si>
  <si>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</si>
  <si>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</si>
  <si>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</si>
  <si>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</si>
  <si>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</si>
  <si>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</si>
  <si>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</si>
  <si>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</si>
  <si>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</si>
  <si>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</si>
  <si>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</si>
  <si>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</si>
  <si>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</si>
  <si>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</si>
  <si>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</si>
  <si>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</si>
  <si>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</si>
  <si>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</si>
  <si>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</si>
  <si>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</si>
  <si>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</si>
  <si>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</si>
  <si>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</si>
  <si>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</si>
  <si>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</si>
  <si>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</si>
  <si>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</si>
  <si>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</si>
  <si>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</si>
  <si>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</si>
  <si>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</si>
  <si>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</si>
  <si>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</si>
  <si>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</si>
  <si>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</si>
  <si>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</si>
  <si>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</si>
  <si>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</si>
  <si>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</si>
  <si>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</si>
  <si>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</si>
  <si>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</si>
  <si>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</si>
  <si>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</si>
  <si>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</si>
  <si>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</si>
  <si>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</si>
  <si>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</si>
  <si>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</si>
  <si>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</si>
  <si>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</si>
  <si>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</si>
  <si>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</si>
  <si>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</si>
  <si>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</si>
  <si>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</si>
  <si>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</si>
  <si>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</si>
  <si>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</si>
  <si>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</si>
  <si>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</si>
  <si>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</si>
  <si>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</si>
  <si>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</si>
  <si>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</si>
  <si>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</si>
  <si>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</si>
  <si>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</si>
  <si>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</si>
  <si>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</si>
  <si>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</si>
  <si>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</si>
  <si>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</si>
  <si>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</si>
  <si>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</si>
  <si>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</si>
  <si>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</si>
  <si>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</si>
  <si>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</si>
  <si>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</si>
  <si>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</si>
  <si>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</si>
  <si>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</si>
  <si>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</si>
  <si>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</si>
  <si>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</si>
  <si>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</si>
  <si>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</si>
  <si>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</si>
  <si>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</si>
  <si>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</si>
  <si>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</si>
  <si>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</si>
  <si>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</si>
  <si>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</si>
  <si>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</si>
  <si>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</si>
  <si>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</si>
  <si>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</si>
  <si>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</si>
  <si>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</si>
  <si>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</si>
  <si>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</si>
  <si>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</si>
  <si>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</si>
  <si>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</si>
  <si>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</si>
  <si>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</si>
  <si>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</si>
  <si>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</si>
  <si>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</si>
  <si>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</si>
  <si>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</si>
  <si>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</si>
  <si>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</si>
  <si>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</si>
  <si>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</si>
  <si>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</si>
  <si>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</si>
  <si>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</si>
  <si>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</si>
  <si>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</si>
  <si>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</si>
  <si>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</si>
  <si>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</si>
  <si>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</si>
  <si>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</si>
  <si>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</si>
  <si>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</si>
  <si>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</si>
  <si>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</si>
  <si>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</si>
  <si>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</si>
  <si>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</si>
  <si>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</si>
  <si>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</si>
  <si>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</si>
  <si>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</si>
  <si>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</si>
  <si>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</si>
  <si>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</si>
  <si>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</si>
  <si>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</si>
  <si>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</si>
  <si>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</si>
  <si>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</si>
  <si>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</si>
  <si>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</si>
  <si>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</si>
  <si>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</si>
  <si>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</si>
  <si>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</si>
  <si>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</si>
  <si>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</si>
  <si>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</si>
  <si>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</si>
  <si>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</si>
  <si>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</si>
  <si>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</si>
  <si>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</si>
  <si>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</si>
  <si>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</si>
  <si>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</si>
  <si>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</si>
  <si>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</si>
  <si>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</si>
  <si>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</si>
  <si>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</si>
  <si>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</si>
  <si>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</si>
  <si>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</si>
  <si>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</si>
  <si>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</si>
  <si>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</si>
  <si>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</si>
  <si>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</si>
  <si>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</si>
  <si>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</si>
  <si>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</si>
  <si>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</si>
  <si>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</si>
  <si>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</si>
  <si>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</si>
  <si>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</si>
  <si>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</si>
  <si>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</si>
  <si>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</si>
  <si>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</si>
  <si>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</si>
  <si>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</si>
  <si>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</si>
  <si>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</si>
  <si>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</si>
  <si>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</si>
  <si>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</si>
  <si>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</si>
  <si>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</si>
  <si>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</si>
  <si>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</si>
  <si>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</si>
  <si>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</si>
  <si>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</si>
  <si>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</si>
  <si>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</si>
  <si>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</si>
  <si>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</si>
  <si>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</si>
  <si>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</si>
  <si>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</si>
  <si>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</si>
  <si>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</si>
  <si>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</si>
  <si>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</si>
  <si>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</si>
  <si>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</si>
  <si>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</si>
  <si>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</si>
  <si>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</si>
  <si>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</si>
  <si>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</si>
  <si>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</si>
  <si>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</si>
  <si>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</si>
  <si>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</si>
  <si>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</si>
  <si>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</si>
  <si>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</si>
  <si>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</si>
  <si>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</si>
  <si>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</si>
  <si>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</si>
  <si>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</si>
  <si>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</si>
  <si>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</si>
  <si>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</si>
  <si>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</si>
  <si>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</si>
  <si>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</si>
  <si>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</si>
  <si>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</si>
  <si>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</si>
  <si>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</si>
  <si>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</si>
  <si>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</si>
  <si>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</si>
  <si>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</si>
  <si>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</si>
  <si>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</si>
  <si>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</si>
  <si>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</si>
  <si>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</si>
  <si>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</si>
  <si>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</si>
  <si>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</si>
  <si>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</si>
  <si>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</si>
  <si>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</si>
  <si>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</si>
  <si>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</si>
  <si>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</si>
  <si>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</si>
  <si>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</si>
  <si>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</si>
  <si>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</si>
  <si>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</si>
  <si>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</si>
  <si>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</si>
  <si>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</si>
  <si>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</si>
  <si>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</si>
  <si>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</si>
  <si>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</si>
  <si>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</si>
  <si>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</si>
  <si>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</si>
  <si>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</si>
  <si>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</si>
  <si>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</si>
  <si>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</si>
  <si>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</si>
  <si>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</si>
  <si>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</si>
  <si>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</si>
  <si>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</si>
  <si>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</si>
  <si>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</si>
  <si>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</si>
  <si>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</si>
  <si>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</si>
  <si>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</si>
  <si>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</si>
  <si>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</si>
  <si>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</si>
  <si>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</si>
  <si>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</si>
  <si>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</si>
  <si>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</si>
  <si>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</si>
  <si>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</si>
  <si>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</si>
  <si>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</si>
  <si>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</si>
  <si>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</si>
  <si>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</si>
  <si>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</si>
  <si>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</si>
  <si>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</si>
  <si>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</si>
  <si>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</si>
  <si>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</si>
  <si>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</si>
  <si>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</si>
  <si>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</si>
  <si>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</si>
  <si>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</si>
  <si>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</si>
  <si>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</si>
  <si>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</si>
  <si>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</si>
  <si>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</si>
  <si>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</si>
  <si>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</si>
  <si>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</si>
  <si>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</si>
  <si>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</si>
  <si>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</si>
  <si>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</si>
  <si>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</si>
  <si>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</si>
  <si>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</si>
  <si>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</si>
  <si>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</si>
  <si>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</si>
  <si>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</si>
  <si>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</si>
  <si>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</si>
  <si>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</si>
  <si>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</si>
  <si>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</si>
  <si>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</si>
  <si>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</si>
  <si>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</si>
  <si>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</si>
  <si>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</si>
  <si>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</si>
  <si>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</si>
  <si>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</si>
  <si>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</si>
  <si>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</si>
  <si>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</si>
  <si>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</si>
  <si>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</si>
  <si>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</si>
  <si>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</si>
  <si>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</si>
  <si>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</si>
  <si>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</si>
  <si>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</si>
  <si>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</si>
  <si>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</si>
  <si>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</si>
  <si>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</si>
  <si>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</si>
  <si>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</si>
  <si>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</si>
  <si>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</si>
  <si>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</si>
  <si>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</si>
  <si>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</si>
  <si>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</si>
  <si>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</si>
  <si>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</si>
  <si>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</si>
  <si>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</si>
  <si>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</si>
  <si>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</si>
  <si>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</si>
  <si>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</si>
  <si>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</si>
  <si>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</si>
  <si>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</si>
  <si>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</si>
  <si>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</si>
  <si>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</si>
  <si>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</si>
  <si>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</si>
  <si>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</si>
  <si>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</si>
  <si>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</si>
  <si>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</si>
  <si>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</si>
  <si>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</si>
  <si>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</si>
  <si>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</si>
  <si>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</si>
  <si>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</si>
  <si>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</si>
  <si>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</si>
  <si>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</si>
  <si>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</si>
  <si>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</si>
  <si>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</si>
  <si>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</si>
  <si>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</si>
  <si>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</si>
  <si>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</si>
  <si>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</si>
  <si>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</si>
  <si>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</si>
  <si>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</si>
  <si>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</si>
  <si>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</si>
  <si>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</si>
  <si>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</si>
  <si>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</si>
  <si>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</si>
  <si>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</si>
  <si>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</si>
  <si>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</si>
  <si>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</si>
  <si>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</si>
  <si>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</si>
  <si>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</si>
  <si>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</si>
  <si>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</si>
  <si>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</si>
  <si>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</si>
  <si>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</si>
  <si>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</si>
  <si>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</si>
  <si>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</si>
  <si>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</si>
  <si>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</si>
  <si>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</si>
  <si>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</si>
  <si>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</si>
  <si>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</si>
  <si>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</si>
  <si>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</si>
  <si>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</si>
  <si>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</si>
  <si>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</si>
  <si>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</si>
  <si>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</si>
  <si>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</si>
  <si>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</si>
  <si>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</si>
  <si>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</si>
  <si>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</si>
  <si>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</si>
  <si>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</si>
  <si>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</si>
  <si>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</si>
  <si>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</si>
  <si>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</si>
  <si>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</si>
  <si>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</si>
  <si>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</si>
  <si>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</si>
  <si>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</si>
  <si>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</si>
  <si>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</si>
  <si>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</si>
  <si>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</si>
  <si>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</si>
  <si>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</si>
  <si>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</si>
  <si>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</si>
  <si>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</si>
  <si>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</si>
  <si>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</si>
  <si>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</si>
  <si>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</si>
  <si>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</si>
  <si>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</si>
  <si>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</si>
  <si>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</si>
  <si>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</si>
  <si>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</si>
  <si>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</si>
  <si>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</si>
  <si>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</si>
  <si>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</si>
  <si>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</si>
  <si>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</si>
  <si>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</si>
  <si>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</si>
  <si>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</si>
  <si>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</si>
  <si>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</si>
  <si>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</si>
  <si>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</si>
  <si>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</si>
  <si>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</si>
  <si>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</si>
  <si>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</si>
  <si>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</si>
  <si>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</si>
  <si>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</si>
  <si>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</si>
  <si>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</si>
  <si>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</si>
  <si>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</si>
  <si>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</si>
  <si>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</si>
  <si>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</si>
  <si>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</si>
  <si>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</si>
  <si>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</si>
  <si>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</si>
  <si>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</si>
  <si>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</si>
  <si>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</si>
  <si>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</si>
  <si>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</si>
  <si>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</si>
  <si>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</si>
  <si>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</si>
  <si>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</si>
  <si>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</si>
  <si>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</si>
  <si>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</si>
  <si>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</si>
  <si>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</si>
  <si>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</si>
  <si>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</si>
  <si>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</si>
  <si>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</si>
  <si>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</si>
  <si>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</si>
  <si>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</si>
  <si>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</si>
  <si>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</si>
  <si>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</si>
  <si>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</si>
  <si>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</si>
  <si>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</si>
  <si>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</si>
  <si>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</si>
  <si>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</si>
  <si>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</si>
  <si>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</si>
  <si>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</si>
  <si>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</si>
  <si>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</si>
  <si>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</si>
  <si>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</si>
  <si>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</si>
  <si>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</si>
  <si>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</si>
  <si>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</si>
  <si>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</si>
  <si>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</si>
  <si>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</si>
  <si>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</si>
  <si>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</si>
  <si>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</si>
  <si>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</si>
  <si>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</si>
  <si>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</si>
  <si>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</si>
  <si>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</si>
  <si>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</si>
  <si>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</si>
  <si>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</si>
  <si>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</si>
  <si>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</si>
  <si>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</si>
  <si>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</si>
  <si>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</si>
  <si>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</si>
  <si>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</si>
  <si>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</si>
  <si>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</si>
  <si>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</si>
  <si>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</si>
  <si>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</si>
  <si>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</si>
  <si>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</si>
  <si>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</si>
  <si>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</si>
  <si>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</si>
  <si>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</si>
  <si>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</si>
  <si>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</si>
  <si>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</si>
  <si>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</si>
  <si>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</si>
  <si>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</si>
  <si>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</si>
  <si>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</si>
  <si>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</si>
  <si>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</si>
  <si>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</si>
  <si>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</si>
  <si>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</si>
  <si>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</si>
  <si>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</si>
  <si>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</si>
  <si>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</si>
  <si>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</si>
  <si>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</si>
  <si>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</si>
  <si>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</si>
  <si>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</si>
  <si>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</si>
  <si>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</si>
  <si>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</si>
  <si>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</si>
  <si>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</si>
  <si>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</si>
  <si>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</si>
  <si>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</si>
  <si>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</si>
  <si>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</si>
  <si>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</si>
  <si>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</si>
  <si>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</si>
  <si>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</si>
  <si>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</si>
  <si>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</si>
  <si>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</si>
  <si>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</si>
  <si>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</si>
  <si>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</si>
  <si>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</si>
  <si>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</si>
  <si>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</si>
  <si>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</si>
  <si>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</si>
  <si>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</si>
  <si>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</si>
  <si>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</si>
  <si>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</si>
  <si>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</si>
  <si>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</si>
  <si>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</si>
  <si>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</si>
  <si>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</si>
  <si>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</si>
  <si>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</si>
  <si>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</si>
  <si>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</si>
  <si>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</si>
  <si>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</si>
  <si>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</si>
  <si>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</si>
  <si>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</si>
  <si>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</si>
  <si>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</si>
  <si>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</si>
  <si>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</si>
  <si>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</si>
  <si>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</si>
  <si>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</si>
  <si>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</si>
  <si>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</si>
  <si>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</si>
  <si>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</si>
  <si>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</si>
  <si>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</si>
  <si>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</si>
  <si>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</si>
  <si>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</si>
  <si>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</si>
  <si>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</si>
  <si>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</si>
  <si>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</si>
  <si>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</si>
  <si>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</si>
  <si>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</si>
  <si>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</si>
  <si>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</si>
  <si>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</si>
  <si>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</si>
  <si>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</si>
  <si>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</si>
  <si>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</si>
  <si>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</si>
  <si>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</si>
  <si>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</si>
  <si>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</si>
  <si>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</si>
  <si>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</si>
  <si>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</si>
  <si>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</si>
  <si>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</si>
  <si>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</si>
  <si>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</si>
  <si>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</si>
  <si>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</si>
  <si>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</si>
  <si>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</si>
  <si>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</si>
  <si>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</si>
  <si>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</si>
  <si>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</si>
  <si>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</si>
  <si>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</si>
  <si>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</si>
  <si>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</si>
  <si>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</si>
  <si>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</si>
  <si>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</si>
  <si>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</si>
  <si>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</si>
  <si>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</si>
  <si>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</si>
  <si>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</si>
  <si>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</si>
  <si>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</si>
  <si>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</si>
  <si>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</si>
  <si>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</si>
  <si>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</si>
  <si>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</si>
  <si>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</si>
  <si>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</si>
  <si>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</si>
  <si>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</si>
  <si>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</si>
  <si>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</si>
  <si>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</si>
  <si>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</si>
  <si>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</si>
  <si>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</si>
  <si>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</si>
  <si>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</si>
  <si>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</si>
  <si>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</si>
  <si>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</si>
  <si>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</si>
  <si>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</si>
  <si>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</si>
  <si>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</si>
  <si>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</si>
  <si>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</si>
  <si>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</si>
  <si>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</si>
  <si>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</si>
  <si>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</si>
  <si>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</si>
  <si>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</si>
  <si>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</si>
  <si>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</si>
  <si>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</si>
  <si>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</si>
  <si>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</si>
  <si>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</si>
  <si>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</si>
  <si>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</si>
  <si>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</si>
  <si>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</si>
  <si>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</si>
  <si>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</si>
  <si>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</si>
  <si>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</si>
  <si>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</si>
  <si>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</si>
  <si>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</si>
  <si>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</si>
  <si>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</si>
  <si>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</si>
  <si>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</si>
  <si>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</si>
  <si>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</si>
  <si>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</si>
  <si>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</si>
  <si>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</si>
  <si>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</si>
  <si>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</si>
  <si>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</si>
  <si>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</si>
  <si>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</si>
  <si>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</si>
  <si>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</si>
  <si>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</si>
  <si>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</si>
  <si>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</si>
  <si>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</si>
  <si>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</si>
  <si>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</si>
  <si>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</si>
  <si>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</si>
  <si>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</si>
  <si>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</si>
  <si>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</si>
  <si>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</si>
  <si>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</si>
  <si>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</si>
  <si>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</si>
  <si>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</si>
  <si>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</si>
  <si>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</si>
  <si>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</si>
  <si>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</si>
  <si>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</si>
  <si>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</si>
  <si>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</si>
  <si>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</si>
  <si>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</si>
  <si>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</si>
  <si>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</si>
  <si>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</si>
  <si>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</si>
  <si>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</si>
  <si>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</si>
  <si>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</si>
  <si>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</si>
  <si>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</si>
  <si>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</si>
  <si>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</si>
  <si>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</si>
  <si>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</si>
  <si>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</si>
  <si>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</si>
  <si>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</si>
  <si>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</si>
  <si>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</si>
  <si>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</si>
  <si>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</si>
  <si>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</si>
  <si>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</si>
  <si>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</si>
  <si>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</si>
  <si>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</si>
  <si>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</si>
  <si>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</si>
  <si>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</si>
  <si>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</si>
  <si>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</si>
  <si>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</si>
  <si>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</si>
  <si>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</si>
  <si>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</si>
  <si>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</si>
  <si>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</si>
  <si>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</si>
  <si>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</si>
  <si>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</si>
  <si>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</si>
  <si>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</si>
  <si>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</si>
  <si>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</si>
  <si>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</si>
  <si>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</si>
  <si>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</si>
  <si>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</si>
  <si>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</si>
  <si>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</si>
  <si>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</si>
  <si>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</si>
  <si>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</si>
  <si>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</si>
  <si>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</si>
  <si>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</si>
  <si>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</si>
  <si>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</si>
  <si>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</si>
  <si>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</si>
  <si>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</si>
  <si>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</si>
  <si>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</si>
  <si>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</si>
  <si>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</si>
  <si>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</si>
  <si>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</si>
  <si>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</si>
  <si>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</si>
  <si>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</si>
  <si>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</si>
  <si>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</si>
  <si>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</si>
  <si>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</si>
  <si>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</si>
  <si>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</si>
  <si>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</si>
  <si>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</si>
  <si>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</si>
  <si>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</si>
  <si>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</si>
  <si>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</si>
  <si>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</si>
  <si>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</si>
  <si>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</si>
  <si>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</si>
  <si>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</si>
  <si>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</si>
  <si>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</si>
  <si>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</si>
  <si>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</si>
  <si>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</si>
  <si>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</si>
  <si>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</si>
  <si>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</si>
  <si>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</si>
  <si>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</si>
  <si>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</si>
  <si>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</si>
  <si>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</si>
  <si>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</si>
  <si>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</si>
  <si>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</si>
  <si>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</si>
  <si>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</si>
  <si>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</si>
  <si>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</si>
  <si>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</si>
  <si>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</si>
  <si>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</si>
  <si>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</si>
  <si>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</si>
  <si>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</si>
  <si>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</si>
  <si>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</si>
  <si>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</si>
  <si>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</si>
  <si>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</si>
  <si>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</si>
  <si>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</si>
  <si>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</si>
  <si>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</si>
  <si>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</si>
  <si>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</si>
  <si>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</si>
  <si>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</si>
  <si>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</si>
  <si>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</si>
  <si>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</si>
  <si>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</si>
  <si>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</si>
  <si>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</si>
  <si>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</si>
  <si>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</si>
  <si>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</si>
  <si>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</si>
  <si>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</si>
  <si>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</si>
  <si>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</si>
  <si>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</si>
  <si>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</si>
  <si>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</si>
  <si>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</si>
  <si>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</si>
  <si>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</si>
  <si>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</si>
  <si>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</si>
  <si>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</si>
  <si>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</si>
  <si>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</si>
  <si>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</si>
  <si>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</si>
  <si>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</si>
  <si>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</si>
  <si>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</si>
  <si>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</si>
  <si>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</si>
  <si>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</si>
  <si>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</si>
  <si>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</si>
  <si>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</si>
  <si>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</si>
  <si>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</si>
  <si>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</si>
  <si>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</si>
  <si>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</si>
  <si>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</si>
  <si>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</si>
  <si>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</si>
  <si>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</si>
  <si>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</si>
  <si>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</si>
  <si>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</si>
  <si>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</si>
  <si>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</si>
  <si>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</si>
  <si>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</si>
  <si>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</si>
  <si>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</si>
  <si>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</si>
  <si>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</si>
  <si>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</si>
  <si>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</si>
  <si>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</si>
  <si>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</si>
  <si>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</si>
  <si>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</si>
  <si>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</si>
  <si>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</si>
  <si>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</si>
  <si>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</si>
  <si>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</si>
  <si>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</si>
  <si>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</si>
  <si>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</si>
  <si>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</si>
  <si>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</si>
  <si>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</si>
  <si>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</si>
  <si>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</si>
  <si>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</si>
  <si>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</si>
  <si>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</si>
  <si>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</si>
  <si>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</si>
  <si>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</si>
  <si>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</si>
  <si>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</si>
  <si>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</si>
  <si>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</si>
  <si>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</si>
  <si>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</si>
  <si>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</si>
  <si>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</si>
  <si>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</si>
  <si>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</si>
  <si>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</si>
  <si>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</si>
  <si>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</si>
  <si>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</si>
  <si>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</si>
  <si>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</si>
  <si>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полиэстер / Подклад: 100% хлопок</t>
  </si>
  <si>
    <t/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</si>
  <si>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</si>
  <si>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</si>
  <si>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</si>
  <si>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</si>
  <si>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</si>
  <si>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</si>
  <si>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</si>
  <si>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</si>
  <si>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</si>
  <si>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</si>
  <si>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</si>
  <si>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</si>
  <si>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</si>
  <si>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</si>
  <si>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</si>
  <si>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</si>
  <si>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</si>
  <si>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</si>
  <si>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</si>
  <si>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</si>
  <si>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</si>
  <si>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</si>
  <si>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</si>
  <si>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</si>
  <si>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</si>
  <si>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</si>
  <si>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</si>
  <si>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</si>
  <si>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</si>
  <si>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</si>
  <si>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</si>
  <si>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</si>
  <si>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</si>
  <si>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</si>
  <si>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</si>
  <si>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</si>
  <si>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</si>
  <si>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</si>
  <si>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</si>
  <si>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</si>
  <si>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</si>
  <si>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</si>
  <si>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</si>
  <si>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</si>
  <si>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</si>
  <si>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</si>
  <si>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</si>
  <si>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</si>
  <si>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</si>
  <si>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</si>
  <si>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</si>
  <si>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</si>
  <si>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</si>
  <si>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</si>
  <si>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</si>
  <si>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</si>
  <si>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</si>
  <si>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</si>
  <si>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</si>
  <si>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</si>
  <si>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</si>
  <si>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</si>
  <si>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</si>
  <si>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</si>
  <si>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</si>
  <si>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</si>
  <si>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</si>
  <si>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</si>
  <si>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</si>
  <si>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</si>
  <si>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</si>
  <si>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</si>
  <si>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</si>
  <si>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</si>
  <si>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</si>
  <si>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</si>
  <si>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</si>
  <si>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</si>
  <si>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</si>
  <si>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</si>
  <si>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</si>
  <si>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</si>
  <si>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</si>
  <si>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</si>
  <si>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</si>
  <si>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</si>
  <si>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</si>
  <si>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</si>
  <si>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</si>
  <si>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</si>
  <si>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</si>
  <si>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</si>
  <si>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</si>
  <si>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</si>
  <si>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</si>
  <si>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</si>
  <si>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</si>
  <si>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</si>
  <si>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</si>
  <si>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</si>
  <si>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</si>
  <si>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</si>
  <si>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</si>
  <si>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</si>
  <si>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</si>
  <si>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</si>
  <si>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</si>
  <si>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</si>
  <si>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</si>
  <si>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</si>
  <si>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</si>
  <si>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</si>
  <si>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</si>
  <si>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</si>
  <si>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</si>
  <si>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</si>
  <si>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</si>
  <si>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</si>
  <si>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</si>
  <si>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</si>
  <si>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</si>
  <si>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</si>
  <si>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</si>
  <si>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</si>
  <si>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</si>
  <si>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</si>
  <si>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</si>
  <si>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</si>
  <si>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</si>
  <si>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</si>
  <si>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</si>
  <si>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</si>
  <si>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</si>
  <si>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</si>
  <si>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</si>
  <si>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</si>
  <si>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</si>
  <si>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</si>
  <si>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</si>
  <si>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</si>
  <si>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</si>
  <si>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</si>
  <si>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</si>
  <si>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</si>
  <si>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</si>
  <si>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</si>
  <si>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</si>
  <si>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</si>
  <si>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</si>
  <si>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</si>
  <si>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</si>
  <si>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</si>
  <si>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</si>
  <si>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</si>
  <si>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</si>
  <si>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</si>
  <si>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</si>
  <si>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</si>
  <si>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</si>
  <si>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</si>
  <si>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</si>
  <si>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</si>
  <si>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</si>
  <si>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</si>
  <si>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</si>
  <si>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</si>
  <si>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</si>
  <si>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</si>
  <si>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</si>
  <si>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</si>
  <si>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</si>
  <si>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</si>
  <si>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</si>
  <si>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</si>
  <si>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</si>
  <si>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</si>
  <si>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</si>
  <si>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</si>
  <si>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</si>
  <si>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</si>
  <si>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</si>
  <si>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</si>
  <si>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</si>
  <si>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</si>
  <si>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</si>
  <si>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</si>
  <si>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</si>
  <si>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</si>
  <si>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</si>
  <si>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</si>
  <si>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</si>
  <si>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</si>
  <si>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</si>
  <si>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</si>
  <si>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</si>
  <si>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</si>
  <si>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</si>
  <si>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</si>
  <si>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</si>
  <si>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</si>
  <si>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</si>
  <si>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</si>
  <si>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</si>
  <si>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</si>
  <si>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</si>
  <si>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</si>
  <si>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</si>
  <si>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</si>
  <si>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</si>
  <si>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</si>
  <si>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</si>
  <si>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</si>
  <si>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</si>
  <si>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</si>
  <si>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</si>
  <si>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</si>
  <si>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</si>
  <si>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</si>
  <si>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</si>
  <si>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</si>
  <si>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</si>
  <si>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</si>
  <si>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</si>
  <si>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</si>
  <si>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</si>
  <si>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</si>
  <si>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</si>
  <si>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</si>
  <si>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</si>
  <si>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</si>
  <si>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</si>
  <si>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</si>
  <si>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</si>
  <si>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</si>
  <si>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</si>
  <si>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</si>
  <si>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</si>
  <si>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</si>
  <si>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</si>
  <si>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</si>
  <si>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</si>
  <si>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</si>
  <si>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</si>
  <si>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</si>
  <si>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</si>
  <si>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</si>
  <si>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</si>
  <si>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</si>
  <si>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</si>
  <si>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</si>
  <si>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</si>
  <si>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</si>
  <si>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</si>
  <si>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</si>
  <si>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</si>
  <si>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</si>
  <si>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</si>
  <si>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</si>
  <si>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</si>
  <si>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</si>
  <si>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</si>
  <si>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</si>
  <si>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</si>
  <si>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</si>
  <si>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</si>
  <si>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</si>
  <si>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</si>
  <si>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</si>
  <si>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</si>
  <si>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</si>
  <si>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</si>
  <si>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</si>
  <si>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</si>
  <si>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</si>
  <si>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</si>
  <si>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</si>
  <si>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</si>
  <si>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</si>
  <si>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</si>
  <si>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</si>
  <si>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</si>
  <si>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</si>
  <si>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</si>
  <si>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</si>
  <si>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</si>
  <si>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</si>
  <si>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</si>
  <si>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</si>
  <si>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</si>
  <si>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</si>
  <si>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</si>
  <si>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</si>
  <si>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</si>
  <si>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</si>
  <si>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</si>
  <si>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</si>
  <si>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</si>
  <si>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</si>
  <si>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</si>
  <si>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</si>
  <si>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</si>
  <si>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</si>
  <si>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</si>
  <si>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</si>
  <si>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</si>
  <si>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</si>
  <si>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</si>
  <si>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</si>
  <si>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</si>
  <si>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</si>
  <si>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</si>
  <si>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</si>
  <si>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</si>
  <si>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</si>
  <si>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</si>
  <si>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</si>
  <si>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</si>
  <si>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</si>
  <si>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</si>
  <si>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</si>
  <si>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</si>
  <si>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</si>
  <si>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</si>
  <si>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</si>
  <si>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</si>
  <si>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</si>
  <si>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</si>
  <si>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</si>
  <si>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</si>
  <si>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</si>
  <si>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</si>
  <si>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</si>
  <si>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</si>
  <si>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</si>
  <si>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</si>
  <si>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</si>
  <si>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</si>
  <si>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</si>
  <si>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</si>
  <si>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</si>
  <si>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</si>
  <si>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</si>
  <si>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</si>
  <si>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</si>
  <si>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</si>
  <si>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</si>
  <si>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</si>
  <si>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</si>
  <si>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</si>
  <si>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</si>
  <si>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</si>
  <si>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</si>
  <si>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</si>
  <si>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</si>
  <si>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</si>
  <si>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</si>
  <si>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</si>
  <si>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</si>
  <si>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</si>
  <si>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</si>
  <si>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</si>
  <si>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</si>
  <si>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</si>
  <si>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</si>
  <si>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</si>
  <si>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</si>
  <si>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</si>
  <si>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</si>
  <si>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</si>
  <si>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</si>
  <si>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</si>
  <si>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</si>
  <si>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</si>
  <si>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</si>
  <si>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</si>
  <si>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</si>
  <si>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</si>
  <si>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</si>
  <si>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</si>
  <si>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</si>
  <si>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</si>
  <si>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</si>
  <si>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</si>
  <si>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</si>
  <si>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</si>
  <si>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</si>
  <si>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</si>
  <si>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</si>
  <si>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</si>
  <si>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</si>
  <si>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</si>
  <si>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</si>
  <si>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</si>
  <si>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</si>
  <si>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</si>
  <si>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</si>
  <si>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</si>
  <si>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</si>
  <si>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</si>
  <si>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</si>
  <si>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</si>
  <si>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</si>
  <si>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</si>
  <si>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</si>
  <si>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</si>
  <si>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</si>
  <si>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</si>
  <si>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</si>
  <si>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</si>
  <si>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</si>
  <si>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</si>
  <si>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</si>
  <si>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</si>
  <si>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</si>
  <si>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</si>
  <si>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</si>
  <si>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</si>
  <si>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</si>
  <si>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</si>
  <si>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</si>
  <si>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</si>
  <si>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</si>
  <si>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</si>
  <si>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</si>
  <si>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</si>
  <si>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</si>
  <si>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</si>
  <si>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</si>
  <si>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</si>
  <si>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</si>
  <si>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</si>
  <si>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</si>
  <si>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</si>
  <si>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</si>
  <si>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</si>
  <si>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</si>
  <si>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</si>
  <si>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</si>
  <si>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</si>
  <si>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</si>
  <si>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</si>
  <si>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</si>
  <si>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</si>
  <si>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</si>
  <si>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</si>
  <si>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</si>
  <si>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</si>
  <si>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</si>
  <si>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</si>
  <si>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</si>
  <si>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</si>
  <si>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</si>
  <si>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</si>
  <si>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</si>
  <si>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</si>
  <si>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</si>
  <si>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</si>
  <si>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</si>
  <si>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</si>
  <si>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</si>
  <si>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</si>
  <si>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</si>
  <si>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</si>
  <si>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</si>
  <si>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</si>
  <si>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</si>
  <si>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</si>
  <si>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</si>
  <si>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</si>
  <si>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</si>
  <si>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</si>
  <si>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</si>
  <si>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</si>
  <si>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</si>
  <si>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</si>
  <si>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</si>
  <si>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</si>
  <si>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</si>
  <si>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</si>
  <si>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</si>
  <si>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</si>
  <si>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</si>
  <si>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</si>
  <si>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</si>
  <si>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</si>
  <si>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</si>
  <si>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</si>
  <si>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</si>
  <si>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</si>
  <si>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</si>
  <si>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</si>
  <si>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</si>
  <si>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</si>
  <si>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</si>
  <si>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</si>
  <si>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</si>
  <si>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</si>
  <si>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</si>
  <si>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</si>
  <si>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</si>
  <si>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</si>
  <si>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</si>
  <si>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</si>
  <si>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</si>
  <si>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</si>
  <si>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</si>
  <si>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</si>
  <si>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</si>
  <si>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</si>
  <si>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</si>
  <si>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</si>
  <si>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</si>
  <si>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</si>
  <si>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</si>
  <si>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</si>
  <si>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</si>
  <si>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</si>
  <si>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</si>
  <si>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</si>
  <si>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</si>
  <si>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</si>
  <si>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</si>
  <si>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</si>
  <si>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</si>
  <si>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</si>
  <si>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</si>
  <si>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</si>
  <si>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</si>
  <si>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</si>
  <si>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</si>
  <si>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</si>
  <si>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</si>
  <si>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</si>
  <si>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</si>
  <si>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</si>
  <si>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</si>
  <si>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</si>
  <si>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</si>
  <si>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</si>
  <si>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</si>
  <si>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</si>
  <si>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</si>
  <si>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</si>
  <si>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</si>
  <si>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</si>
  <si>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</si>
  <si>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</si>
  <si>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</si>
  <si>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</si>
  <si>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</si>
  <si>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</si>
  <si>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</si>
  <si>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</si>
  <si>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</si>
  <si>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</si>
  <si>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</si>
  <si>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</si>
  <si>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</si>
  <si>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</si>
  <si>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</si>
  <si>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</si>
  <si>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</si>
  <si>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</si>
  <si>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</si>
  <si>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</si>
  <si>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</si>
  <si>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</si>
  <si>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</si>
  <si>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</si>
  <si>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</si>
  <si>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</si>
  <si>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</si>
  <si>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</si>
  <si>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</si>
  <si>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</si>
  <si>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</si>
  <si>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</si>
  <si>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</si>
  <si>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</si>
  <si>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</si>
  <si>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</si>
  <si>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</si>
  <si>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</si>
  <si>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</si>
  <si>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</si>
  <si>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</si>
  <si>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</si>
  <si>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</si>
  <si>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</si>
  <si>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</si>
  <si>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</si>
  <si>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</si>
  <si>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</si>
  <si>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</si>
  <si>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</si>
  <si>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</si>
  <si>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</si>
  <si>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</si>
  <si>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</si>
  <si>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</si>
  <si>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</si>
  <si>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</si>
  <si>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</si>
  <si>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</si>
  <si>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</si>
  <si>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</si>
  <si>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</si>
  <si>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</si>
  <si>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</si>
  <si>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</si>
  <si>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</si>
  <si>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</si>
  <si>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</si>
  <si>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</si>
  <si>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</si>
  <si>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</si>
  <si>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</si>
  <si>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</si>
  <si>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</si>
  <si>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</si>
  <si>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</si>
  <si>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</si>
  <si>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</si>
  <si>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</si>
  <si>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7721110 Baseball Cap Cotton</t>
  </si>
  <si>
    <t>6611105 TEXAS COTTON</t>
  </si>
  <si>
    <t>7431101 ARMY CAP COTTON</t>
  </si>
  <si>
    <t>02-660-19</t>
  </si>
  <si>
    <t>02-671-95</t>
  </si>
  <si>
    <t>02-672-14</t>
  </si>
  <si>
    <t>02-673-70</t>
  </si>
  <si>
    <t>02-674-03</t>
  </si>
  <si>
    <t>02-675-14</t>
  </si>
  <si>
    <t>02-678-86</t>
  </si>
  <si>
    <t>02-679-16</t>
  </si>
  <si>
    <t>02-496-11</t>
  </si>
  <si>
    <t>02-685-08</t>
  </si>
  <si>
    <t>02-686-06</t>
  </si>
  <si>
    <t>02-689-14</t>
  </si>
  <si>
    <t>02-186-06</t>
  </si>
  <si>
    <t>02-186-14</t>
  </si>
  <si>
    <t>1813904 Bucket Linen</t>
  </si>
  <si>
    <t>7751191 Trucker Cap Gambling Grifter</t>
  </si>
  <si>
    <t>7751194 Trucker Cap Sun</t>
  </si>
  <si>
    <t>7751196 Trucker Cap Chrome</t>
  </si>
  <si>
    <t>7756106 TRUCKER CAP FISHERMENS BAY</t>
  </si>
  <si>
    <t>7756112 TRUCKER CAP HIKING</t>
  </si>
  <si>
    <t>7756113 TRUCKER CAP ANIMAL NATURE</t>
  </si>
  <si>
    <t>7756114 TRUCKER CAP CANOE</t>
  </si>
  <si>
    <t>7721122 Baseball Cap Duck</t>
  </si>
  <si>
    <t>7781115 BASEBALL CAP SHAKA COTTON</t>
  </si>
  <si>
    <t>7781118 BASEBALL CAP CAMO COTTON</t>
  </si>
  <si>
    <t>7781120 BASEBALL CAP COTTON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</si>
  <si>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</si>
  <si>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</si>
  <si>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</si>
  <si>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</si>
  <si>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</si>
  <si>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1187101 PLAYER PIGSKIN</t>
  </si>
  <si>
    <t>2811101 BUCKET DELAVE</t>
  </si>
  <si>
    <t>7491101 ARMY CAP COTTON</t>
  </si>
  <si>
    <t>2541104 TRAVELLER WAXED COTTON</t>
  </si>
  <si>
    <t>2541109 TRAVELLER COTTON</t>
  </si>
  <si>
    <t>Бейсболка с прямым козырьком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</si>
  <si>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</si>
  <si>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</si>
  <si>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</si>
  <si>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</si>
  <si>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</si>
  <si>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</si>
  <si>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Артикул полный</t>
  </si>
  <si>
    <t>=A2&amp;"-"&amp;Q2</t>
  </si>
  <si>
    <t>6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</si>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</sst>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3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0" xfId="16"/>
    <xf numFmtId="49" fontId="26" fillId="0" borderId="0" xfId="16" applyNumberFormat="1" applyAlignment="1">
      <alignment horizontal="center"/>
    </xf>
    <xf numFmtId="49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4" fillId="0" borderId="17" xfId="12" applyFont="1" applyBorder="1"/>
    <xf numFmtId="0" fontId="17" fillId="4" borderId="8" xfId="12" applyFont="1" applyFill="1" applyBorder="1" applyAlignment="1">
      <alignment wrapText="1"/>
    </xf>
    <xf numFmtId="49" fontId="0" fillId="0" borderId="0" xfId="0" applyNumberFormat="1" applyBorder="1"/>
    <xf numFmtId="49" fontId="26" fillId="0" borderId="2" xfId="16" applyNumberFormat="1" applyBorder="1"/>
    <xf numFmtId="49" fontId="26" fillId="0" borderId="0" xfId="16" applyNumberFormat="1"/>
    <xf numFmtId="49" fontId="24" fillId="6" borderId="1" xfId="17" applyNumberFormat="1" applyFont="1" applyFill="1" applyBorder="1" applyAlignment="1">
      <alignment horizontal="left" vertical="top"/>
    </xf>
    <xf numFmtId="0" fontId="29" fillId="8" borderId="3" xfId="12" applyFont="1" applyFill="1" applyBorder="1"/>
    <xf numFmtId="0" fontId="14" fillId="8" borderId="9" xfId="12" applyFont="1" applyFill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37064</v>
      </c>
      <c r="B44" s="28" t="s">
        <v>37065</v>
      </c>
    </row>
    <row r="45" spans="1:2" x14ac:dyDescent="0.25">
      <c r="A45" s="28" t="s">
        <v>37066</v>
      </c>
      <c r="B45" s="28" t="s">
        <v>37067</v>
      </c>
    </row>
    <row r="46" spans="1:2" x14ac:dyDescent="0.25">
      <c r="A46" s="28" t="s">
        <v>37068</v>
      </c>
      <c r="B46" s="28" t="s">
        <v>37069</v>
      </c>
    </row>
    <row r="47" spans="1:2" x14ac:dyDescent="0.25">
      <c r="A47" s="28" t="s">
        <v>37070</v>
      </c>
      <c r="B47" s="28" t="s">
        <v>37071</v>
      </c>
    </row>
    <row r="48" spans="1:2" x14ac:dyDescent="0.25">
      <c r="A48" s="28" t="s">
        <v>37072</v>
      </c>
      <c r="B48" s="28" t="s">
        <v>37073</v>
      </c>
    </row>
    <row r="49" spans="1:2" x14ac:dyDescent="0.25">
      <c r="A49" s="28" t="s">
        <v>37074</v>
      </c>
      <c r="B49" s="28" t="s">
        <v>37075</v>
      </c>
    </row>
    <row r="50" spans="1:2" x14ac:dyDescent="0.25">
      <c r="A50" s="28" t="s">
        <v>37076</v>
      </c>
      <c r="B50" s="28" t="s">
        <v>37077</v>
      </c>
    </row>
    <row r="51" spans="1:2" x14ac:dyDescent="0.25">
      <c r="A51" s="28" t="s">
        <v>37078</v>
      </c>
      <c r="B51" s="28" t="s">
        <v>37079</v>
      </c>
    </row>
    <row r="52" spans="1:2" x14ac:dyDescent="0.25">
      <c r="A52" s="28" t="s">
        <v>37080</v>
      </c>
      <c r="B52" s="28" t="s">
        <v>37081</v>
      </c>
    </row>
    <row r="53" spans="1:2" x14ac:dyDescent="0.25">
      <c r="A53" s="28" t="s">
        <v>37082</v>
      </c>
      <c r="B53" s="28" t="s">
        <v>37083</v>
      </c>
    </row>
    <row r="54" spans="1:2" x14ac:dyDescent="0.25">
      <c r="A54" s="28" t="s">
        <v>37084</v>
      </c>
      <c r="B54" s="28" t="s">
        <v>37085</v>
      </c>
    </row>
    <row r="55" spans="1:2" x14ac:dyDescent="0.25">
      <c r="A55" s="28" t="s">
        <v>37086</v>
      </c>
      <c r="B55" s="28" t="s">
        <v>37087</v>
      </c>
    </row>
    <row r="56" spans="1:2" x14ac:dyDescent="0.25">
      <c r="A56" s="28" t="s">
        <v>37088</v>
      </c>
      <c r="B56" s="28" t="s">
        <v>37089</v>
      </c>
    </row>
    <row r="57" spans="1:2" x14ac:dyDescent="0.25">
      <c r="A57" s="28" t="s">
        <v>37090</v>
      </c>
      <c r="B57" s="28" t="s">
        <v>37091</v>
      </c>
    </row>
    <row r="58" spans="1:2" x14ac:dyDescent="0.25">
      <c r="A58" s="28" t="s">
        <v>37092</v>
      </c>
      <c r="B58" s="28" t="s">
        <v>37093</v>
      </c>
    </row>
    <row r="59" spans="1:2" x14ac:dyDescent="0.25">
      <c r="A59" s="28" t="s">
        <v>37094</v>
      </c>
      <c r="B59" s="28" t="s">
        <v>37095</v>
      </c>
    </row>
    <row r="60" spans="1:2" x14ac:dyDescent="0.25">
      <c r="A60" s="28" t="s">
        <v>37096</v>
      </c>
      <c r="B60" s="28" t="s">
        <v>37097</v>
      </c>
    </row>
    <row r="61" spans="1:2" x14ac:dyDescent="0.25">
      <c r="A61" s="28" t="s">
        <v>37098</v>
      </c>
      <c r="B61" s="28" t="s">
        <v>37099</v>
      </c>
    </row>
    <row r="62" spans="1:2" x14ac:dyDescent="0.25">
      <c r="A62" s="28" t="s">
        <v>37100</v>
      </c>
      <c r="B62" s="28" t="s">
        <v>37101</v>
      </c>
    </row>
    <row r="63" spans="1:2" x14ac:dyDescent="0.25">
      <c r="A63" s="28" t="s">
        <v>37102</v>
      </c>
      <c r="B63" s="28" t="s">
        <v>37103</v>
      </c>
    </row>
    <row r="64" spans="1:2" x14ac:dyDescent="0.25">
      <c r="A64" s="28" t="s">
        <v>37104</v>
      </c>
      <c r="B64" s="28" t="s">
        <v>37105</v>
      </c>
    </row>
    <row r="65" spans="1:2" x14ac:dyDescent="0.25">
      <c r="A65" s="28" t="s">
        <v>37106</v>
      </c>
      <c r="B65" s="28" t="s">
        <v>37107</v>
      </c>
    </row>
    <row r="66" spans="1:2" x14ac:dyDescent="0.25">
      <c r="A66" s="28" t="s">
        <v>37108</v>
      </c>
      <c r="B66" s="28" t="s">
        <v>37109</v>
      </c>
    </row>
    <row r="67" spans="1:2" x14ac:dyDescent="0.25">
      <c r="A67" s="28" t="s">
        <v>37110</v>
      </c>
      <c r="B67" s="28" t="s">
        <v>37111</v>
      </c>
    </row>
    <row r="68" spans="1:2" x14ac:dyDescent="0.25">
      <c r="A68" s="28" t="s">
        <v>37112</v>
      </c>
      <c r="B68" s="28" t="s">
        <v>37113</v>
      </c>
    </row>
    <row r="69" spans="1:2" x14ac:dyDescent="0.25">
      <c r="A69" s="28" t="s">
        <v>37114</v>
      </c>
      <c r="B69" s="28" t="s">
        <v>37115</v>
      </c>
    </row>
    <row r="70" spans="1:2" x14ac:dyDescent="0.25">
      <c r="A70" s="28" t="s">
        <v>37116</v>
      </c>
      <c r="B70" s="28" t="s">
        <v>37117</v>
      </c>
    </row>
    <row r="71" spans="1:2" x14ac:dyDescent="0.25">
      <c r="A71" s="28" t="s">
        <v>37118</v>
      </c>
      <c r="B71" s="28" t="s">
        <v>37119</v>
      </c>
    </row>
    <row r="72" spans="1:2" x14ac:dyDescent="0.25">
      <c r="A72" s="28" t="s">
        <v>37120</v>
      </c>
      <c r="B72" s="28" t="s">
        <v>37121</v>
      </c>
    </row>
    <row r="73" spans="1:2" x14ac:dyDescent="0.25">
      <c r="A73" s="28" t="s">
        <v>37122</v>
      </c>
      <c r="B73" s="28" t="s">
        <v>37123</v>
      </c>
    </row>
    <row r="74" spans="1:2" x14ac:dyDescent="0.25">
      <c r="A74" s="28" t="s">
        <v>37124</v>
      </c>
      <c r="B74" s="28" t="s">
        <v>37125</v>
      </c>
    </row>
    <row r="75" spans="1:2" x14ac:dyDescent="0.25">
      <c r="A75" s="28" t="s">
        <v>37126</v>
      </c>
      <c r="B75" s="28" t="s">
        <v>37127</v>
      </c>
    </row>
    <row r="76" spans="1:2" x14ac:dyDescent="0.25">
      <c r="A76" s="28" t="s">
        <v>37128</v>
      </c>
      <c r="B76" s="28" t="s">
        <v>37129</v>
      </c>
    </row>
    <row r="77" spans="1:2" x14ac:dyDescent="0.25">
      <c r="A77" s="28" t="s">
        <v>37130</v>
      </c>
      <c r="B77" s="28" t="s">
        <v>37131</v>
      </c>
    </row>
    <row r="78" spans="1:2" x14ac:dyDescent="0.25">
      <c r="A78" s="28" t="s">
        <v>37132</v>
      </c>
      <c r="B78" s="28" t="s">
        <v>37133</v>
      </c>
    </row>
    <row r="79" spans="1:2" x14ac:dyDescent="0.25">
      <c r="A79" s="28" t="s">
        <v>37134</v>
      </c>
      <c r="B79" s="28" t="s">
        <v>37135</v>
      </c>
    </row>
    <row r="80" spans="1:2" x14ac:dyDescent="0.25">
      <c r="A80" s="28" t="s">
        <v>37136</v>
      </c>
      <c r="B80" s="28" t="s">
        <v>37137</v>
      </c>
    </row>
    <row r="81" spans="1:2" x14ac:dyDescent="0.25">
      <c r="A81" s="28" t="s">
        <v>37138</v>
      </c>
      <c r="B81" s="28" t="s">
        <v>37139</v>
      </c>
    </row>
    <row r="82" spans="1:2" x14ac:dyDescent="0.25">
      <c r="A82" s="28" t="s">
        <v>37140</v>
      </c>
      <c r="B82" s="28" t="s">
        <v>37141</v>
      </c>
    </row>
    <row r="83" spans="1:2" x14ac:dyDescent="0.25">
      <c r="A83" s="28" t="s">
        <v>37142</v>
      </c>
      <c r="B83" s="28" t="s">
        <v>37143</v>
      </c>
    </row>
    <row r="84" spans="1:2" x14ac:dyDescent="0.25">
      <c r="A84" s="28" t="s">
        <v>37144</v>
      </c>
      <c r="B84" s="28" t="s">
        <v>37145</v>
      </c>
    </row>
    <row r="85" spans="1:2" x14ac:dyDescent="0.25">
      <c r="A85" s="28" t="s">
        <v>37146</v>
      </c>
      <c r="B85" s="28" t="s">
        <v>37147</v>
      </c>
    </row>
    <row r="86" spans="1:2" x14ac:dyDescent="0.25">
      <c r="A86" s="28" t="s">
        <v>37148</v>
      </c>
      <c r="B86" s="28" t="s">
        <v>37149</v>
      </c>
    </row>
    <row r="87" spans="1:2" x14ac:dyDescent="0.25">
      <c r="A87" s="28" t="s">
        <v>37150</v>
      </c>
      <c r="B87" s="28" t="s">
        <v>37151</v>
      </c>
    </row>
    <row r="88" spans="1:2" x14ac:dyDescent="0.25">
      <c r="A88" s="28" t="s">
        <v>37152</v>
      </c>
      <c r="B88" s="28" t="s">
        <v>37153</v>
      </c>
    </row>
    <row r="89" spans="1:2" x14ac:dyDescent="0.25">
      <c r="A89" s="28" t="s">
        <v>37154</v>
      </c>
      <c r="B89" s="28" t="s">
        <v>37155</v>
      </c>
    </row>
    <row r="90" spans="1:2" x14ac:dyDescent="0.25">
      <c r="A90" s="28" t="s">
        <v>37156</v>
      </c>
      <c r="B90" s="28" t="s">
        <v>37157</v>
      </c>
    </row>
    <row r="91" spans="1:2" x14ac:dyDescent="0.25">
      <c r="A91" s="28" t="s">
        <v>37158</v>
      </c>
      <c r="B91" s="28" t="s">
        <v>37159</v>
      </c>
    </row>
    <row r="92" spans="1:2" x14ac:dyDescent="0.25">
      <c r="A92" s="28" t="s">
        <v>37160</v>
      </c>
      <c r="B92" s="28" t="s">
        <v>37161</v>
      </c>
    </row>
    <row r="93" spans="1:2" x14ac:dyDescent="0.25">
      <c r="A93" s="28" t="s">
        <v>37162</v>
      </c>
      <c r="B93" s="28" t="s">
        <v>37163</v>
      </c>
    </row>
    <row r="94" spans="1:2" x14ac:dyDescent="0.25">
      <c r="A94" s="28" t="s">
        <v>37164</v>
      </c>
      <c r="B94" s="28" t="s">
        <v>37165</v>
      </c>
    </row>
    <row r="95" spans="1:2" x14ac:dyDescent="0.25">
      <c r="A95" s="28" t="s">
        <v>37166</v>
      </c>
      <c r="B95" s="28" t="s">
        <v>37167</v>
      </c>
    </row>
    <row r="96" spans="1:2" x14ac:dyDescent="0.25">
      <c r="A96" s="28" t="s">
        <v>37168</v>
      </c>
      <c r="B96" s="28" t="s">
        <v>37169</v>
      </c>
    </row>
    <row r="97" spans="1:2" x14ac:dyDescent="0.25">
      <c r="A97" s="28" t="s">
        <v>37170</v>
      </c>
      <c r="B97" s="28" t="s">
        <v>37171</v>
      </c>
    </row>
    <row r="98" spans="1:2" x14ac:dyDescent="0.25">
      <c r="A98" s="28" t="s">
        <v>37172</v>
      </c>
      <c r="B98" s="28" t="s">
        <v>37173</v>
      </c>
    </row>
    <row r="99" spans="1:2" x14ac:dyDescent="0.25">
      <c r="A99" s="28" t="s">
        <v>37174</v>
      </c>
      <c r="B99" s="28" t="s">
        <v>37175</v>
      </c>
    </row>
    <row r="100" spans="1:2" x14ac:dyDescent="0.25">
      <c r="A100" s="28" t="s">
        <v>37176</v>
      </c>
      <c r="B100" s="28" t="s">
        <v>37177</v>
      </c>
    </row>
    <row r="101" spans="1:2" x14ac:dyDescent="0.25">
      <c r="A101" s="28" t="s">
        <v>37178</v>
      </c>
      <c r="B101" s="28" t="s">
        <v>37179</v>
      </c>
    </row>
    <row r="102" spans="1:2" x14ac:dyDescent="0.25">
      <c r="A102" s="28" t="s">
        <v>37180</v>
      </c>
      <c r="B102" s="28" t="s">
        <v>37181</v>
      </c>
    </row>
    <row r="103" spans="1:2" x14ac:dyDescent="0.25">
      <c r="A103" s="28" t="s">
        <v>37182</v>
      </c>
      <c r="B103" s="28" t="s">
        <v>37183</v>
      </c>
    </row>
    <row r="104" spans="1:2" x14ac:dyDescent="0.25">
      <c r="A104" s="28" t="s">
        <v>37184</v>
      </c>
      <c r="B104" s="28" t="s">
        <v>37185</v>
      </c>
    </row>
    <row r="105" spans="1:2" x14ac:dyDescent="0.25">
      <c r="A105" s="28" t="s">
        <v>37186</v>
      </c>
      <c r="B105" s="28" t="s">
        <v>37187</v>
      </c>
    </row>
    <row r="106" spans="1:2" x14ac:dyDescent="0.25">
      <c r="A106" s="28" t="s">
        <v>37188</v>
      </c>
      <c r="B106" s="28" t="s">
        <v>37189</v>
      </c>
    </row>
    <row r="107" spans="1:2" x14ac:dyDescent="0.25">
      <c r="A107" s="28" t="s">
        <v>37190</v>
      </c>
      <c r="B107" s="28" t="s">
        <v>37191</v>
      </c>
    </row>
    <row r="108" spans="1:2" x14ac:dyDescent="0.25">
      <c r="A108" s="28" t="s">
        <v>37192</v>
      </c>
      <c r="B108" s="28" t="s">
        <v>37193</v>
      </c>
    </row>
    <row r="109" spans="1:2" x14ac:dyDescent="0.25">
      <c r="A109" s="28" t="s">
        <v>37194</v>
      </c>
      <c r="B109" s="28" t="s">
        <v>37195</v>
      </c>
    </row>
    <row r="110" spans="1:2" x14ac:dyDescent="0.25">
      <c r="A110" s="28" t="s">
        <v>37196</v>
      </c>
      <c r="B110" s="28" t="s">
        <v>37197</v>
      </c>
    </row>
    <row r="111" spans="1:2" x14ac:dyDescent="0.25">
      <c r="A111" s="28" t="s">
        <v>37198</v>
      </c>
      <c r="B111" s="28" t="s">
        <v>37199</v>
      </c>
    </row>
    <row r="112" spans="1:2" x14ac:dyDescent="0.25">
      <c r="A112" s="28" t="s">
        <v>37200</v>
      </c>
      <c r="B112" s="28" t="s">
        <v>37201</v>
      </c>
    </row>
    <row r="113" spans="1:2" x14ac:dyDescent="0.25">
      <c r="A113" s="28" t="s">
        <v>37202</v>
      </c>
      <c r="B113" s="28" t="s">
        <v>37203</v>
      </c>
    </row>
    <row r="114" spans="1:2" x14ac:dyDescent="0.25">
      <c r="A114" s="28" t="s">
        <v>37204</v>
      </c>
      <c r="B114" s="28" t="s">
        <v>37205</v>
      </c>
    </row>
    <row r="115" spans="1:2" x14ac:dyDescent="0.25">
      <c r="A115" s="28" t="s">
        <v>37206</v>
      </c>
      <c r="B115" s="28" t="s">
        <v>37207</v>
      </c>
    </row>
    <row r="116" spans="1:2" x14ac:dyDescent="0.25">
      <c r="A116" s="28" t="s">
        <v>37208</v>
      </c>
      <c r="B116" s="28" t="s">
        <v>37209</v>
      </c>
    </row>
    <row r="117" spans="1:2" x14ac:dyDescent="0.25">
      <c r="A117" s="28" t="s">
        <v>37210</v>
      </c>
      <c r="B117" s="28" t="s">
        <v>37211</v>
      </c>
    </row>
    <row r="118" spans="1:2" x14ac:dyDescent="0.25">
      <c r="A118" s="28" t="s">
        <v>37212</v>
      </c>
      <c r="B118" s="28" t="s">
        <v>37213</v>
      </c>
    </row>
    <row r="119" spans="1:2" x14ac:dyDescent="0.25">
      <c r="A119" s="28" t="s">
        <v>37214</v>
      </c>
      <c r="B119" s="28" t="s">
        <v>37215</v>
      </c>
    </row>
    <row r="120" spans="1:2" x14ac:dyDescent="0.25">
      <c r="A120" s="28" t="s">
        <v>37216</v>
      </c>
      <c r="B120" s="28" t="s">
        <v>37217</v>
      </c>
    </row>
    <row r="121" spans="1:2" x14ac:dyDescent="0.25">
      <c r="A121" s="28" t="s">
        <v>37218</v>
      </c>
      <c r="B121" s="28" t="s">
        <v>37219</v>
      </c>
    </row>
    <row r="122" spans="1:2" x14ac:dyDescent="0.25">
      <c r="A122" s="28" t="s">
        <v>37220</v>
      </c>
      <c r="B122" s="28" t="s">
        <v>37221</v>
      </c>
    </row>
    <row r="123" spans="1:2" x14ac:dyDescent="0.25">
      <c r="A123" s="28" t="s">
        <v>37222</v>
      </c>
      <c r="B123" s="28" t="s">
        <v>37223</v>
      </c>
    </row>
    <row r="124" spans="1:2" x14ac:dyDescent="0.25">
      <c r="A124" s="28" t="s">
        <v>37224</v>
      </c>
      <c r="B124" s="28" t="s">
        <v>37225</v>
      </c>
    </row>
    <row r="125" spans="1:2" x14ac:dyDescent="0.25">
      <c r="A125" s="28" t="s">
        <v>37226</v>
      </c>
      <c r="B125" s="28" t="s">
        <v>37227</v>
      </c>
    </row>
    <row r="126" spans="1:2" x14ac:dyDescent="0.25">
      <c r="A126" s="28" t="s">
        <v>37228</v>
      </c>
      <c r="B126" s="28" t="s">
        <v>37229</v>
      </c>
    </row>
    <row r="127" spans="1:2" x14ac:dyDescent="0.25">
      <c r="A127" s="28" t="s">
        <v>37230</v>
      </c>
      <c r="B127" s="28" t="s">
        <v>37231</v>
      </c>
    </row>
    <row r="128" spans="1:2" x14ac:dyDescent="0.25">
      <c r="A128" s="28" t="s">
        <v>37232</v>
      </c>
      <c r="B128" s="28" t="s">
        <v>37233</v>
      </c>
    </row>
    <row r="129" spans="1:2" x14ac:dyDescent="0.25">
      <c r="A129" s="28" t="s">
        <v>37234</v>
      </c>
      <c r="B129" s="28" t="s">
        <v>37235</v>
      </c>
    </row>
    <row r="130" spans="1:2" x14ac:dyDescent="0.25">
      <c r="A130" s="28" t="s">
        <v>37236</v>
      </c>
      <c r="B130" s="28" t="s">
        <v>37237</v>
      </c>
    </row>
    <row r="131" spans="1:2" x14ac:dyDescent="0.25">
      <c r="A131" s="28" t="s">
        <v>37238</v>
      </c>
      <c r="B131" s="28" t="s">
        <v>37239</v>
      </c>
    </row>
    <row r="132" spans="1:2" x14ac:dyDescent="0.25">
      <c r="A132" s="28" t="s">
        <v>37240</v>
      </c>
      <c r="B132" s="28" t="s">
        <v>37241</v>
      </c>
    </row>
    <row r="133" spans="1:2" x14ac:dyDescent="0.25">
      <c r="A133" s="28" t="s">
        <v>37242</v>
      </c>
      <c r="B133" s="28" t="s">
        <v>37243</v>
      </c>
    </row>
    <row r="134" spans="1:2" x14ac:dyDescent="0.25">
      <c r="A134" s="28" t="s">
        <v>37244</v>
      </c>
      <c r="B134" s="28" t="s">
        <v>37245</v>
      </c>
    </row>
    <row r="135" spans="1:2" x14ac:dyDescent="0.25">
      <c r="A135" s="28" t="s">
        <v>37246</v>
      </c>
      <c r="B135" s="28" t="s">
        <v>37247</v>
      </c>
    </row>
    <row r="136" spans="1:2" x14ac:dyDescent="0.25">
      <c r="A136" s="28" t="s">
        <v>37248</v>
      </c>
      <c r="B136" s="28" t="s">
        <v>37249</v>
      </c>
    </row>
    <row r="137" spans="1:2" x14ac:dyDescent="0.25">
      <c r="A137" s="28" t="s">
        <v>37250</v>
      </c>
      <c r="B137" s="28" t="s">
        <v>37251</v>
      </c>
    </row>
    <row r="138" spans="1:2" x14ac:dyDescent="0.25">
      <c r="A138" s="28" t="s">
        <v>37252</v>
      </c>
      <c r="B138" s="28" t="s">
        <v>37253</v>
      </c>
    </row>
    <row r="139" spans="1:2" x14ac:dyDescent="0.25">
      <c r="A139" s="28" t="s">
        <v>37254</v>
      </c>
      <c r="B139" s="28" t="s">
        <v>37255</v>
      </c>
    </row>
    <row r="140" spans="1:2" x14ac:dyDescent="0.25">
      <c r="A140" s="28" t="s">
        <v>37256</v>
      </c>
      <c r="B140" s="28" t="s">
        <v>37257</v>
      </c>
    </row>
    <row r="141" spans="1:2" x14ac:dyDescent="0.25">
      <c r="A141" s="28" t="s">
        <v>37258</v>
      </c>
      <c r="B141" s="28" t="s">
        <v>37259</v>
      </c>
    </row>
    <row r="142" spans="1:2" x14ac:dyDescent="0.25">
      <c r="A142" s="28" t="s">
        <v>37260</v>
      </c>
      <c r="B142" s="28" t="s">
        <v>37261</v>
      </c>
    </row>
    <row r="143" spans="1:2" x14ac:dyDescent="0.25">
      <c r="A143" s="28" t="s">
        <v>37262</v>
      </c>
      <c r="B143" s="28" t="s">
        <v>37263</v>
      </c>
    </row>
    <row r="144" spans="1:2" x14ac:dyDescent="0.25">
      <c r="A144" s="28" t="s">
        <v>37264</v>
      </c>
      <c r="B144" s="28" t="s">
        <v>37265</v>
      </c>
    </row>
    <row r="145" spans="1:2" x14ac:dyDescent="0.25">
      <c r="A145" s="28" t="s">
        <v>37266</v>
      </c>
      <c r="B145" s="28" t="s">
        <v>37267</v>
      </c>
    </row>
    <row r="146" spans="1:2" x14ac:dyDescent="0.25">
      <c r="A146" s="28" t="s">
        <v>37268</v>
      </c>
      <c r="B146" s="28" t="s">
        <v>37269</v>
      </c>
    </row>
    <row r="147" spans="1:2" x14ac:dyDescent="0.25">
      <c r="A147" s="28" t="s">
        <v>37270</v>
      </c>
      <c r="B147" s="28" t="s">
        <v>37271</v>
      </c>
    </row>
    <row r="148" spans="1:2" x14ac:dyDescent="0.25">
      <c r="A148" s="28" t="s">
        <v>37272</v>
      </c>
      <c r="B148" s="28" t="s">
        <v>37273</v>
      </c>
    </row>
    <row r="149" spans="1:2" x14ac:dyDescent="0.25">
      <c r="A149" s="28" t="s">
        <v>37274</v>
      </c>
      <c r="B149" s="28" t="s">
        <v>37275</v>
      </c>
    </row>
    <row r="150" spans="1:2" x14ac:dyDescent="0.25">
      <c r="A150" s="28" t="s">
        <v>37276</v>
      </c>
      <c r="B150" s="28" t="s">
        <v>37277</v>
      </c>
    </row>
    <row r="151" spans="1:2" x14ac:dyDescent="0.25">
      <c r="A151" s="28" t="s">
        <v>37278</v>
      </c>
      <c r="B151" s="28" t="s">
        <v>37279</v>
      </c>
    </row>
    <row r="152" spans="1:2" x14ac:dyDescent="0.25">
      <c r="A152" s="28" t="s">
        <v>37280</v>
      </c>
      <c r="B152" s="28" t="s">
        <v>37281</v>
      </c>
    </row>
    <row r="153" spans="1:2" x14ac:dyDescent="0.25">
      <c r="A153" s="28" t="s">
        <v>37282</v>
      </c>
      <c r="B153" s="28" t="s">
        <v>37283</v>
      </c>
    </row>
    <row r="154" spans="1:2" x14ac:dyDescent="0.25">
      <c r="A154" s="28" t="s">
        <v>37284</v>
      </c>
      <c r="B154" s="28" t="s">
        <v>37285</v>
      </c>
    </row>
    <row r="155" spans="1:2" x14ac:dyDescent="0.25">
      <c r="A155" s="28" t="s">
        <v>37286</v>
      </c>
      <c r="B155" s="28" t="s">
        <v>37287</v>
      </c>
    </row>
    <row r="156" spans="1:2" x14ac:dyDescent="0.25">
      <c r="A156" s="28" t="s">
        <v>37288</v>
      </c>
      <c r="B156" s="28" t="s">
        <v>37289</v>
      </c>
    </row>
    <row r="157" spans="1:2" x14ac:dyDescent="0.25">
      <c r="A157" s="28" t="s">
        <v>37290</v>
      </c>
      <c r="B157" s="28" t="s">
        <v>37291</v>
      </c>
    </row>
    <row r="158" spans="1:2" x14ac:dyDescent="0.25">
      <c r="A158" s="28" t="s">
        <v>37292</v>
      </c>
      <c r="B158" s="28" t="s">
        <v>37293</v>
      </c>
    </row>
    <row r="159" spans="1:2" x14ac:dyDescent="0.25">
      <c r="A159" s="28" t="s">
        <v>37294</v>
      </c>
      <c r="B159" s="28" t="s">
        <v>37295</v>
      </c>
    </row>
    <row r="160" spans="1:2" x14ac:dyDescent="0.25">
      <c r="A160" s="28" t="s">
        <v>37296</v>
      </c>
      <c r="B160" s="28" t="s">
        <v>37297</v>
      </c>
    </row>
    <row r="161" spans="1:2" x14ac:dyDescent="0.25">
      <c r="A161" s="28" t="s">
        <v>37298</v>
      </c>
      <c r="B161" s="28" t="s">
        <v>37299</v>
      </c>
    </row>
    <row r="162" spans="1:2" x14ac:dyDescent="0.25">
      <c r="A162" s="28" t="s">
        <v>37300</v>
      </c>
      <c r="B162" s="28" t="s">
        <v>37301</v>
      </c>
    </row>
    <row r="163" spans="1:2" x14ac:dyDescent="0.25">
      <c r="A163" s="28" t="s">
        <v>37302</v>
      </c>
      <c r="B163" s="28" t="s">
        <v>37303</v>
      </c>
    </row>
    <row r="164" spans="1:2" x14ac:dyDescent="0.25">
      <c r="A164" s="28" t="s">
        <v>37304</v>
      </c>
      <c r="B164" s="28" t="s">
        <v>37305</v>
      </c>
    </row>
    <row r="165" spans="1:2" x14ac:dyDescent="0.25">
      <c r="A165" s="28" t="s">
        <v>37306</v>
      </c>
      <c r="B165" s="28" t="s">
        <v>37307</v>
      </c>
    </row>
    <row r="166" spans="1:2" x14ac:dyDescent="0.25">
      <c r="A166" s="28" t="s">
        <v>37308</v>
      </c>
      <c r="B166" s="28" t="s">
        <v>37309</v>
      </c>
    </row>
    <row r="167" spans="1:2" x14ac:dyDescent="0.25">
      <c r="A167" s="28" t="s">
        <v>37310</v>
      </c>
      <c r="B167" s="28" t="s">
        <v>37311</v>
      </c>
    </row>
    <row r="168" spans="1:2" x14ac:dyDescent="0.25">
      <c r="A168" s="28" t="s">
        <v>37312</v>
      </c>
      <c r="B168" s="28" t="s">
        <v>37313</v>
      </c>
    </row>
    <row r="169" spans="1:2" x14ac:dyDescent="0.25">
      <c r="A169" s="28" t="s">
        <v>37314</v>
      </c>
      <c r="B169" s="28" t="s">
        <v>37315</v>
      </c>
    </row>
    <row r="170" spans="1:2" x14ac:dyDescent="0.25">
      <c r="A170" s="28" t="s">
        <v>37316</v>
      </c>
      <c r="B170" s="28" t="s">
        <v>37317</v>
      </c>
    </row>
    <row r="171" spans="1:2" x14ac:dyDescent="0.25">
      <c r="A171" s="28" t="s">
        <v>37318</v>
      </c>
      <c r="B171" s="28" t="s">
        <v>37319</v>
      </c>
    </row>
    <row r="172" spans="1:2" x14ac:dyDescent="0.25">
      <c r="A172" s="28" t="s">
        <v>37320</v>
      </c>
      <c r="B172" s="28" t="s">
        <v>37321</v>
      </c>
    </row>
    <row r="173" spans="1:2" x14ac:dyDescent="0.25">
      <c r="A173" s="28" t="s">
        <v>37322</v>
      </c>
      <c r="B173" s="28" t="s">
        <v>37323</v>
      </c>
    </row>
    <row r="174" spans="1:2" x14ac:dyDescent="0.25">
      <c r="A174" s="28" t="s">
        <v>37324</v>
      </c>
      <c r="B174" s="28" t="s">
        <v>37325</v>
      </c>
    </row>
    <row r="175" spans="1:2" x14ac:dyDescent="0.25">
      <c r="A175" s="28" t="s">
        <v>37326</v>
      </c>
      <c r="B175" s="28" t="s">
        <v>37327</v>
      </c>
    </row>
    <row r="176" spans="1:2" x14ac:dyDescent="0.25">
      <c r="A176" s="28" t="s">
        <v>37328</v>
      </c>
      <c r="B176" s="28" t="s">
        <v>37329</v>
      </c>
    </row>
    <row r="177" spans="1:2" x14ac:dyDescent="0.25">
      <c r="A177" s="28" t="s">
        <v>37330</v>
      </c>
      <c r="B177" s="28" t="s">
        <v>37331</v>
      </c>
    </row>
    <row r="178" spans="1:2" x14ac:dyDescent="0.25">
      <c r="A178" s="28" t="s">
        <v>37332</v>
      </c>
      <c r="B178" s="28" t="s">
        <v>37333</v>
      </c>
    </row>
    <row r="179" spans="1:2" x14ac:dyDescent="0.25">
      <c r="A179" s="28" t="s">
        <v>37334</v>
      </c>
      <c r="B179" s="28" t="s">
        <v>37335</v>
      </c>
    </row>
    <row r="180" spans="1:2" x14ac:dyDescent="0.25">
      <c r="A180" s="28" t="s">
        <v>37336</v>
      </c>
      <c r="B180" s="28" t="s">
        <v>37337</v>
      </c>
    </row>
    <row r="181" spans="1:2" x14ac:dyDescent="0.25">
      <c r="A181" s="28" t="s">
        <v>37338</v>
      </c>
      <c r="B181" s="28" t="s">
        <v>37339</v>
      </c>
    </row>
    <row r="182" spans="1:2" x14ac:dyDescent="0.25">
      <c r="A182" s="28" t="s">
        <v>37340</v>
      </c>
      <c r="B182" s="28" t="s">
        <v>37341</v>
      </c>
    </row>
    <row r="183" spans="1:2" x14ac:dyDescent="0.25">
      <c r="A183" s="28" t="s">
        <v>37342</v>
      </c>
      <c r="B183" s="28" t="s">
        <v>37343</v>
      </c>
    </row>
    <row r="184" spans="1:2" x14ac:dyDescent="0.25">
      <c r="A184" s="28" t="s">
        <v>37344</v>
      </c>
      <c r="B184" s="28" t="s">
        <v>37345</v>
      </c>
    </row>
    <row r="185" spans="1:2" x14ac:dyDescent="0.25">
      <c r="A185" s="28" t="s">
        <v>37346</v>
      </c>
      <c r="B185" s="28" t="s">
        <v>37347</v>
      </c>
    </row>
    <row r="186" spans="1:2" x14ac:dyDescent="0.25">
      <c r="A186" s="28" t="s">
        <v>37348</v>
      </c>
      <c r="B186" s="28" t="s">
        <v>37349</v>
      </c>
    </row>
    <row r="187" spans="1:2" x14ac:dyDescent="0.25">
      <c r="A187" s="28" t="s">
        <v>37350</v>
      </c>
      <c r="B187" s="28" t="s">
        <v>37351</v>
      </c>
    </row>
    <row r="188" spans="1:2" x14ac:dyDescent="0.25">
      <c r="A188" s="28" t="s">
        <v>37352</v>
      </c>
      <c r="B188" s="28" t="s">
        <v>37353</v>
      </c>
    </row>
    <row r="189" spans="1:2" x14ac:dyDescent="0.25">
      <c r="A189" s="28" t="s">
        <v>37354</v>
      </c>
      <c r="B189" s="28" t="s">
        <v>37355</v>
      </c>
    </row>
    <row r="190" spans="1:2" x14ac:dyDescent="0.25">
      <c r="A190" s="28" t="s">
        <v>37356</v>
      </c>
      <c r="B190" s="28" t="s">
        <v>37357</v>
      </c>
    </row>
    <row r="191" spans="1:2" x14ac:dyDescent="0.25">
      <c r="A191" s="28" t="s">
        <v>37358</v>
      </c>
      <c r="B191" s="28" t="s">
        <v>37359</v>
      </c>
    </row>
    <row r="192" spans="1:2" x14ac:dyDescent="0.25">
      <c r="A192" s="28" t="s">
        <v>37360</v>
      </c>
      <c r="B192" s="28" t="s">
        <v>37361</v>
      </c>
    </row>
    <row r="193" spans="1:2" x14ac:dyDescent="0.25">
      <c r="A193" s="28" t="s">
        <v>37362</v>
      </c>
      <c r="B193" s="28" t="s">
        <v>37363</v>
      </c>
    </row>
    <row r="194" spans="1:2" x14ac:dyDescent="0.25">
      <c r="A194" s="28" t="s">
        <v>37364</v>
      </c>
      <c r="B194" s="28" t="s">
        <v>37365</v>
      </c>
    </row>
    <row r="195" spans="1:2" x14ac:dyDescent="0.25">
      <c r="A195" s="28" t="s">
        <v>37366</v>
      </c>
      <c r="B195" s="28" t="s">
        <v>37367</v>
      </c>
    </row>
    <row r="196" spans="1:2" x14ac:dyDescent="0.25">
      <c r="A196" s="28" t="s">
        <v>37368</v>
      </c>
      <c r="B196" s="28" t="s">
        <v>37369</v>
      </c>
    </row>
    <row r="197" spans="1:2" x14ac:dyDescent="0.25">
      <c r="A197" s="28" t="s">
        <v>37370</v>
      </c>
      <c r="B197" s="28" t="s">
        <v>37371</v>
      </c>
    </row>
    <row r="198" spans="1:2" x14ac:dyDescent="0.25">
      <c r="A198" s="28" t="s">
        <v>37372</v>
      </c>
      <c r="B198" s="28" t="s">
        <v>37373</v>
      </c>
    </row>
    <row r="199" spans="1:2" x14ac:dyDescent="0.25">
      <c r="A199" s="28" t="s">
        <v>37374</v>
      </c>
      <c r="B199" s="28" t="s">
        <v>37375</v>
      </c>
    </row>
    <row r="200" spans="1:2" x14ac:dyDescent="0.25">
      <c r="A200" s="28" t="s">
        <v>37376</v>
      </c>
      <c r="B200" s="28" t="s">
        <v>37377</v>
      </c>
    </row>
    <row r="201" spans="1:2" x14ac:dyDescent="0.25">
      <c r="A201" s="28" t="s">
        <v>37378</v>
      </c>
      <c r="B201" s="28" t="s">
        <v>37379</v>
      </c>
    </row>
    <row r="202" spans="1:2" x14ac:dyDescent="0.25">
      <c r="A202" s="28" t="s">
        <v>37380</v>
      </c>
      <c r="B202" s="28" t="s">
        <v>37381</v>
      </c>
    </row>
    <row r="203" spans="1:2" x14ac:dyDescent="0.25">
      <c r="A203" s="28" t="s">
        <v>37382</v>
      </c>
      <c r="B203" s="28" t="s">
        <v>37383</v>
      </c>
    </row>
    <row r="204" spans="1:2" x14ac:dyDescent="0.25">
      <c r="A204" s="28" t="s">
        <v>37384</v>
      </c>
      <c r="B204" s="28" t="s">
        <v>37385</v>
      </c>
    </row>
    <row r="205" spans="1:2" x14ac:dyDescent="0.25">
      <c r="A205" s="28" t="s">
        <v>37386</v>
      </c>
      <c r="B205" s="28" t="s">
        <v>37387</v>
      </c>
    </row>
    <row r="206" spans="1:2" x14ac:dyDescent="0.25">
      <c r="A206" s="28" t="s">
        <v>37388</v>
      </c>
      <c r="B206" s="28" t="s">
        <v>37389</v>
      </c>
    </row>
    <row r="207" spans="1:2" x14ac:dyDescent="0.25">
      <c r="A207" s="28" t="s">
        <v>37390</v>
      </c>
      <c r="B207" s="28" t="s">
        <v>37391</v>
      </c>
    </row>
    <row r="208" spans="1:2" x14ac:dyDescent="0.25">
      <c r="A208" s="28" t="s">
        <v>37392</v>
      </c>
      <c r="B208" s="28" t="s">
        <v>37393</v>
      </c>
    </row>
    <row r="209" spans="1:2" x14ac:dyDescent="0.25">
      <c r="A209" s="28" t="s">
        <v>37394</v>
      </c>
      <c r="B209" s="28" t="s">
        <v>37395</v>
      </c>
    </row>
    <row r="210" spans="1:2" x14ac:dyDescent="0.25">
      <c r="A210" s="28" t="s">
        <v>37396</v>
      </c>
      <c r="B210" s="28" t="s">
        <v>37397</v>
      </c>
    </row>
    <row r="211" spans="1:2" x14ac:dyDescent="0.25">
      <c r="A211" s="28" t="s">
        <v>37398</v>
      </c>
      <c r="B211" s="28" t="s">
        <v>37399</v>
      </c>
    </row>
    <row r="212" spans="1:2" x14ac:dyDescent="0.25">
      <c r="A212" s="28" t="s">
        <v>37400</v>
      </c>
      <c r="B212" s="28" t="s">
        <v>37401</v>
      </c>
    </row>
    <row r="213" spans="1:2" x14ac:dyDescent="0.25">
      <c r="A213" s="28" t="s">
        <v>37402</v>
      </c>
      <c r="B213" s="28" t="s">
        <v>37403</v>
      </c>
    </row>
    <row r="214" spans="1:2" x14ac:dyDescent="0.25">
      <c r="A214" s="28" t="s">
        <v>37404</v>
      </c>
      <c r="B214" s="28" t="s">
        <v>37405</v>
      </c>
    </row>
    <row r="215" spans="1:2" x14ac:dyDescent="0.25">
      <c r="A215" s="28" t="s">
        <v>37406</v>
      </c>
      <c r="B215" s="28" t="s">
        <v>37407</v>
      </c>
    </row>
    <row r="216" spans="1:2" x14ac:dyDescent="0.25">
      <c r="A216" s="28" t="s">
        <v>37408</v>
      </c>
      <c r="B216" s="28" t="s">
        <v>37409</v>
      </c>
    </row>
    <row r="217" spans="1:2" x14ac:dyDescent="0.25">
      <c r="A217" s="28" t="s">
        <v>37410</v>
      </c>
      <c r="B217" s="28" t="s">
        <v>37411</v>
      </c>
    </row>
    <row r="218" spans="1:2" x14ac:dyDescent="0.25">
      <c r="A218" s="28" t="s">
        <v>37412</v>
      </c>
      <c r="B218" s="28" t="s">
        <v>37413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37414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37415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37416</v>
      </c>
      <c r="B594" s="28" t="s">
        <v>37417</v>
      </c>
    </row>
    <row r="595" spans="1:2" x14ac:dyDescent="0.25">
      <c r="A595" s="28" t="s">
        <v>37418</v>
      </c>
      <c r="B595" s="28" t="s">
        <v>37419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37420</v>
      </c>
      <c r="B683" s="28" t="s">
        <v>37421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37422</v>
      </c>
      <c r="B699" s="28" t="s">
        <v>37423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37424</v>
      </c>
      <c r="B712" s="28" t="s">
        <v>37425</v>
      </c>
    </row>
    <row r="713" spans="1:2" x14ac:dyDescent="0.25">
      <c r="A713" s="28" t="s">
        <v>37426</v>
      </c>
      <c r="B713" s="28" t="s">
        <v>37427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37428</v>
      </c>
      <c r="B715" s="28" t="s">
        <v>37429</v>
      </c>
    </row>
    <row r="716" spans="1:2" x14ac:dyDescent="0.25">
      <c r="A716" s="28" t="s">
        <v>37430</v>
      </c>
      <c r="B716" s="28" t="s">
        <v>37431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37432</v>
      </c>
      <c r="B718" s="28" t="s">
        <v>37433</v>
      </c>
    </row>
    <row r="719" spans="1:2" x14ac:dyDescent="0.25">
      <c r="A719" s="28" t="s">
        <v>37434</v>
      </c>
      <c r="B719" s="28" t="s">
        <v>37435</v>
      </c>
    </row>
    <row r="720" spans="1:2" x14ac:dyDescent="0.25">
      <c r="A720" s="28" t="s">
        <v>37436</v>
      </c>
      <c r="B720" s="28" t="s">
        <v>37437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37438</v>
      </c>
      <c r="B723" s="28" t="s">
        <v>37439</v>
      </c>
    </row>
    <row r="724" spans="1:2" x14ac:dyDescent="0.25">
      <c r="A724" s="28" t="s">
        <v>37440</v>
      </c>
      <c r="B724" s="28" t="s">
        <v>37441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37442</v>
      </c>
      <c r="B726" s="28" t="s">
        <v>37443</v>
      </c>
    </row>
    <row r="727" spans="1:2" x14ac:dyDescent="0.25">
      <c r="A727" s="28" t="s">
        <v>37444</v>
      </c>
      <c r="B727" s="28" t="s">
        <v>37445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37446</v>
      </c>
      <c r="B733" s="28" t="s">
        <v>37447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37448</v>
      </c>
      <c r="B735" s="28" t="s">
        <v>37449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37450</v>
      </c>
      <c r="B742" s="28" t="s">
        <v>37451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37452</v>
      </c>
      <c r="B755" s="28" t="s">
        <v>37453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37454</v>
      </c>
      <c r="B760" s="28" t="s">
        <v>37455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37456</v>
      </c>
      <c r="B782" s="28" t="s">
        <v>37457</v>
      </c>
    </row>
    <row r="783" spans="1:2" x14ac:dyDescent="0.25">
      <c r="A783" s="28" t="s">
        <v>37458</v>
      </c>
      <c r="B783" s="28" t="s">
        <v>37459</v>
      </c>
    </row>
    <row r="784" spans="1:2" x14ac:dyDescent="0.25">
      <c r="A784" s="28" t="s">
        <v>37460</v>
      </c>
      <c r="B784" s="28" t="s">
        <v>37461</v>
      </c>
    </row>
    <row r="785" spans="1:2" x14ac:dyDescent="0.25">
      <c r="A785" s="28" t="s">
        <v>37462</v>
      </c>
      <c r="B785" s="28" t="s">
        <v>37463</v>
      </c>
    </row>
    <row r="786" spans="1:2" x14ac:dyDescent="0.25">
      <c r="A786" s="28" t="s">
        <v>37464</v>
      </c>
      <c r="B786" s="28" t="s">
        <v>37465</v>
      </c>
    </row>
    <row r="787" spans="1:2" x14ac:dyDescent="0.25">
      <c r="A787" s="28" t="s">
        <v>37466</v>
      </c>
      <c r="B787" s="28" t="s">
        <v>37467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37468</v>
      </c>
      <c r="B800" s="28" t="s">
        <v>37469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37470</v>
      </c>
      <c r="B802" s="28" t="s">
        <v>37471</v>
      </c>
    </row>
    <row r="803" spans="1:2" x14ac:dyDescent="0.25">
      <c r="A803" s="28" t="s">
        <v>37472</v>
      </c>
      <c r="B803" s="28" t="s">
        <v>37473</v>
      </c>
    </row>
    <row r="804" spans="1:2" x14ac:dyDescent="0.25">
      <c r="A804" s="28" t="s">
        <v>37474</v>
      </c>
      <c r="B804" s="28" t="s">
        <v>37475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37476</v>
      </c>
      <c r="B826" s="28" t="s">
        <v>37477</v>
      </c>
    </row>
    <row r="827" spans="1:2" x14ac:dyDescent="0.25">
      <c r="A827" s="28" t="s">
        <v>37478</v>
      </c>
      <c r="B827" s="28" t="s">
        <v>37479</v>
      </c>
    </row>
    <row r="828" spans="1:2" x14ac:dyDescent="0.25">
      <c r="A828" s="28" t="s">
        <v>37480</v>
      </c>
      <c r="B828" s="28" t="s">
        <v>37481</v>
      </c>
    </row>
    <row r="829" spans="1:2" x14ac:dyDescent="0.25">
      <c r="A829" s="28" t="s">
        <v>37482</v>
      </c>
      <c r="B829" s="28" t="s">
        <v>37483</v>
      </c>
    </row>
    <row r="830" spans="1:2" x14ac:dyDescent="0.25">
      <c r="A830" s="28" t="s">
        <v>37484</v>
      </c>
      <c r="B830" s="28" t="s">
        <v>37485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37486</v>
      </c>
      <c r="B917" s="28" t="s">
        <v>15033</v>
      </c>
    </row>
    <row r="918" spans="1:2" x14ac:dyDescent="0.25">
      <c r="A918" s="28" t="s">
        <v>37487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37488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37489</v>
      </c>
      <c r="B7055" s="28" t="s">
        <v>37490</v>
      </c>
    </row>
    <row r="7056" spans="1:2" x14ac:dyDescent="0.25">
      <c r="A7056" s="28" t="s">
        <v>37491</v>
      </c>
      <c r="B7056" s="28" t="s">
        <v>37492</v>
      </c>
    </row>
    <row r="7057" spans="1:2" x14ac:dyDescent="0.25">
      <c r="A7057" s="28" t="s">
        <v>37493</v>
      </c>
      <c r="B7057" s="28" t="s">
        <v>37494</v>
      </c>
    </row>
    <row r="7058" spans="1:2" x14ac:dyDescent="0.25">
      <c r="A7058" s="28" t="s">
        <v>37495</v>
      </c>
      <c r="B7058" s="28" t="s">
        <v>37496</v>
      </c>
    </row>
    <row r="7059" spans="1:2" x14ac:dyDescent="0.25">
      <c r="A7059" s="28" t="s">
        <v>37497</v>
      </c>
      <c r="B7059" s="28" t="s">
        <v>37498</v>
      </c>
    </row>
    <row r="7060" spans="1:2" x14ac:dyDescent="0.25">
      <c r="A7060" s="28" t="s">
        <v>37499</v>
      </c>
      <c r="B7060" s="28" t="s">
        <v>37500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37501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64"/>
  <sheetViews>
    <sheetView tabSelected="1" topLeftCell="AM1" zoomScaleNormal="100" workbookViewId="0">
      <pane ySplit="1" topLeftCell="A2" activePane="bottomLeft" state="frozen"/>
      <selection pane="bottomLeft" activeCell="X20" sqref="X20"/>
    </sheetView>
  </sheetViews>
  <sheetFormatPr defaultColWidth="18.7109375" defaultRowHeight="15" outlineLevelCol="1" x14ac:dyDescent="0.25"/>
  <cols>
    <col min="1" max="1" width="16.5703125" style="125" bestFit="1" customWidth="1"/>
    <col min="2" max="2" width="41" style="122" customWidth="1"/>
    <col min="3" max="3" width="13.42578125" style="106" customWidth="1"/>
    <col min="4" max="4" width="29.42578125" style="106" bestFit="1" customWidth="1"/>
    <col min="5" max="5" width="24" style="106" customWidth="1"/>
    <col min="6" max="6" width="10.85546875" style="106" customWidth="1"/>
    <col min="7" max="7" width="18.42578125" style="106" customWidth="1"/>
    <col min="8" max="8" width="10.85546875" style="106" customWidth="1"/>
    <col min="9" max="9" width="16.28515625" style="106" bestFit="1" customWidth="1"/>
    <col min="10" max="10" width="49" style="106" bestFit="1" customWidth="1"/>
    <col min="11" max="11" width="13.5703125" style="106" customWidth="1"/>
    <col min="12" max="12" width="10.85546875" style="106" customWidth="1"/>
    <col min="13" max="13" width="10" style="14" bestFit="1" customWidth="1"/>
    <col min="14" max="14" width="11" style="105" bestFit="1" customWidth="1"/>
    <col min="15" max="15" width="51" style="103" customWidth="1"/>
    <col min="16" max="16" width="10.85546875" style="106" customWidth="1"/>
    <col min="17" max="17" width="7.140625" style="107" bestFit="1" customWidth="1"/>
    <col min="18" max="18" width="10.5703125" style="14" customWidth="1"/>
    <col min="19" max="19" width="78.42578125" style="115" customWidth="1"/>
    <col min="20" max="20" width="83.5703125" style="114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32" customWidth="1" collapsed="1"/>
    <col min="24" max="24" width="26.85546875" style="87" bestFit="1" customWidth="1"/>
    <col min="25" max="25" width="16.5703125" style="90" bestFit="1" customWidth="1" collapsed="1"/>
    <col min="26" max="26" width="17" style="111" bestFit="1" customWidth="1"/>
    <col min="27" max="27" width="15" style="111" bestFit="1" customWidth="1"/>
    <col min="28" max="28" width="20.5703125" style="111" bestFit="1" customWidth="1"/>
    <col min="29" max="29" width="17.28515625" style="111" bestFit="1" customWidth="1"/>
    <col min="30" max="30" width="18.5703125" style="111" customWidth="1"/>
    <col min="31" max="31" width="29.5703125" style="111" bestFit="1" customWidth="1"/>
    <col min="32" max="32" width="26.5703125" style="111" bestFit="1" customWidth="1"/>
    <col min="33" max="33" width="29.85546875" style="111" bestFit="1" customWidth="1"/>
    <col min="34" max="34" width="32.5703125" style="111" bestFit="1" customWidth="1"/>
    <col min="35" max="35" width="27" style="111" bestFit="1" customWidth="1"/>
    <col min="36" max="36" width="19" style="111" bestFit="1" customWidth="1"/>
    <col min="37" max="37" width="20.140625" style="111" bestFit="1" customWidth="1"/>
    <col min="38" max="38" width="22.28515625" style="111" bestFit="1" customWidth="1"/>
    <col min="39" max="39" width="14.5703125" style="111" bestFit="1" customWidth="1"/>
    <col min="40" max="40" width="13.5703125" style="111" bestFit="1" customWidth="1"/>
    <col min="41" max="41" width="15.85546875" style="111" bestFit="1" customWidth="1"/>
    <col min="42" max="42" width="16.7109375" style="111" bestFit="1" customWidth="1"/>
    <col min="43" max="43" width="27.5703125" style="77" customWidth="1"/>
    <col min="44" max="44" width="26" style="78" customWidth="1"/>
    <col min="45" max="45" width="30" style="110" customWidth="1"/>
    <col min="46" max="46" width="100.7109375" style="108" customWidth="1"/>
    <col min="47" max="16384" width="18.7109375" style="14"/>
  </cols>
  <sheetData>
    <row r="1" spans="1:46" s="61" customFormat="1" ht="12.75" x14ac:dyDescent="0.2">
      <c r="A1" s="123" t="s">
        <v>6</v>
      </c>
      <c r="B1" s="102" t="s">
        <v>260</v>
      </c>
      <c r="C1" s="83" t="s">
        <v>4</v>
      </c>
      <c r="D1" s="83" t="s">
        <v>258</v>
      </c>
      <c r="E1" s="83" t="s">
        <v>83</v>
      </c>
      <c r="F1" s="83" t="s">
        <v>86</v>
      </c>
      <c r="G1" s="83" t="s">
        <v>257</v>
      </c>
      <c r="H1" s="83" t="s">
        <v>261</v>
      </c>
      <c r="I1" s="83" t="s">
        <v>262</v>
      </c>
      <c r="J1" s="83" t="s">
        <v>87</v>
      </c>
      <c r="K1" s="83" t="s">
        <v>259</v>
      </c>
      <c r="L1" s="83" t="s">
        <v>84</v>
      </c>
      <c r="M1" s="101" t="s">
        <v>88</v>
      </c>
      <c r="N1" s="86" t="s">
        <v>7</v>
      </c>
      <c r="O1" s="83" t="s">
        <v>89</v>
      </c>
      <c r="P1" s="83" t="s">
        <v>3</v>
      </c>
      <c r="Q1" s="83" t="s">
        <v>263</v>
      </c>
      <c r="R1" s="102" t="s">
        <v>264</v>
      </c>
      <c r="S1" s="92" t="s">
        <v>266</v>
      </c>
      <c r="T1" s="83" t="s">
        <v>85</v>
      </c>
      <c r="U1" s="113" t="s">
        <v>36846</v>
      </c>
      <c r="V1" s="91" t="s">
        <v>37053</v>
      </c>
      <c r="W1" s="131" t="s">
        <v>2</v>
      </c>
      <c r="X1" s="112" t="str" cm="1">
        <f t="array" aca="1" ref="X1:X64" ca="1">_xlfn._xlws.SORT(INDIRECT("Строчный!P1:P"&amp;COUNTA(Строчный!P:P)),1,-1,FALSE)</f>
        <v>Артикул полный</v>
      </c>
      <c r="Y1" s="88" t="s">
        <v>265</v>
      </c>
      <c r="Z1" s="84" t="s">
        <v>36849</v>
      </c>
      <c r="AA1" s="84" t="s">
        <v>36850</v>
      </c>
      <c r="AB1" s="84" t="s">
        <v>36851</v>
      </c>
      <c r="AC1" s="84" t="s">
        <v>36848</v>
      </c>
      <c r="AD1" s="84" t="s">
        <v>36847</v>
      </c>
      <c r="AE1" s="84" t="s">
        <v>271</v>
      </c>
      <c r="AF1" s="84" t="s">
        <v>272</v>
      </c>
      <c r="AG1" s="84" t="s">
        <v>273</v>
      </c>
      <c r="AH1" s="84" t="s">
        <v>274</v>
      </c>
      <c r="AI1" s="84" t="s">
        <v>36853</v>
      </c>
      <c r="AJ1" s="84" t="s">
        <v>36854</v>
      </c>
      <c r="AK1" s="84" t="s">
        <v>36855</v>
      </c>
      <c r="AL1" s="84" t="s">
        <v>36856</v>
      </c>
      <c r="AM1" s="84" t="s">
        <v>36857</v>
      </c>
      <c r="AN1" s="84" t="s">
        <v>36858</v>
      </c>
      <c r="AO1" s="84" t="s">
        <v>36859</v>
      </c>
      <c r="AP1" s="84" t="s">
        <v>36860</v>
      </c>
      <c r="AQ1" s="84" t="s">
        <v>278</v>
      </c>
      <c r="AR1" s="84" t="s">
        <v>279</v>
      </c>
      <c r="AS1" s="85" t="s">
        <v>280</v>
      </c>
      <c r="AT1" s="109" t="s">
        <v>281</v>
      </c>
    </row>
    <row r="2" spans="1:46" ht="14.45" customHeight="1" x14ac:dyDescent="0.25">
      <c r="A2" s="124" t="str">
        <f ca="1">MID(X2,1,9)</f>
        <v>02-689-14</v>
      </c>
      <c r="B2" s="121" t="str">
        <f ca="1">UPPER(_xlfn.XLOOKUP($A2,Строчный!$A:$A,Строчный!B:B,"ERR",0))</f>
        <v>6813103 8-PANEL CAP LINEN</v>
      </c>
      <c r="C2" s="95" t="str">
        <f ca="1">PROPER(_xlfn.XLOOKUP($A2,Строчный!$A:$A,Строчный!C:C,"ERR",0))</f>
        <v>Кепки</v>
      </c>
      <c r="D2" s="95" t="str">
        <f ca="1">_xlfn.LET(_xlpm.DATA,(_xlfn.XLOOKUP($A2,Строчный!$A:$A,Строчный!D:D,"ERR",0)),UPPER(MID(_xlpm.DATA,1,1))&amp;LOWER(MID(_xlpm.DATA,2,LEN(_xlpm.DATA)-1)))</f>
        <v>Кепка восьмиклинка</v>
      </c>
      <c r="E2" s="95" t="str">
        <f ca="1">PROPER(_xlfn.XLOOKUP($A2,Строчный!$A:$A,Строчный!E:E,"ERR",0))</f>
        <v>Stetson</v>
      </c>
      <c r="F2" s="95" t="str">
        <f ca="1">LOWER(_xlfn.XLOOKUP($A2,Строчный!$A:$A,Строчный!F:F,"ERR",0))</f>
        <v>летний</v>
      </c>
      <c r="G2" s="95" t="str">
        <f ca="1">UPPER(_xlfn.XLOOKUP($A2,Строчный!$A:$A,Строчный!G:G,"ERR",0))</f>
        <v>STETSON</v>
      </c>
      <c r="H2" s="95" t="str">
        <f ca="1">LOWER(_xlfn.XLOOKUP($A2,Строчный!$A:$A,Строчный!H:H,"ERR",0))</f>
        <v>6</v>
      </c>
      <c r="I2" s="95" t="str">
        <f ca="1">LOWER(_xlfn.XLOOKUP($A2,Строчный!$A:$A,Строчный!I:I,"ERR",0))</f>
        <v>коричневый</v>
      </c>
      <c r="J2" s="95" t="str">
        <f ca="1">SUBSTITUTE(LOWER(_xlfn.XLOOKUP($A2,Строчный!$A:$A,Строчный!J:J,"ERR",0)),"подклад","Подклад")</f>
        <v>100% лен / Подклад: 51% полиэстер - 49% вискоза</v>
      </c>
      <c r="K2" s="95" t="str">
        <f ca="1">LOWER(_xlfn.XLOOKUP($A2,Строчный!$A:$A,Строчный!K:K,"ERR",0))</f>
        <v>льняные</v>
      </c>
      <c r="L2" s="95" t="str">
        <f ca="1">PROPER(_xlfn.XLOOKUP($A2,Строчный!$A:$A,Строчный!L:L,"ERR",0))</f>
        <v>Унисекс</v>
      </c>
      <c r="M2" s="95" t="str">
        <f ca="1">PROPER(_xlfn.XLOOKUP($A2,Строчный!$A:$A,Строчный!N:N,"ERR",0))</f>
        <v>Германия</v>
      </c>
      <c r="N2" s="104">
        <f ca="1">VALUE(_xlfn.XLOOKUP($A2,Строчный!$A:$A,Строчный!O:O,"ERR",0))</f>
        <v>2998.6479999999997</v>
      </c>
      <c r="O2" s="103" t="str">
        <f ca="1">_xlfn.XLOOKUP($A2,Строчный!$A:$A,Строчный!M:M,"ERR",0)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P2" s="94">
        <f ca="1">_xlfn.XLOOKUP(MID(X2,11,2),Размеры!D:D,Размеры!A:A,"ERR",0)</f>
        <v>61</v>
      </c>
      <c r="Q2" s="94">
        <f ca="1">VALUE(_xlfn.XLOOKUP($A2,Строчный!$A:$A,Строчный!R:R,"ERR",0))</f>
        <v>4</v>
      </c>
      <c r="R2" s="14" t="s">
        <v>283</v>
      </c>
      <c r="S2" s="115" t="str">
        <f t="shared" ref="S2:S33" ca="1" si="0">CONCATENATE(Y2," ",G2," арт. ",B2," (",I2,")")</f>
        <v>Кепка STETSON арт. 6813103 8-PANEL CAP LINEN (коричневый)</v>
      </c>
      <c r="T2" s="114" t="str">
        <f t="shared" ref="T2:T33" ca="1" si="1">CONCATENATE(Y2," ",G2," арт. ",B2," (",I2,") {",H2,"}")</f>
        <v>Кепка STETSON арт. 6813103 8-PANEL CAP LINEN (коричневый) {6}</v>
      </c>
      <c r="U2" s="18" t="str">
        <f t="shared" ref="U2:U33" ca="1" si="2">IFERROR(MID(I2,FIND("-",I2)+1,LEN(I2)),IFERROR(MID(I2,1,FIND("/",I2)-2),I2))</f>
        <v>коричневый</v>
      </c>
      <c r="V2" s="18" t="str">
        <f t="shared" ref="V2:V33" ca="1" si="3">IFERROR(MID(I2,FIND("-",I2)+1,LEN(I2)),IFERROR(MID(I2,FIND("/",I2)+2,LEN(I2)),I2))</f>
        <v>коричневый</v>
      </c>
      <c r="W2" s="132" t="str">
        <f t="shared" ref="W2:W33" ca="1" si="4">IFERROR(MID(I2,FIND("-",I2)+1,LEN(I2)),IFERROR(MID(I2,1,FIND("/",I2)-2),I2))</f>
        <v>коричневый</v>
      </c>
      <c r="X2" s="87" t="str">
        <f ca="1"/>
        <v>02-689-14-61</v>
      </c>
      <c r="Y2" s="89" t="str">
        <f ca="1">VLOOKUP(C2,Группа!A:B,2,FALSE)</f>
        <v>Кепка</v>
      </c>
      <c r="Z2" s="111" t="str">
        <f ca="1">IFERROR(VLOOKUP(P2,Размеры!A:C,3,FALSE),"")</f>
        <v>61 XL</v>
      </c>
      <c r="AA2" s="111" t="str">
        <f ca="1">VLOOKUP(I2,ЦветПолный!A:B,2,FALSE)</f>
        <v>14</v>
      </c>
      <c r="AB2" s="111" t="str">
        <f ca="1">IFERROR(VLOOKUP(P2,Размеры!A:D,4,FALSE),"")</f>
        <v>61</v>
      </c>
      <c r="AC2" s="111">
        <f ca="1">IF(LEFT(IFERROR(VLOOKUP(LOOKUP(2,1/SEARCH(B2,Товары!A:A),Товары!A:A),Товары!A:B,2,0),""),6)=MID(X2,1,6),1,0)</f>
        <v>0</v>
      </c>
      <c r="AE2" s="111">
        <f ca="1">SUMIF(Группа!A:A,C2,Группа!C:C)</f>
        <v>1</v>
      </c>
      <c r="AF2" s="111">
        <f ca="1">SUMIF(Группа!B:B,Y2,Группа!C:C)</f>
        <v>1</v>
      </c>
      <c r="AG2" s="111">
        <f ca="1">SUMIF(Формы!A:A,D2,Формы!B:B)</f>
        <v>1</v>
      </c>
      <c r="AH2" s="111">
        <f ca="1">SUMIF(Материал!A:A,K2,Материал!B:B)</f>
        <v>1</v>
      </c>
      <c r="AI2" s="111">
        <f ca="1">SUMIF(Размеры!A:A,P2,Размеры!E:E)</f>
        <v>1</v>
      </c>
      <c r="AJ2" s="111">
        <f ca="1">SUMIF(Сезон!A:A,F2,Сезон!B:B)</f>
        <v>1</v>
      </c>
      <c r="AK2" s="111">
        <f ca="1">SUMIF(Состав!A:A,J2,Состав!B:B)</f>
        <v>0</v>
      </c>
      <c r="AL2" s="111">
        <f ca="1">SUMIF(ЦветПолный!A:A,I2,ЦветПолный!C:C)</f>
        <v>14</v>
      </c>
      <c r="AM2" s="111">
        <f ca="1">SUMIF(Цвет!A:A,W2,Цвет!B:B)</f>
        <v>1</v>
      </c>
      <c r="AN2" s="111">
        <f ca="1">SUMIF(Пол!B:B,L2,Пол!C:C)</f>
        <v>1</v>
      </c>
      <c r="AO2" s="111">
        <f ca="1">SUMIF(Марка!A:A,G2,Марка!B:B)</f>
        <v>1</v>
      </c>
      <c r="AP2" s="111">
        <f ca="1">SUMIF(Страна!A:A,M2,Страна!B:B)</f>
        <v>1</v>
      </c>
      <c r="AQ2" s="77" t="e">
        <f ca="1">IF(VLOOKUP(T2,Товары!A:B,2,FALSE)=A2,"Есть в 1С","ERR")</f>
        <v>#N/A</v>
      </c>
      <c r="AR2" s="78" t="e">
        <f ca="1">IF(VLOOKUP(A2,Товары!B:B,1,FALSE)=A2,"Есть в 1С","ERR")</f>
        <v>#N/A</v>
      </c>
      <c r="AS2" s="110" t="e">
        <f ca="1">VLOOKUP(T2,Товары!A:B,2,FALSE)</f>
        <v>#N/A</v>
      </c>
      <c r="AT2" s="108" t="e">
        <f ca="1">VLOOKUP(T2,Товары!A:B,1,FALSE)</f>
        <v>#N/A</v>
      </c>
    </row>
    <row r="3" spans="1:46" ht="14.45" customHeight="1" x14ac:dyDescent="0.25">
      <c r="A3" s="124" t="str">
        <f t="shared" ref="A3:A64" ca="1" si="5">MID(X3,1,9)</f>
        <v>02-689-14</v>
      </c>
      <c r="B3" s="121" t="str">
        <f ca="1">UPPER(_xlfn.XLOOKUP($A3,Строчный!$A:$A,Строчный!B:B,"ERR",0))</f>
        <v>6813103 8-PANEL CAP LINEN</v>
      </c>
      <c r="C3" s="95" t="str">
        <f ca="1">PROPER(_xlfn.XLOOKUP($A3,Строчный!$A:$A,Строчный!C:C,"ERR",0))</f>
        <v>Кепки</v>
      </c>
      <c r="D3" s="95" t="str">
        <f ca="1">_xlfn.LET(_xlpm.DATA,(_xlfn.XLOOKUP($A3,Строчный!$A:$A,Строчный!D:D,"ERR",0)),UPPER(MID(_xlpm.DATA,1,1))&amp;LOWER(MID(_xlpm.DATA,2,LEN(_xlpm.DATA)-1)))</f>
        <v>Кепка восьмиклинка</v>
      </c>
      <c r="E3" s="95" t="str">
        <f ca="1">PROPER(_xlfn.XLOOKUP($A3,Строчный!$A:$A,Строчный!E:E,"ERR",0))</f>
        <v>Stetson</v>
      </c>
      <c r="F3" s="95" t="str">
        <f ca="1">LOWER(_xlfn.XLOOKUP($A3,Строчный!$A:$A,Строчный!F:F,"ERR",0))</f>
        <v>летний</v>
      </c>
      <c r="G3" s="95" t="str">
        <f ca="1">UPPER(_xlfn.XLOOKUP($A3,Строчный!$A:$A,Строчный!G:G,"ERR",0))</f>
        <v>STETSON</v>
      </c>
      <c r="H3" s="95" t="str">
        <f ca="1">LOWER(_xlfn.XLOOKUP($A3,Строчный!$A:$A,Строчный!H:H,"ERR",0))</f>
        <v>6</v>
      </c>
      <c r="I3" s="95" t="str">
        <f ca="1">LOWER(_xlfn.XLOOKUP($A3,Строчный!$A:$A,Строчный!I:I,"ERR",0))</f>
        <v>коричневый</v>
      </c>
      <c r="J3" s="95" t="str">
        <f ca="1">SUBSTITUTE(LOWER(_xlfn.XLOOKUP($A3,Строчный!$A:$A,Строчный!J:J,"ERR",0)),"подклад","Подклад")</f>
        <v>100% лен / Подклад: 51% полиэстер - 49% вискоза</v>
      </c>
      <c r="K3" s="95" t="str">
        <f ca="1">LOWER(_xlfn.XLOOKUP($A3,Строчный!$A:$A,Строчный!K:K,"ERR",0))</f>
        <v>льняные</v>
      </c>
      <c r="L3" s="95" t="str">
        <f ca="1">PROPER(_xlfn.XLOOKUP($A3,Строчный!$A:$A,Строчный!L:L,"ERR",0))</f>
        <v>Унисекс</v>
      </c>
      <c r="M3" s="95" t="str">
        <f ca="1">PROPER(_xlfn.XLOOKUP($A3,Строчный!$A:$A,Строчный!N:N,"ERR",0))</f>
        <v>Германия</v>
      </c>
      <c r="N3" s="104">
        <f ca="1">VALUE(_xlfn.XLOOKUP($A3,Строчный!$A:$A,Строчный!O:O,"ERR",0))</f>
        <v>2998.6479999999997</v>
      </c>
      <c r="O3" s="103" t="str">
        <f ca="1">_xlfn.XLOOKUP($A3,Строчный!$A:$A,Строчный!M:M,"ERR",0)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P3" s="94">
        <f ca="1">_xlfn.XLOOKUP(MID(X3,11,2),Размеры!D:D,Размеры!A:A,"ERR",0)</f>
        <v>59</v>
      </c>
      <c r="Q3" s="94">
        <f ca="1">VALUE(_xlfn.XLOOKUP($A3,Строчный!$A:$A,Строчный!R:R,"ERR",0))</f>
        <v>4</v>
      </c>
      <c r="R3" s="14" t="s">
        <v>283</v>
      </c>
      <c r="S3" s="115" t="str">
        <f t="shared" ca="1" si="0"/>
        <v>Кепка STETSON арт. 6813103 8-PANEL CAP LINEN (коричневый)</v>
      </c>
      <c r="T3" s="114" t="str">
        <f t="shared" ca="1" si="1"/>
        <v>Кепка STETSON арт. 6813103 8-PANEL CAP LINEN (коричневый) {6}</v>
      </c>
      <c r="U3" s="18" t="str">
        <f t="shared" ca="1" si="2"/>
        <v>коричневый</v>
      </c>
      <c r="V3" s="18" t="str">
        <f t="shared" ca="1" si="3"/>
        <v>коричневый</v>
      </c>
      <c r="W3" s="132" t="str">
        <f t="shared" ca="1" si="4"/>
        <v>коричневый</v>
      </c>
      <c r="X3" s="87" t="str">
        <f ca="1"/>
        <v>02-689-14-59</v>
      </c>
      <c r="Y3" s="89" t="str">
        <f ca="1">VLOOKUP(C3,Группа!A:B,2,FALSE)</f>
        <v>Кепка</v>
      </c>
      <c r="Z3" s="111" t="str">
        <f ca="1">IFERROR(VLOOKUP(P3,Размеры!A:C,3,FALSE),"")</f>
        <v>59 L</v>
      </c>
      <c r="AA3" s="111" t="str">
        <f ca="1">VLOOKUP(I3,ЦветПолный!A:B,2,FALSE)</f>
        <v>14</v>
      </c>
      <c r="AB3" s="111" t="str">
        <f ca="1">IFERROR(VLOOKUP(P3,Размеры!A:D,4,FALSE),"")</f>
        <v>59</v>
      </c>
      <c r="AC3" s="111">
        <f ca="1">IF(LEFT(IFERROR(VLOOKUP(LOOKUP(2,1/SEARCH(B3,Товары!A:A),Товары!A:A),Товары!A:B,2,0),""),6)=MID(X3,1,6),1,0)</f>
        <v>0</v>
      </c>
      <c r="AE3" s="111">
        <f ca="1">SUMIF(Группа!A:A,C3,Группа!C:C)</f>
        <v>1</v>
      </c>
      <c r="AF3" s="111">
        <f ca="1">SUMIF(Группа!B:B,Y3,Группа!C:C)</f>
        <v>1</v>
      </c>
      <c r="AG3" s="111">
        <f ca="1">SUMIF(Формы!A:A,D3,Формы!B:B)</f>
        <v>1</v>
      </c>
      <c r="AH3" s="111">
        <f ca="1">SUMIF(Материал!A:A,K3,Материал!B:B)</f>
        <v>1</v>
      </c>
      <c r="AI3" s="111">
        <f ca="1">SUMIF(Размеры!A:A,P3,Размеры!E:E)</f>
        <v>1</v>
      </c>
      <c r="AJ3" s="111">
        <f ca="1">SUMIF(Сезон!A:A,F3,Сезон!B:B)</f>
        <v>1</v>
      </c>
      <c r="AK3" s="111">
        <f ca="1">SUMIF(Состав!A:A,J3,Состав!B:B)</f>
        <v>0</v>
      </c>
      <c r="AL3" s="111">
        <f ca="1">SUMIF(ЦветПолный!A:A,I3,ЦветПолный!C:C)</f>
        <v>14</v>
      </c>
      <c r="AM3" s="111">
        <f ca="1">SUMIF(Цвет!A:A,W3,Цвет!B:B)</f>
        <v>1</v>
      </c>
      <c r="AN3" s="111">
        <f ca="1">SUMIF(Пол!B:B,L3,Пол!C:C)</f>
        <v>1</v>
      </c>
      <c r="AO3" s="111">
        <f ca="1">SUMIF(Марка!A:A,G3,Марка!B:B)</f>
        <v>1</v>
      </c>
      <c r="AP3" s="111">
        <f ca="1">SUMIF(Страна!A:A,M3,Страна!B:B)</f>
        <v>1</v>
      </c>
      <c r="AQ3" s="77" t="e">
        <f ca="1">IF(VLOOKUP(T3,Товары!A:B,2,FALSE)=A3,"Есть в 1С","ERR")</f>
        <v>#N/A</v>
      </c>
      <c r="AR3" s="78" t="e">
        <f ca="1">IF(VLOOKUP(A3,Товары!B:B,1,FALSE)=A3,"Есть в 1С","ERR")</f>
        <v>#N/A</v>
      </c>
      <c r="AS3" s="110" t="e">
        <f ca="1">VLOOKUP(T3,Товары!A:B,2,FALSE)</f>
        <v>#N/A</v>
      </c>
      <c r="AT3" s="108" t="e">
        <f ca="1">VLOOKUP(T3,Товары!A:B,1,FALSE)</f>
        <v>#N/A</v>
      </c>
    </row>
    <row r="4" spans="1:46" ht="14.45" customHeight="1" x14ac:dyDescent="0.25">
      <c r="A4" s="124" t="str">
        <f t="shared" ca="1" si="5"/>
        <v>02-689-14</v>
      </c>
      <c r="B4" s="121" t="str">
        <f ca="1">UPPER(_xlfn.XLOOKUP($A4,Строчный!$A:$A,Строчный!B:B,"ERR",0))</f>
        <v>6813103 8-PANEL CAP LINEN</v>
      </c>
      <c r="C4" s="95" t="str">
        <f ca="1">PROPER(_xlfn.XLOOKUP($A4,Строчный!$A:$A,Строчный!C:C,"ERR",0))</f>
        <v>Кепки</v>
      </c>
      <c r="D4" s="95" t="str">
        <f ca="1">_xlfn.LET(_xlpm.DATA,(_xlfn.XLOOKUP($A4,Строчный!$A:$A,Строчный!D:D,"ERR",0)),UPPER(MID(_xlpm.DATA,1,1))&amp;LOWER(MID(_xlpm.DATA,2,LEN(_xlpm.DATA)-1)))</f>
        <v>Кепка восьмиклинка</v>
      </c>
      <c r="E4" s="95" t="str">
        <f ca="1">PROPER(_xlfn.XLOOKUP($A4,Строчный!$A:$A,Строчный!E:E,"ERR",0))</f>
        <v>Stetson</v>
      </c>
      <c r="F4" s="95" t="str">
        <f ca="1">LOWER(_xlfn.XLOOKUP($A4,Строчный!$A:$A,Строчный!F:F,"ERR",0))</f>
        <v>летний</v>
      </c>
      <c r="G4" s="95" t="str">
        <f ca="1">UPPER(_xlfn.XLOOKUP($A4,Строчный!$A:$A,Строчный!G:G,"ERR",0))</f>
        <v>STETSON</v>
      </c>
      <c r="H4" s="95" t="str">
        <f ca="1">LOWER(_xlfn.XLOOKUP($A4,Строчный!$A:$A,Строчный!H:H,"ERR",0))</f>
        <v>6</v>
      </c>
      <c r="I4" s="95" t="str">
        <f ca="1">LOWER(_xlfn.XLOOKUP($A4,Строчный!$A:$A,Строчный!I:I,"ERR",0))</f>
        <v>коричневый</v>
      </c>
      <c r="J4" s="95" t="str">
        <f ca="1">SUBSTITUTE(LOWER(_xlfn.XLOOKUP($A4,Строчный!$A:$A,Строчный!J:J,"ERR",0)),"подклад","Подклад")</f>
        <v>100% лен / Подклад: 51% полиэстер - 49% вискоза</v>
      </c>
      <c r="K4" s="95" t="str">
        <f ca="1">LOWER(_xlfn.XLOOKUP($A4,Строчный!$A:$A,Строчный!K:K,"ERR",0))</f>
        <v>льняные</v>
      </c>
      <c r="L4" s="95" t="str">
        <f ca="1">PROPER(_xlfn.XLOOKUP($A4,Строчный!$A:$A,Строчный!L:L,"ERR",0))</f>
        <v>Унисекс</v>
      </c>
      <c r="M4" s="95" t="str">
        <f ca="1">PROPER(_xlfn.XLOOKUP($A4,Строчный!$A:$A,Строчный!N:N,"ERR",0))</f>
        <v>Германия</v>
      </c>
      <c r="N4" s="104">
        <f ca="1">VALUE(_xlfn.XLOOKUP($A4,Строчный!$A:$A,Строчный!O:O,"ERR",0))</f>
        <v>2998.6479999999997</v>
      </c>
      <c r="O4" s="103" t="str">
        <f ca="1">_xlfn.XLOOKUP($A4,Строчный!$A:$A,Строчный!M:M,"ERR",0)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P4" s="94">
        <f ca="1">_xlfn.XLOOKUP(MID(X4,11,2),Размеры!D:D,Размеры!A:A,"ERR",0)</f>
        <v>57</v>
      </c>
      <c r="Q4" s="94">
        <f ca="1">VALUE(_xlfn.XLOOKUP($A4,Строчный!$A:$A,Строчный!R:R,"ERR",0))</f>
        <v>4</v>
      </c>
      <c r="R4" s="14" t="s">
        <v>283</v>
      </c>
      <c r="S4" s="115" t="str">
        <f t="shared" ca="1" si="0"/>
        <v>Кепка STETSON арт. 6813103 8-PANEL CAP LINEN (коричневый)</v>
      </c>
      <c r="T4" s="114" t="str">
        <f t="shared" ca="1" si="1"/>
        <v>Кепка STETSON арт. 6813103 8-PANEL CAP LINEN (коричневый) {6}</v>
      </c>
      <c r="U4" s="18" t="str">
        <f t="shared" ca="1" si="2"/>
        <v>коричневый</v>
      </c>
      <c r="V4" s="18" t="str">
        <f t="shared" ca="1" si="3"/>
        <v>коричневый</v>
      </c>
      <c r="W4" s="132" t="str">
        <f t="shared" ca="1" si="4"/>
        <v>коричневый</v>
      </c>
      <c r="X4" s="87" t="str">
        <f ca="1"/>
        <v>02-689-14-57</v>
      </c>
      <c r="Y4" s="89" t="str">
        <f ca="1">VLOOKUP(C4,Группа!A:B,2,FALSE)</f>
        <v>Кепка</v>
      </c>
      <c r="Z4" s="111" t="str">
        <f ca="1">IFERROR(VLOOKUP(P4,Размеры!A:C,3,FALSE),"")</f>
        <v>57 M</v>
      </c>
      <c r="AA4" s="111" t="str">
        <f ca="1">VLOOKUP(I4,ЦветПолный!A:B,2,FALSE)</f>
        <v>14</v>
      </c>
      <c r="AB4" s="111" t="str">
        <f ca="1">IFERROR(VLOOKUP(P4,Размеры!A:D,4,FALSE),"")</f>
        <v>57</v>
      </c>
      <c r="AC4" s="111">
        <f ca="1">IF(LEFT(IFERROR(VLOOKUP(LOOKUP(2,1/SEARCH(B4,Товары!A:A),Товары!A:A),Товары!A:B,2,0),""),6)=MID(X4,1,6),1,0)</f>
        <v>0</v>
      </c>
      <c r="AE4" s="111">
        <f ca="1">SUMIF(Группа!A:A,C4,Группа!C:C)</f>
        <v>1</v>
      </c>
      <c r="AF4" s="111">
        <f ca="1">SUMIF(Группа!B:B,Y4,Группа!C:C)</f>
        <v>1</v>
      </c>
      <c r="AG4" s="111">
        <f ca="1">SUMIF(Формы!A:A,D4,Формы!B:B)</f>
        <v>1</v>
      </c>
      <c r="AH4" s="111">
        <f ca="1">SUMIF(Материал!A:A,K4,Материал!B:B)</f>
        <v>1</v>
      </c>
      <c r="AI4" s="111">
        <f ca="1">SUMIF(Размеры!A:A,P4,Размеры!E:E)</f>
        <v>1</v>
      </c>
      <c r="AJ4" s="111">
        <f ca="1">SUMIF(Сезон!A:A,F4,Сезон!B:B)</f>
        <v>1</v>
      </c>
      <c r="AK4" s="111">
        <f ca="1">SUMIF(Состав!A:A,J4,Состав!B:B)</f>
        <v>0</v>
      </c>
      <c r="AL4" s="111">
        <f ca="1">SUMIF(ЦветПолный!A:A,I4,ЦветПолный!C:C)</f>
        <v>14</v>
      </c>
      <c r="AM4" s="111">
        <f ca="1">SUMIF(Цвет!A:A,W4,Цвет!B:B)</f>
        <v>1</v>
      </c>
      <c r="AN4" s="111">
        <f ca="1">SUMIF(Пол!B:B,L4,Пол!C:C)</f>
        <v>1</v>
      </c>
      <c r="AO4" s="111">
        <f ca="1">SUMIF(Марка!A:A,G4,Марка!B:B)</f>
        <v>1</v>
      </c>
      <c r="AP4" s="111">
        <f ca="1">SUMIF(Страна!A:A,M4,Страна!B:B)</f>
        <v>1</v>
      </c>
      <c r="AQ4" s="77" t="e">
        <f ca="1">IF(VLOOKUP(T4,Товары!A:B,2,FALSE)=A4,"Есть в 1С","ERR")</f>
        <v>#N/A</v>
      </c>
      <c r="AR4" s="78" t="e">
        <f ca="1">IF(VLOOKUP(A4,Товары!B:B,1,FALSE)=A4,"Есть в 1С","ERR")</f>
        <v>#N/A</v>
      </c>
      <c r="AS4" s="110" t="e">
        <f ca="1">VLOOKUP(T4,Товары!A:B,2,FALSE)</f>
        <v>#N/A</v>
      </c>
      <c r="AT4" s="108" t="e">
        <f ca="1">VLOOKUP(T4,Товары!A:B,1,FALSE)</f>
        <v>#N/A</v>
      </c>
    </row>
    <row r="5" spans="1:46" ht="14.45" customHeight="1" x14ac:dyDescent="0.25">
      <c r="A5" s="124" t="str">
        <f t="shared" ca="1" si="5"/>
        <v>02-686-06</v>
      </c>
      <c r="B5" s="121" t="str">
        <f ca="1">UPPER(_xlfn.XLOOKUP($A5,Строчный!$A:$A,Строчный!B:B,"ERR",0))</f>
        <v>6843116 HATTERAS LINEN</v>
      </c>
      <c r="C5" s="95" t="str">
        <f ca="1">PROPER(_xlfn.XLOOKUP($A5,Строчный!$A:$A,Строчный!C:C,"ERR",0))</f>
        <v>Кепки</v>
      </c>
      <c r="D5" s="95" t="str">
        <f ca="1">_xlfn.LET(_xlpm.DATA,(_xlfn.XLOOKUP($A5,Строчный!$A:$A,Строчный!D:D,"ERR",0)),UPPER(MID(_xlpm.DATA,1,1))&amp;LOWER(MID(_xlpm.DATA,2,LEN(_xlpm.DATA)-1)))</f>
        <v>Кепка восьмиклинка</v>
      </c>
      <c r="E5" s="95" t="str">
        <f ca="1">PROPER(_xlfn.XLOOKUP($A5,Строчный!$A:$A,Строчный!E:E,"ERR",0))</f>
        <v>Stetson</v>
      </c>
      <c r="F5" s="95" t="str">
        <f ca="1">LOWER(_xlfn.XLOOKUP($A5,Строчный!$A:$A,Строчный!F:F,"ERR",0))</f>
        <v>летний</v>
      </c>
      <c r="G5" s="95" t="str">
        <f ca="1">UPPER(_xlfn.XLOOKUP($A5,Строчный!$A:$A,Строчный!G:G,"ERR",0))</f>
        <v>STETSON</v>
      </c>
      <c r="H5" s="95" t="str">
        <f ca="1">LOWER(_xlfn.XLOOKUP($A5,Строчный!$A:$A,Строчный!H:H,"ERR",0))</f>
        <v>2</v>
      </c>
      <c r="I5" s="95" t="str">
        <f ca="1">LOWER(_xlfn.XLOOKUP($A5,Строчный!$A:$A,Строчный!I:I,"ERR",0))</f>
        <v>синий</v>
      </c>
      <c r="J5" s="95" t="str">
        <f ca="1">SUBSTITUTE(LOWER(_xlfn.XLOOKUP($A5,Строчный!$A:$A,Строчный!J:J,"ERR",0)),"подклад","Подклад")</f>
        <v>100% лен / Подклад: 68% хлопок - 32% полиэстер</v>
      </c>
      <c r="K5" s="95" t="str">
        <f ca="1">LOWER(_xlfn.XLOOKUP($A5,Строчный!$A:$A,Строчный!K:K,"ERR",0))</f>
        <v>льняные</v>
      </c>
      <c r="L5" s="95" t="str">
        <f ca="1">PROPER(_xlfn.XLOOKUP($A5,Строчный!$A:$A,Строчный!L:L,"ERR",0))</f>
        <v>Унисекс</v>
      </c>
      <c r="M5" s="95" t="str">
        <f ca="1">PROPER(_xlfn.XLOOKUP($A5,Строчный!$A:$A,Строчный!N:N,"ERR",0))</f>
        <v>Болгария</v>
      </c>
      <c r="N5" s="104">
        <f ca="1">VALUE(_xlfn.XLOOKUP($A5,Строчный!$A:$A,Строчный!O:O,"ERR",0))</f>
        <v>2365.6880000000001</v>
      </c>
      <c r="O5" s="103" t="str">
        <f ca="1">_xlfn.XLOOKUP($A5,Строчный!$A:$A,Строчный!M:M,"ERR",0)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5" s="94">
        <f ca="1">_xlfn.XLOOKUP(MID(X5,11,2),Размеры!D:D,Размеры!A:A,"ERR",0)</f>
        <v>61</v>
      </c>
      <c r="Q5" s="94">
        <f ca="1">VALUE(_xlfn.XLOOKUP($A5,Строчный!$A:$A,Строчный!R:R,"ERR",0))</f>
        <v>1</v>
      </c>
      <c r="R5" s="14" t="s">
        <v>283</v>
      </c>
      <c r="S5" s="115" t="str">
        <f t="shared" ca="1" si="0"/>
        <v>Кепка STETSON арт. 6843116 HATTERAS LINEN (синий)</v>
      </c>
      <c r="T5" s="114" t="str">
        <f t="shared" ca="1" si="1"/>
        <v>Кепка STETSON арт. 6843116 HATTERAS LINEN (синий) {2}</v>
      </c>
      <c r="U5" s="18" t="str">
        <f t="shared" ca="1" si="2"/>
        <v>синий</v>
      </c>
      <c r="V5" s="18" t="str">
        <f t="shared" ca="1" si="3"/>
        <v>синий</v>
      </c>
      <c r="W5" s="132" t="str">
        <f t="shared" ca="1" si="4"/>
        <v>синий</v>
      </c>
      <c r="X5" s="87" t="str">
        <f ca="1"/>
        <v>02-686-06-61</v>
      </c>
      <c r="Y5" s="89" t="str">
        <f ca="1">VLOOKUP(C5,Группа!A:B,2,FALSE)</f>
        <v>Кепка</v>
      </c>
      <c r="Z5" s="111" t="str">
        <f ca="1">IFERROR(VLOOKUP(P5,Размеры!A:C,3,FALSE),"")</f>
        <v>61 XL</v>
      </c>
      <c r="AA5" s="111" t="str">
        <f ca="1">VLOOKUP(I5,ЦветПолный!A:B,2,FALSE)</f>
        <v>06</v>
      </c>
      <c r="AB5" s="111" t="str">
        <f ca="1">IFERROR(VLOOKUP(P5,Размеры!A:D,4,FALSE),"")</f>
        <v>61</v>
      </c>
      <c r="AC5" s="111">
        <f ca="1">IF(LEFT(IFERROR(VLOOKUP(LOOKUP(2,1/SEARCH(B5,Товары!A:A),Товары!A:A),Товары!A:B,2,0),""),6)=MID(X5,1,6),1,0)</f>
        <v>0</v>
      </c>
      <c r="AE5" s="111">
        <f ca="1">SUMIF(Группа!A:A,C5,Группа!C:C)</f>
        <v>1</v>
      </c>
      <c r="AF5" s="111">
        <f ca="1">SUMIF(Группа!B:B,Y5,Группа!C:C)</f>
        <v>1</v>
      </c>
      <c r="AG5" s="111">
        <f ca="1">SUMIF(Формы!A:A,D5,Формы!B:B)</f>
        <v>1</v>
      </c>
      <c r="AH5" s="111">
        <f ca="1">SUMIF(Материал!A:A,K5,Материал!B:B)</f>
        <v>1</v>
      </c>
      <c r="AI5" s="111">
        <f ca="1">SUMIF(Размеры!A:A,P5,Размеры!E:E)</f>
        <v>1</v>
      </c>
      <c r="AJ5" s="111">
        <f ca="1">SUMIF(Сезон!A:A,F5,Сезон!B:B)</f>
        <v>1</v>
      </c>
      <c r="AK5" s="111">
        <f ca="1">SUMIF(Состав!A:A,J5,Состав!B:B)</f>
        <v>0</v>
      </c>
      <c r="AL5" s="111">
        <f ca="1">SUMIF(ЦветПолный!A:A,I5,ЦветПолный!C:C)</f>
        <v>8</v>
      </c>
      <c r="AM5" s="111">
        <f ca="1">SUMIF(Цвет!A:A,W5,Цвет!B:B)</f>
        <v>1</v>
      </c>
      <c r="AN5" s="111">
        <f ca="1">SUMIF(Пол!B:B,L5,Пол!C:C)</f>
        <v>1</v>
      </c>
      <c r="AO5" s="111">
        <f ca="1">SUMIF(Марка!A:A,G5,Марка!B:B)</f>
        <v>1</v>
      </c>
      <c r="AP5" s="111">
        <f ca="1">SUMIF(Страна!A:A,M5,Страна!B:B)</f>
        <v>1</v>
      </c>
      <c r="AQ5" s="77" t="e">
        <f ca="1">IF(VLOOKUP(T5,Товары!A:B,2,FALSE)=A5,"Есть в 1С","ERR")</f>
        <v>#N/A</v>
      </c>
      <c r="AR5" s="78" t="e">
        <f ca="1">IF(VLOOKUP(A5,Товары!B:B,1,FALSE)=A5,"Есть в 1С","ERR")</f>
        <v>#N/A</v>
      </c>
      <c r="AS5" s="110" t="e">
        <f ca="1">VLOOKUP(T5,Товары!A:B,2,FALSE)</f>
        <v>#N/A</v>
      </c>
      <c r="AT5" s="108" t="e">
        <f ca="1">VLOOKUP(T5,Товары!A:B,1,FALSE)</f>
        <v>#N/A</v>
      </c>
    </row>
    <row r="6" spans="1:46" x14ac:dyDescent="0.25">
      <c r="A6" s="124" t="str">
        <f t="shared" ca="1" si="5"/>
        <v>02-686-06</v>
      </c>
      <c r="B6" s="121" t="str">
        <f ca="1">UPPER(_xlfn.XLOOKUP($A6,Строчный!$A:$A,Строчный!B:B,"ERR",0))</f>
        <v>6843116 HATTERAS LINEN</v>
      </c>
      <c r="C6" s="95" t="str">
        <f ca="1">PROPER(_xlfn.XLOOKUP($A6,Строчный!$A:$A,Строчный!C:C,"ERR",0))</f>
        <v>Кепки</v>
      </c>
      <c r="D6" s="95" t="str">
        <f ca="1">_xlfn.LET(_xlpm.DATA,(_xlfn.XLOOKUP($A6,Строчный!$A:$A,Строчный!D:D,"ERR",0)),UPPER(MID(_xlpm.DATA,1,1))&amp;LOWER(MID(_xlpm.DATA,2,LEN(_xlpm.DATA)-1)))</f>
        <v>Кепка восьмиклинка</v>
      </c>
      <c r="E6" s="95" t="str">
        <f ca="1">PROPER(_xlfn.XLOOKUP($A6,Строчный!$A:$A,Строчный!E:E,"ERR",0))</f>
        <v>Stetson</v>
      </c>
      <c r="F6" s="95" t="str">
        <f ca="1">LOWER(_xlfn.XLOOKUP($A6,Строчный!$A:$A,Строчный!F:F,"ERR",0))</f>
        <v>летний</v>
      </c>
      <c r="G6" s="95" t="str">
        <f ca="1">UPPER(_xlfn.XLOOKUP($A6,Строчный!$A:$A,Строчный!G:G,"ERR",0))</f>
        <v>STETSON</v>
      </c>
      <c r="H6" s="95" t="str">
        <f ca="1">LOWER(_xlfn.XLOOKUP($A6,Строчный!$A:$A,Строчный!H:H,"ERR",0))</f>
        <v>2</v>
      </c>
      <c r="I6" s="95" t="str">
        <f ca="1">LOWER(_xlfn.XLOOKUP($A6,Строчный!$A:$A,Строчный!I:I,"ERR",0))</f>
        <v>синий</v>
      </c>
      <c r="J6" s="95" t="str">
        <f ca="1">SUBSTITUTE(LOWER(_xlfn.XLOOKUP($A6,Строчный!$A:$A,Строчный!J:J,"ERR",0)),"подклад","Подклад")</f>
        <v>100% лен / Подклад: 68% хлопок - 32% полиэстер</v>
      </c>
      <c r="K6" s="95" t="str">
        <f ca="1">LOWER(_xlfn.XLOOKUP($A6,Строчный!$A:$A,Строчный!K:K,"ERR",0))</f>
        <v>льняные</v>
      </c>
      <c r="L6" s="95" t="str">
        <f ca="1">PROPER(_xlfn.XLOOKUP($A6,Строчный!$A:$A,Строчный!L:L,"ERR",0))</f>
        <v>Унисекс</v>
      </c>
      <c r="M6" s="95" t="str">
        <f ca="1">PROPER(_xlfn.XLOOKUP($A6,Строчный!$A:$A,Строчный!N:N,"ERR",0))</f>
        <v>Болгария</v>
      </c>
      <c r="N6" s="104">
        <f ca="1">VALUE(_xlfn.XLOOKUP($A6,Строчный!$A:$A,Строчный!O:O,"ERR",0))</f>
        <v>2365.6880000000001</v>
      </c>
      <c r="O6" s="103" t="str">
        <f ca="1">_xlfn.XLOOKUP($A6,Строчный!$A:$A,Строчный!M:M,"ERR",0)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6" s="94">
        <f ca="1">_xlfn.XLOOKUP(MID(X6,11,2),Размеры!D:D,Размеры!A:A,"ERR",0)</f>
        <v>59</v>
      </c>
      <c r="Q6" s="94">
        <f ca="1">VALUE(_xlfn.XLOOKUP($A6,Строчный!$A:$A,Строчный!R:R,"ERR",0))</f>
        <v>1</v>
      </c>
      <c r="R6" s="14" t="s">
        <v>283</v>
      </c>
      <c r="S6" s="115" t="str">
        <f t="shared" ca="1" si="0"/>
        <v>Кепка STETSON арт. 6843116 HATTERAS LINEN (синий)</v>
      </c>
      <c r="T6" s="114" t="str">
        <f t="shared" ca="1" si="1"/>
        <v>Кепка STETSON арт. 6843116 HATTERAS LINEN (синий) {2}</v>
      </c>
      <c r="U6" s="18" t="str">
        <f t="shared" ca="1" si="2"/>
        <v>синий</v>
      </c>
      <c r="V6" s="18" t="str">
        <f t="shared" ca="1" si="3"/>
        <v>синий</v>
      </c>
      <c r="W6" s="132" t="str">
        <f t="shared" ca="1" si="4"/>
        <v>синий</v>
      </c>
      <c r="X6" s="87" t="str">
        <f ca="1"/>
        <v>02-686-06-59</v>
      </c>
      <c r="Y6" s="89" t="str">
        <f ca="1">VLOOKUP(C6,Группа!A:B,2,FALSE)</f>
        <v>Кепка</v>
      </c>
      <c r="Z6" s="111" t="str">
        <f ca="1">IFERROR(VLOOKUP(P6,Размеры!A:C,3,FALSE),"")</f>
        <v>59 L</v>
      </c>
      <c r="AA6" s="111" t="str">
        <f ca="1">VLOOKUP(I6,ЦветПолный!A:B,2,FALSE)</f>
        <v>06</v>
      </c>
      <c r="AB6" s="111" t="str">
        <f ca="1">IFERROR(VLOOKUP(P6,Размеры!A:D,4,FALSE),"")</f>
        <v>59</v>
      </c>
      <c r="AC6" s="111">
        <f ca="1">IF(LEFT(IFERROR(VLOOKUP(LOOKUP(2,1/SEARCH(B6,Товары!A:A),Товары!A:A),Товары!A:B,2,0),""),6)=MID(X6,1,6),1,0)</f>
        <v>0</v>
      </c>
      <c r="AE6" s="111">
        <f ca="1">SUMIF(Группа!A:A,C6,Группа!C:C)</f>
        <v>1</v>
      </c>
      <c r="AF6" s="111">
        <f ca="1">SUMIF(Группа!B:B,Y6,Группа!C:C)</f>
        <v>1</v>
      </c>
      <c r="AG6" s="111">
        <f ca="1">SUMIF(Формы!A:A,D6,Формы!B:B)</f>
        <v>1</v>
      </c>
      <c r="AH6" s="111">
        <f ca="1">SUMIF(Материал!A:A,K6,Материал!B:B)</f>
        <v>1</v>
      </c>
      <c r="AI6" s="111">
        <f ca="1">SUMIF(Размеры!A:A,P6,Размеры!E:E)</f>
        <v>1</v>
      </c>
      <c r="AJ6" s="111">
        <f ca="1">SUMIF(Сезон!A:A,F6,Сезон!B:B)</f>
        <v>1</v>
      </c>
      <c r="AK6" s="111">
        <f ca="1">SUMIF(Состав!A:A,J6,Состав!B:B)</f>
        <v>0</v>
      </c>
      <c r="AL6" s="111">
        <f ca="1">SUMIF(ЦветПолный!A:A,I6,ЦветПолный!C:C)</f>
        <v>8</v>
      </c>
      <c r="AM6" s="111">
        <f ca="1">SUMIF(Цвет!A:A,W6,Цвет!B:B)</f>
        <v>1</v>
      </c>
      <c r="AN6" s="111">
        <f ca="1">SUMIF(Пол!B:B,L6,Пол!C:C)</f>
        <v>1</v>
      </c>
      <c r="AO6" s="111">
        <f ca="1">SUMIF(Марка!A:A,G6,Марка!B:B)</f>
        <v>1</v>
      </c>
      <c r="AP6" s="111">
        <f ca="1">SUMIF(Страна!A:A,M6,Страна!B:B)</f>
        <v>1</v>
      </c>
      <c r="AQ6" s="77" t="e">
        <f ca="1">IF(VLOOKUP(T6,Товары!A:B,2,FALSE)=A6,"Есть в 1С","ERR")</f>
        <v>#N/A</v>
      </c>
      <c r="AR6" s="78" t="e">
        <f ca="1">IF(VLOOKUP(A6,Товары!B:B,1,FALSE)=A6,"Есть в 1С","ERR")</f>
        <v>#N/A</v>
      </c>
      <c r="AS6" s="110" t="e">
        <f ca="1">VLOOKUP(T6,Товары!A:B,2,FALSE)</f>
        <v>#N/A</v>
      </c>
      <c r="AT6" s="108" t="e">
        <f ca="1">VLOOKUP(T6,Товары!A:B,1,FALSE)</f>
        <v>#N/A</v>
      </c>
    </row>
    <row r="7" spans="1:46" ht="14.45" customHeight="1" x14ac:dyDescent="0.25">
      <c r="A7" s="124" t="str">
        <f t="shared" ca="1" si="5"/>
        <v>02-686-06</v>
      </c>
      <c r="B7" s="121" t="str">
        <f ca="1">UPPER(_xlfn.XLOOKUP($A7,Строчный!$A:$A,Строчный!B:B,"ERR",0))</f>
        <v>6843116 HATTERAS LINEN</v>
      </c>
      <c r="C7" s="95" t="str">
        <f ca="1">PROPER(_xlfn.XLOOKUP($A7,Строчный!$A:$A,Строчный!C:C,"ERR",0))</f>
        <v>Кепки</v>
      </c>
      <c r="D7" s="95" t="str">
        <f ca="1">_xlfn.LET(_xlpm.DATA,(_xlfn.XLOOKUP($A7,Строчный!$A:$A,Строчный!D:D,"ERR",0)),UPPER(MID(_xlpm.DATA,1,1))&amp;LOWER(MID(_xlpm.DATA,2,LEN(_xlpm.DATA)-1)))</f>
        <v>Кепка восьмиклинка</v>
      </c>
      <c r="E7" s="95" t="str">
        <f ca="1">PROPER(_xlfn.XLOOKUP($A7,Строчный!$A:$A,Строчный!E:E,"ERR",0))</f>
        <v>Stetson</v>
      </c>
      <c r="F7" s="95" t="str">
        <f ca="1">LOWER(_xlfn.XLOOKUP($A7,Строчный!$A:$A,Строчный!F:F,"ERR",0))</f>
        <v>летний</v>
      </c>
      <c r="G7" s="95" t="str">
        <f ca="1">UPPER(_xlfn.XLOOKUP($A7,Строчный!$A:$A,Строчный!G:G,"ERR",0))</f>
        <v>STETSON</v>
      </c>
      <c r="H7" s="95" t="str">
        <f ca="1">LOWER(_xlfn.XLOOKUP($A7,Строчный!$A:$A,Строчный!H:H,"ERR",0))</f>
        <v>2</v>
      </c>
      <c r="I7" s="95" t="str">
        <f ca="1">LOWER(_xlfn.XLOOKUP($A7,Строчный!$A:$A,Строчный!I:I,"ERR",0))</f>
        <v>синий</v>
      </c>
      <c r="J7" s="95" t="str">
        <f ca="1">SUBSTITUTE(LOWER(_xlfn.XLOOKUP($A7,Строчный!$A:$A,Строчный!J:J,"ERR",0)),"подклад","Подклад")</f>
        <v>100% лен / Подклад: 68% хлопок - 32% полиэстер</v>
      </c>
      <c r="K7" s="95" t="str">
        <f ca="1">LOWER(_xlfn.XLOOKUP($A7,Строчный!$A:$A,Строчный!K:K,"ERR",0))</f>
        <v>льняные</v>
      </c>
      <c r="L7" s="95" t="str">
        <f ca="1">PROPER(_xlfn.XLOOKUP($A7,Строчный!$A:$A,Строчный!L:L,"ERR",0))</f>
        <v>Унисекс</v>
      </c>
      <c r="M7" s="95" t="str">
        <f ca="1">PROPER(_xlfn.XLOOKUP($A7,Строчный!$A:$A,Строчный!N:N,"ERR",0))</f>
        <v>Болгария</v>
      </c>
      <c r="N7" s="104">
        <f ca="1">VALUE(_xlfn.XLOOKUP($A7,Строчный!$A:$A,Строчный!O:O,"ERR",0))</f>
        <v>2365.6880000000001</v>
      </c>
      <c r="O7" s="103" t="str">
        <f ca="1">_xlfn.XLOOKUP($A7,Строчный!$A:$A,Строчный!M:M,"ERR",0)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7" s="94">
        <f ca="1">_xlfn.XLOOKUP(MID(X7,11,2),Размеры!D:D,Размеры!A:A,"ERR",0)</f>
        <v>57</v>
      </c>
      <c r="Q7" s="94">
        <f ca="1">VALUE(_xlfn.XLOOKUP($A7,Строчный!$A:$A,Строчный!R:R,"ERR",0))</f>
        <v>1</v>
      </c>
      <c r="R7" s="14" t="s">
        <v>283</v>
      </c>
      <c r="S7" s="115" t="str">
        <f t="shared" ca="1" si="0"/>
        <v>Кепка STETSON арт. 6843116 HATTERAS LINEN (синий)</v>
      </c>
      <c r="T7" s="114" t="str">
        <f t="shared" ca="1" si="1"/>
        <v>Кепка STETSON арт. 6843116 HATTERAS LINEN (синий) {2}</v>
      </c>
      <c r="U7" s="18" t="str">
        <f t="shared" ca="1" si="2"/>
        <v>синий</v>
      </c>
      <c r="V7" s="18" t="str">
        <f t="shared" ca="1" si="3"/>
        <v>синий</v>
      </c>
      <c r="W7" s="132" t="str">
        <f t="shared" ca="1" si="4"/>
        <v>синий</v>
      </c>
      <c r="X7" s="87" t="str">
        <f ca="1"/>
        <v>02-686-06-57</v>
      </c>
      <c r="Y7" s="89" t="str">
        <f ca="1">VLOOKUP(C7,Группа!A:B,2,FALSE)</f>
        <v>Кепка</v>
      </c>
      <c r="Z7" s="111" t="str">
        <f ca="1">IFERROR(VLOOKUP(P7,Размеры!A:C,3,FALSE),"")</f>
        <v>57 M</v>
      </c>
      <c r="AA7" s="111" t="str">
        <f ca="1">VLOOKUP(I7,ЦветПолный!A:B,2,FALSE)</f>
        <v>06</v>
      </c>
      <c r="AB7" s="111" t="str">
        <f ca="1">IFERROR(VLOOKUP(P7,Размеры!A:D,4,FALSE),"")</f>
        <v>57</v>
      </c>
      <c r="AC7" s="111">
        <f ca="1">IF(LEFT(IFERROR(VLOOKUP(LOOKUP(2,1/SEARCH(B7,Товары!A:A),Товары!A:A),Товары!A:B,2,0),""),6)=MID(X7,1,6),1,0)</f>
        <v>0</v>
      </c>
      <c r="AE7" s="111">
        <f ca="1">SUMIF(Группа!A:A,C7,Группа!C:C)</f>
        <v>1</v>
      </c>
      <c r="AF7" s="111">
        <f ca="1">SUMIF(Группа!B:B,Y7,Группа!C:C)</f>
        <v>1</v>
      </c>
      <c r="AG7" s="111">
        <f ca="1">SUMIF(Формы!A:A,D7,Формы!B:B)</f>
        <v>1</v>
      </c>
      <c r="AH7" s="111">
        <f ca="1">SUMIF(Материал!A:A,K7,Материал!B:B)</f>
        <v>1</v>
      </c>
      <c r="AI7" s="111">
        <f ca="1">SUMIF(Размеры!A:A,P7,Размеры!E:E)</f>
        <v>1</v>
      </c>
      <c r="AJ7" s="111">
        <f ca="1">SUMIF(Сезон!A:A,F7,Сезон!B:B)</f>
        <v>1</v>
      </c>
      <c r="AK7" s="111">
        <f ca="1">SUMIF(Состав!A:A,J7,Состав!B:B)</f>
        <v>0</v>
      </c>
      <c r="AL7" s="111">
        <f ca="1">SUMIF(ЦветПолный!A:A,I7,ЦветПолный!C:C)</f>
        <v>8</v>
      </c>
      <c r="AM7" s="111">
        <f ca="1">SUMIF(Цвет!A:A,W7,Цвет!B:B)</f>
        <v>1</v>
      </c>
      <c r="AN7" s="111">
        <f ca="1">SUMIF(Пол!B:B,L7,Пол!C:C)</f>
        <v>1</v>
      </c>
      <c r="AO7" s="111">
        <f ca="1">SUMIF(Марка!A:A,G7,Марка!B:B)</f>
        <v>1</v>
      </c>
      <c r="AP7" s="111">
        <f ca="1">SUMIF(Страна!A:A,M7,Страна!B:B)</f>
        <v>1</v>
      </c>
      <c r="AQ7" s="77" t="e">
        <f ca="1">IF(VLOOKUP(T7,Товары!A:B,2,FALSE)=A7,"Есть в 1С","ERR")</f>
        <v>#N/A</v>
      </c>
      <c r="AR7" s="78" t="e">
        <f ca="1">IF(VLOOKUP(A7,Товары!B:B,1,FALSE)=A7,"Есть в 1С","ERR")</f>
        <v>#N/A</v>
      </c>
      <c r="AS7" s="110" t="e">
        <f ca="1">VLOOKUP(T7,Товары!A:B,2,FALSE)</f>
        <v>#N/A</v>
      </c>
      <c r="AT7" s="108" t="e">
        <f ca="1">VLOOKUP(T7,Товары!A:B,1,FALSE)</f>
        <v>#N/A</v>
      </c>
    </row>
    <row r="8" spans="1:46" ht="14.45" customHeight="1" x14ac:dyDescent="0.25">
      <c r="A8" s="124" t="str">
        <f t="shared" ca="1" si="5"/>
        <v>02-686-06</v>
      </c>
      <c r="B8" s="121" t="str">
        <f ca="1">UPPER(_xlfn.XLOOKUP($A8,Строчный!$A:$A,Строчный!B:B,"ERR",0))</f>
        <v>6843116 HATTERAS LINEN</v>
      </c>
      <c r="C8" s="95" t="str">
        <f ca="1">PROPER(_xlfn.XLOOKUP($A8,Строчный!$A:$A,Строчный!C:C,"ERR",0))</f>
        <v>Кепки</v>
      </c>
      <c r="D8" s="95" t="str">
        <f ca="1">_xlfn.LET(_xlpm.DATA,(_xlfn.XLOOKUP($A8,Строчный!$A:$A,Строчный!D:D,"ERR",0)),UPPER(MID(_xlpm.DATA,1,1))&amp;LOWER(MID(_xlpm.DATA,2,LEN(_xlpm.DATA)-1)))</f>
        <v>Кепка восьмиклинка</v>
      </c>
      <c r="E8" s="95" t="str">
        <f ca="1">PROPER(_xlfn.XLOOKUP($A8,Строчный!$A:$A,Строчный!E:E,"ERR",0))</f>
        <v>Stetson</v>
      </c>
      <c r="F8" s="95" t="str">
        <f ca="1">LOWER(_xlfn.XLOOKUP($A8,Строчный!$A:$A,Строчный!F:F,"ERR",0))</f>
        <v>летний</v>
      </c>
      <c r="G8" s="95" t="str">
        <f ca="1">UPPER(_xlfn.XLOOKUP($A8,Строчный!$A:$A,Строчный!G:G,"ERR",0))</f>
        <v>STETSON</v>
      </c>
      <c r="H8" s="95" t="str">
        <f ca="1">LOWER(_xlfn.XLOOKUP($A8,Строчный!$A:$A,Строчный!H:H,"ERR",0))</f>
        <v>2</v>
      </c>
      <c r="I8" s="95" t="str">
        <f ca="1">LOWER(_xlfn.XLOOKUP($A8,Строчный!$A:$A,Строчный!I:I,"ERR",0))</f>
        <v>синий</v>
      </c>
      <c r="J8" s="95" t="str">
        <f ca="1">SUBSTITUTE(LOWER(_xlfn.XLOOKUP($A8,Строчный!$A:$A,Строчный!J:J,"ERR",0)),"подклад","Подклад")</f>
        <v>100% лен / Подклад: 68% хлопок - 32% полиэстер</v>
      </c>
      <c r="K8" s="95" t="str">
        <f ca="1">LOWER(_xlfn.XLOOKUP($A8,Строчный!$A:$A,Строчный!K:K,"ERR",0))</f>
        <v>льняные</v>
      </c>
      <c r="L8" s="95" t="str">
        <f ca="1">PROPER(_xlfn.XLOOKUP($A8,Строчный!$A:$A,Строчный!L:L,"ERR",0))</f>
        <v>Унисекс</v>
      </c>
      <c r="M8" s="95" t="str">
        <f ca="1">PROPER(_xlfn.XLOOKUP($A8,Строчный!$A:$A,Строчный!N:N,"ERR",0))</f>
        <v>Болгария</v>
      </c>
      <c r="N8" s="104">
        <f ca="1">VALUE(_xlfn.XLOOKUP($A8,Строчный!$A:$A,Строчный!O:O,"ERR",0))</f>
        <v>2365.6880000000001</v>
      </c>
      <c r="O8" s="103" t="str">
        <f ca="1">_xlfn.XLOOKUP($A8,Строчный!$A:$A,Строчный!M:M,"ERR",0)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8" s="94">
        <f ca="1">_xlfn.XLOOKUP(MID(X8,11,2),Размеры!D:D,Размеры!A:A,"ERR",0)</f>
        <v>55</v>
      </c>
      <c r="Q8" s="94">
        <f ca="1">VALUE(_xlfn.XLOOKUP($A8,Строчный!$A:$A,Строчный!R:R,"ERR",0))</f>
        <v>1</v>
      </c>
      <c r="R8" s="14" t="s">
        <v>283</v>
      </c>
      <c r="S8" s="115" t="str">
        <f t="shared" ca="1" si="0"/>
        <v>Кепка STETSON арт. 6843116 HATTERAS LINEN (синий)</v>
      </c>
      <c r="T8" s="114" t="str">
        <f t="shared" ca="1" si="1"/>
        <v>Кепка STETSON арт. 6843116 HATTERAS LINEN (синий) {2}</v>
      </c>
      <c r="U8" s="18" t="str">
        <f t="shared" ca="1" si="2"/>
        <v>синий</v>
      </c>
      <c r="V8" s="18" t="str">
        <f t="shared" ca="1" si="3"/>
        <v>синий</v>
      </c>
      <c r="W8" s="132" t="str">
        <f t="shared" ca="1" si="4"/>
        <v>синий</v>
      </c>
      <c r="X8" s="87" t="str">
        <f ca="1"/>
        <v>02-686-06-55</v>
      </c>
      <c r="Y8" s="89" t="str">
        <f ca="1">VLOOKUP(C8,Группа!A:B,2,FALSE)</f>
        <v>Кепка</v>
      </c>
      <c r="Z8" s="111" t="str">
        <f ca="1">IFERROR(VLOOKUP(P8,Размеры!A:C,3,FALSE),"")</f>
        <v>55 S</v>
      </c>
      <c r="AA8" s="111" t="str">
        <f ca="1">VLOOKUP(I8,ЦветПолный!A:B,2,FALSE)</f>
        <v>06</v>
      </c>
      <c r="AB8" s="111" t="str">
        <f ca="1">IFERROR(VLOOKUP(P8,Размеры!A:D,4,FALSE),"")</f>
        <v>55</v>
      </c>
      <c r="AC8" s="111">
        <f ca="1">IF(LEFT(IFERROR(VLOOKUP(LOOKUP(2,1/SEARCH(B8,Товары!A:A),Товары!A:A),Товары!A:B,2,0),""),6)=MID(X8,1,6),1,0)</f>
        <v>0</v>
      </c>
      <c r="AE8" s="111">
        <f ca="1">SUMIF(Группа!A:A,C8,Группа!C:C)</f>
        <v>1</v>
      </c>
      <c r="AF8" s="111">
        <f ca="1">SUMIF(Группа!B:B,Y8,Группа!C:C)</f>
        <v>1</v>
      </c>
      <c r="AG8" s="111">
        <f ca="1">SUMIF(Формы!A:A,D8,Формы!B:B)</f>
        <v>1</v>
      </c>
      <c r="AH8" s="111">
        <f ca="1">SUMIF(Материал!A:A,K8,Материал!B:B)</f>
        <v>1</v>
      </c>
      <c r="AI8" s="111">
        <f ca="1">SUMIF(Размеры!A:A,P8,Размеры!E:E)</f>
        <v>1</v>
      </c>
      <c r="AJ8" s="111">
        <f ca="1">SUMIF(Сезон!A:A,F8,Сезон!B:B)</f>
        <v>1</v>
      </c>
      <c r="AK8" s="111">
        <f ca="1">SUMIF(Состав!A:A,J8,Состав!B:B)</f>
        <v>0</v>
      </c>
      <c r="AL8" s="111">
        <f ca="1">SUMIF(ЦветПолный!A:A,I8,ЦветПолный!C:C)</f>
        <v>8</v>
      </c>
      <c r="AM8" s="111">
        <f ca="1">SUMIF(Цвет!A:A,W8,Цвет!B:B)</f>
        <v>1</v>
      </c>
      <c r="AN8" s="111">
        <f ca="1">SUMIF(Пол!B:B,L8,Пол!C:C)</f>
        <v>1</v>
      </c>
      <c r="AO8" s="111">
        <f ca="1">SUMIF(Марка!A:A,G8,Марка!B:B)</f>
        <v>1</v>
      </c>
      <c r="AP8" s="111">
        <f ca="1">SUMIF(Страна!A:A,M8,Страна!B:B)</f>
        <v>1</v>
      </c>
      <c r="AQ8" s="77" t="e">
        <f ca="1">IF(VLOOKUP(T8,Товары!A:B,2,FALSE)=A8,"Есть в 1С","ERR")</f>
        <v>#N/A</v>
      </c>
      <c r="AR8" s="78" t="e">
        <f ca="1">IF(VLOOKUP(A8,Товары!B:B,1,FALSE)=A8,"Есть в 1С","ERR")</f>
        <v>#N/A</v>
      </c>
      <c r="AS8" s="110" t="e">
        <f ca="1">VLOOKUP(T8,Товары!A:B,2,FALSE)</f>
        <v>#N/A</v>
      </c>
      <c r="AT8" s="108" t="e">
        <f ca="1">VLOOKUP(T8,Товары!A:B,1,FALSE)</f>
        <v>#N/A</v>
      </c>
    </row>
    <row r="9" spans="1:46" ht="14.45" customHeight="1" x14ac:dyDescent="0.25">
      <c r="A9" s="124" t="str">
        <f t="shared" ca="1" si="5"/>
        <v>02-685-08</v>
      </c>
      <c r="B9" s="121" t="str">
        <f ca="1">UPPER(_xlfn.XLOOKUP($A9,Строчный!$A:$A,Строчный!B:B,"ERR",0))</f>
        <v>7713101 BASEBALL CAP LINEN</v>
      </c>
      <c r="C9" s="95" t="str">
        <f ca="1">PROPER(_xlfn.XLOOKUP($A9,Строчный!$A:$A,Строчный!C:C,"ERR",0))</f>
        <v>Бейсболки</v>
      </c>
      <c r="D9" s="95" t="str">
        <f ca="1">_xlfn.LET(_xlpm.DATA,(_xlfn.XLOOKUP($A9,Строчный!$A:$A,Строчный!D:D,"ERR",0)),UPPER(MID(_xlpm.DATA,1,1))&amp;LOWER(MID(_xlpm.DATA,2,LEN(_xlpm.DATA)-1)))</f>
        <v>Бейсболка</v>
      </c>
      <c r="E9" s="95" t="str">
        <f ca="1">PROPER(_xlfn.XLOOKUP($A9,Строчный!$A:$A,Строчный!E:E,"ERR",0))</f>
        <v>Stetson</v>
      </c>
      <c r="F9" s="95" t="str">
        <f ca="1">LOWER(_xlfn.XLOOKUP($A9,Строчный!$A:$A,Строчный!F:F,"ERR",0))</f>
        <v>летний</v>
      </c>
      <c r="G9" s="95" t="str">
        <f ca="1">UPPER(_xlfn.XLOOKUP($A9,Строчный!$A:$A,Строчный!G:G,"ERR",0))</f>
        <v>STETSON</v>
      </c>
      <c r="H9" s="95" t="str">
        <f ca="1">LOWER(_xlfn.XLOOKUP($A9,Строчный!$A:$A,Строчный!H:H,"ERR",0))</f>
        <v>3</v>
      </c>
      <c r="I9" s="95" t="str">
        <f ca="1">LOWER(_xlfn.XLOOKUP($A9,Строчный!$A:$A,Строчный!I:I,"ERR",0))</f>
        <v>серый</v>
      </c>
      <c r="J9" s="95" t="str">
        <f ca="1">SUBSTITUTE(LOWER(_xlfn.XLOOKUP($A9,Строчный!$A:$A,Строчный!J:J,"ERR",0)),"подклад","Подклад")</f>
        <v>100% лен / Подклад: 68% хлопок - 32% полиэстер</v>
      </c>
      <c r="K9" s="95" t="str">
        <f ca="1">LOWER(_xlfn.XLOOKUP($A9,Строчный!$A:$A,Строчный!K:K,"ERR",0))</f>
        <v>льняные</v>
      </c>
      <c r="L9" s="95" t="str">
        <f ca="1">PROPER(_xlfn.XLOOKUP($A9,Строчный!$A:$A,Строчный!L:L,"ERR",0))</f>
        <v>Унисекс</v>
      </c>
      <c r="M9" s="95" t="str">
        <f ca="1">PROPER(_xlfn.XLOOKUP($A9,Строчный!$A:$A,Строчный!N:N,"ERR",0))</f>
        <v>Китай</v>
      </c>
      <c r="N9" s="104">
        <f ca="1">VALUE(_xlfn.XLOOKUP($A9,Строчный!$A:$A,Строчный!O:O,"ERR",0))</f>
        <v>1495.3679999999997</v>
      </c>
      <c r="O9" s="103" t="str">
        <f ca="1">_xlfn.XLOOKUP($A9,Строчный!$A:$A,Строчный!M:M,"ERR",0)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9" s="94">
        <f ca="1">_xlfn.XLOOKUP(MID(X9,11,2),Размеры!D:D,Размеры!A:A,"ERR",0)</f>
        <v>59</v>
      </c>
      <c r="Q9" s="94">
        <f ca="1">VALUE(_xlfn.XLOOKUP($A9,Строчный!$A:$A,Строчный!R:R,"ERR",0))</f>
        <v>4</v>
      </c>
      <c r="R9" s="14" t="s">
        <v>283</v>
      </c>
      <c r="S9" s="115" t="str">
        <f t="shared" ca="1" si="0"/>
        <v>Бейсболка STETSON арт. 7713101 BASEBALL CAP LINEN (серый)</v>
      </c>
      <c r="T9" s="114" t="str">
        <f t="shared" ca="1" si="1"/>
        <v>Бейсболка STETSON арт. 7713101 BASEBALL CAP LINEN (серый) {3}</v>
      </c>
      <c r="U9" s="18" t="str">
        <f t="shared" ca="1" si="2"/>
        <v>серый</v>
      </c>
      <c r="V9" s="18" t="str">
        <f t="shared" ca="1" si="3"/>
        <v>серый</v>
      </c>
      <c r="W9" s="132" t="str">
        <f t="shared" ca="1" si="4"/>
        <v>серый</v>
      </c>
      <c r="X9" s="87" t="str">
        <f ca="1"/>
        <v>02-685-08-59</v>
      </c>
      <c r="Y9" s="89" t="str">
        <f ca="1">VLOOKUP(C9,Группа!A:B,2,FALSE)</f>
        <v>Бейсболка</v>
      </c>
      <c r="Z9" s="111" t="str">
        <f ca="1">IFERROR(VLOOKUP(P9,Размеры!A:C,3,FALSE),"")</f>
        <v>59 L</v>
      </c>
      <c r="AA9" s="111" t="str">
        <f ca="1">VLOOKUP(I9,ЦветПолный!A:B,2,FALSE)</f>
        <v>08</v>
      </c>
      <c r="AB9" s="111" t="str">
        <f ca="1">IFERROR(VLOOKUP(P9,Размеры!A:D,4,FALSE),"")</f>
        <v>59</v>
      </c>
      <c r="AC9" s="111">
        <f ca="1">IF(LEFT(IFERROR(VLOOKUP(LOOKUP(2,1/SEARCH(B9,Товары!A:A),Товары!A:A),Товары!A:B,2,0),""),6)=MID(X9,1,6),1,0)</f>
        <v>0</v>
      </c>
      <c r="AE9" s="111">
        <f ca="1">SUMIF(Группа!A:A,C9,Группа!C:C)</f>
        <v>1</v>
      </c>
      <c r="AF9" s="111">
        <f ca="1">SUMIF(Группа!B:B,Y9,Группа!C:C)</f>
        <v>1</v>
      </c>
      <c r="AG9" s="111">
        <f ca="1">SUMIF(Формы!A:A,D9,Формы!B:B)</f>
        <v>1</v>
      </c>
      <c r="AH9" s="111">
        <f ca="1">SUMIF(Материал!A:A,K9,Материал!B:B)</f>
        <v>1</v>
      </c>
      <c r="AI9" s="111">
        <f ca="1">SUMIF(Размеры!A:A,P9,Размеры!E:E)</f>
        <v>1</v>
      </c>
      <c r="AJ9" s="111">
        <f ca="1">SUMIF(Сезон!A:A,F9,Сезон!B:B)</f>
        <v>1</v>
      </c>
      <c r="AK9" s="111">
        <f ca="1">SUMIF(Состав!A:A,J9,Состав!B:B)</f>
        <v>0</v>
      </c>
      <c r="AL9" s="111">
        <f ca="1">SUMIF(ЦветПолный!A:A,I9,ЦветПолный!C:C)</f>
        <v>11</v>
      </c>
      <c r="AM9" s="111">
        <f ca="1">SUMIF(Цвет!A:A,W9,Цвет!B:B)</f>
        <v>1</v>
      </c>
      <c r="AN9" s="111">
        <f ca="1">SUMIF(Пол!B:B,L9,Пол!C:C)</f>
        <v>1</v>
      </c>
      <c r="AO9" s="111">
        <f ca="1">SUMIF(Марка!A:A,G9,Марка!B:B)</f>
        <v>1</v>
      </c>
      <c r="AP9" s="111">
        <f ca="1">SUMIF(Страна!A:A,M9,Страна!B:B)</f>
        <v>1</v>
      </c>
      <c r="AQ9" s="77" t="e">
        <f ca="1">IF(VLOOKUP(T9,Товары!A:B,2,FALSE)=A9,"Есть в 1С","ERR")</f>
        <v>#N/A</v>
      </c>
      <c r="AR9" s="78" t="e">
        <f ca="1">IF(VLOOKUP(A9,Товары!B:B,1,FALSE)=A9,"Есть в 1С","ERR")</f>
        <v>#N/A</v>
      </c>
      <c r="AS9" s="110" t="e">
        <f ca="1">VLOOKUP(T9,Товары!A:B,2,FALSE)</f>
        <v>#N/A</v>
      </c>
      <c r="AT9" s="108" t="e">
        <f ca="1">VLOOKUP(T9,Товары!A:B,1,FALSE)</f>
        <v>#N/A</v>
      </c>
    </row>
    <row r="10" spans="1:46" x14ac:dyDescent="0.25">
      <c r="A10" s="124" t="str">
        <f t="shared" ca="1" si="5"/>
        <v>02-685-08</v>
      </c>
      <c r="B10" s="121" t="str">
        <f ca="1">UPPER(_xlfn.XLOOKUP($A10,Строчный!$A:$A,Строчный!B:B,"ERR",0))</f>
        <v>7713101 BASEBALL CAP LINEN</v>
      </c>
      <c r="C10" s="95" t="str">
        <f ca="1">PROPER(_xlfn.XLOOKUP($A10,Строчный!$A:$A,Строчный!C:C,"ERR",0))</f>
        <v>Бейсболки</v>
      </c>
      <c r="D10" s="95" t="str">
        <f ca="1">_xlfn.LET(_xlpm.DATA,(_xlfn.XLOOKUP($A10,Строчный!$A:$A,Строчный!D:D,"ERR",0)),UPPER(MID(_xlpm.DATA,1,1))&amp;LOWER(MID(_xlpm.DATA,2,LEN(_xlpm.DATA)-1)))</f>
        <v>Бейсболка</v>
      </c>
      <c r="E10" s="95" t="str">
        <f ca="1">PROPER(_xlfn.XLOOKUP($A10,Строчный!$A:$A,Строчный!E:E,"ERR",0))</f>
        <v>Stetson</v>
      </c>
      <c r="F10" s="95" t="str">
        <f ca="1">LOWER(_xlfn.XLOOKUP($A10,Строчный!$A:$A,Строчный!F:F,"ERR",0))</f>
        <v>летний</v>
      </c>
      <c r="G10" s="95" t="str">
        <f ca="1">UPPER(_xlfn.XLOOKUP($A10,Строчный!$A:$A,Строчный!G:G,"ERR",0))</f>
        <v>STETSON</v>
      </c>
      <c r="H10" s="95" t="str">
        <f ca="1">LOWER(_xlfn.XLOOKUP($A10,Строчный!$A:$A,Строчный!H:H,"ERR",0))</f>
        <v>3</v>
      </c>
      <c r="I10" s="95" t="str">
        <f ca="1">LOWER(_xlfn.XLOOKUP($A10,Строчный!$A:$A,Строчный!I:I,"ERR",0))</f>
        <v>серый</v>
      </c>
      <c r="J10" s="95" t="str">
        <f ca="1">SUBSTITUTE(LOWER(_xlfn.XLOOKUP($A10,Строчный!$A:$A,Строчный!J:J,"ERR",0)),"подклад","Подклад")</f>
        <v>100% лен / Подклад: 68% хлопок - 32% полиэстер</v>
      </c>
      <c r="K10" s="95" t="str">
        <f ca="1">LOWER(_xlfn.XLOOKUP($A10,Строчный!$A:$A,Строчный!K:K,"ERR",0))</f>
        <v>льняные</v>
      </c>
      <c r="L10" s="95" t="str">
        <f ca="1">PROPER(_xlfn.XLOOKUP($A10,Строчный!$A:$A,Строчный!L:L,"ERR",0))</f>
        <v>Унисекс</v>
      </c>
      <c r="M10" s="95" t="str">
        <f ca="1">PROPER(_xlfn.XLOOKUP($A10,Строчный!$A:$A,Строчный!N:N,"ERR",0))</f>
        <v>Китай</v>
      </c>
      <c r="N10" s="104">
        <f ca="1">VALUE(_xlfn.XLOOKUP($A10,Строчный!$A:$A,Строчный!O:O,"ERR",0))</f>
        <v>1495.3679999999997</v>
      </c>
      <c r="O10" s="103" t="str">
        <f ca="1">_xlfn.XLOOKUP($A10,Строчный!$A:$A,Строчный!M:M,"ERR",0)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0" s="94">
        <f ca="1">_xlfn.XLOOKUP(MID(X10,11,2),Размеры!D:D,Размеры!A:A,"ERR",0)</f>
        <v>57</v>
      </c>
      <c r="Q10" s="94">
        <f ca="1">VALUE(_xlfn.XLOOKUP($A10,Строчный!$A:$A,Строчный!R:R,"ERR",0))</f>
        <v>4</v>
      </c>
      <c r="R10" s="14" t="s">
        <v>283</v>
      </c>
      <c r="S10" s="115" t="str">
        <f t="shared" ca="1" si="0"/>
        <v>Бейсболка STETSON арт. 7713101 BASEBALL CAP LINEN (серый)</v>
      </c>
      <c r="T10" s="114" t="str">
        <f t="shared" ca="1" si="1"/>
        <v>Бейсболка STETSON арт. 7713101 BASEBALL CAP LINEN (серый) {3}</v>
      </c>
      <c r="U10" s="18" t="str">
        <f t="shared" ca="1" si="2"/>
        <v>серый</v>
      </c>
      <c r="V10" s="18" t="str">
        <f t="shared" ca="1" si="3"/>
        <v>серый</v>
      </c>
      <c r="W10" s="132" t="str">
        <f t="shared" ca="1" si="4"/>
        <v>серый</v>
      </c>
      <c r="X10" s="87" t="str">
        <f ca="1"/>
        <v>02-685-08-57</v>
      </c>
      <c r="Y10" s="89" t="str">
        <f ca="1">VLOOKUP(C10,Группа!A:B,2,FALSE)</f>
        <v>Бейсболка</v>
      </c>
      <c r="Z10" s="111" t="str">
        <f ca="1">IFERROR(VLOOKUP(P10,Размеры!A:C,3,FALSE),"")</f>
        <v>57 M</v>
      </c>
      <c r="AA10" s="111" t="str">
        <f ca="1">VLOOKUP(I10,ЦветПолный!A:B,2,FALSE)</f>
        <v>08</v>
      </c>
      <c r="AB10" s="111" t="str">
        <f ca="1">IFERROR(VLOOKUP(P10,Размеры!A:D,4,FALSE),"")</f>
        <v>57</v>
      </c>
      <c r="AC10" s="111">
        <f ca="1">IF(LEFT(IFERROR(VLOOKUP(LOOKUP(2,1/SEARCH(B10,Товары!A:A),Товары!A:A),Товары!A:B,2,0),""),6)=MID(X10,1,6),1,0)</f>
        <v>0</v>
      </c>
      <c r="AE10" s="111">
        <f ca="1">SUMIF(Группа!A:A,C10,Группа!C:C)</f>
        <v>1</v>
      </c>
      <c r="AF10" s="111">
        <f ca="1">SUMIF(Группа!B:B,Y10,Группа!C:C)</f>
        <v>1</v>
      </c>
      <c r="AG10" s="111">
        <f ca="1">SUMIF(Формы!A:A,D10,Формы!B:B)</f>
        <v>1</v>
      </c>
      <c r="AH10" s="111">
        <f ca="1">SUMIF(Материал!A:A,K10,Материал!B:B)</f>
        <v>1</v>
      </c>
      <c r="AI10" s="111">
        <f ca="1">SUMIF(Размеры!A:A,P10,Размеры!E:E)</f>
        <v>1</v>
      </c>
      <c r="AJ10" s="111">
        <f ca="1">SUMIF(Сезон!A:A,F10,Сезон!B:B)</f>
        <v>1</v>
      </c>
      <c r="AK10" s="111">
        <f ca="1">SUMIF(Состав!A:A,J10,Состав!B:B)</f>
        <v>0</v>
      </c>
      <c r="AL10" s="111">
        <f ca="1">SUMIF(ЦветПолный!A:A,I10,ЦветПолный!C:C)</f>
        <v>11</v>
      </c>
      <c r="AM10" s="111">
        <f ca="1">SUMIF(Цвет!A:A,W10,Цвет!B:B)</f>
        <v>1</v>
      </c>
      <c r="AN10" s="111">
        <f ca="1">SUMIF(Пол!B:B,L10,Пол!C:C)</f>
        <v>1</v>
      </c>
      <c r="AO10" s="111">
        <f ca="1">SUMIF(Марка!A:A,G10,Марка!B:B)</f>
        <v>1</v>
      </c>
      <c r="AP10" s="111">
        <f ca="1">SUMIF(Страна!A:A,M10,Страна!B:B)</f>
        <v>1</v>
      </c>
      <c r="AQ10" s="77" t="e">
        <f ca="1">IF(VLOOKUP(T10,Товары!A:B,2,FALSE)=A10,"Есть в 1С","ERR")</f>
        <v>#N/A</v>
      </c>
      <c r="AR10" s="78" t="e">
        <f ca="1">IF(VLOOKUP(A10,Товары!B:B,1,FALSE)=A10,"Есть в 1С","ERR")</f>
        <v>#N/A</v>
      </c>
      <c r="AS10" s="110" t="e">
        <f ca="1">VLOOKUP(T10,Товары!A:B,2,FALSE)</f>
        <v>#N/A</v>
      </c>
      <c r="AT10" s="108" t="e">
        <f ca="1">VLOOKUP(T10,Товары!A:B,1,FALSE)</f>
        <v>#N/A</v>
      </c>
    </row>
    <row r="11" spans="1:46" x14ac:dyDescent="0.25">
      <c r="A11" s="124" t="str">
        <f t="shared" ca="1" si="5"/>
        <v>02-679-16</v>
      </c>
      <c r="B11" s="121" t="str">
        <f ca="1">UPPER(_xlfn.XLOOKUP($A11,Строчный!$A:$A,Строчный!B:B,"ERR",0))</f>
        <v>6611130 TEXAS DENIM</v>
      </c>
      <c r="C11" s="95" t="str">
        <f ca="1">PROPER(_xlfn.XLOOKUP($A11,Строчный!$A:$A,Строчный!C:C,"ERR",0))</f>
        <v>Кепки</v>
      </c>
      <c r="D11" s="95" t="str">
        <f ca="1">_xlfn.LET(_xlpm.DATA,(_xlfn.XLOOKUP($A11,Строчный!$A:$A,Строчный!D:D,"ERR",0)),UPPER(MID(_xlpm.DATA,1,1))&amp;LOWER(MID(_xlpm.DATA,2,LEN(_xlpm.DATA)-1)))</f>
        <v>Кепка уточка</v>
      </c>
      <c r="E11" s="95" t="str">
        <f ca="1">PROPER(_xlfn.XLOOKUP($A11,Строчный!$A:$A,Строчный!E:E,"ERR",0))</f>
        <v>Stetson</v>
      </c>
      <c r="F11" s="95" t="str">
        <f ca="1">LOWER(_xlfn.XLOOKUP($A11,Строчный!$A:$A,Строчный!F:F,"ERR",0))</f>
        <v>всесезон</v>
      </c>
      <c r="G11" s="95" t="str">
        <f ca="1">UPPER(_xlfn.XLOOKUP($A11,Строчный!$A:$A,Строчный!G:G,"ERR",0))</f>
        <v>STETSON</v>
      </c>
      <c r="H11" s="95" t="str">
        <f ca="1">LOWER(_xlfn.XLOOKUP($A11,Строчный!$A:$A,Строчный!H:H,"ERR",0))</f>
        <v>2</v>
      </c>
      <c r="I11" s="95" t="str">
        <f ca="1">LOWER(_xlfn.XLOOKUP($A11,Строчный!$A:$A,Строчный!I:I,"ERR",0))</f>
        <v>темно-синий</v>
      </c>
      <c r="J11" s="95" t="str">
        <f ca="1">SUBSTITUTE(LOWER(_xlfn.XLOOKUP($A11,Строчный!$A:$A,Строчный!J:J,"ERR",0)),"подклад","Подклад")</f>
        <v>100% хлопок / Подклад: 68% хлопок - 32% полиэстер</v>
      </c>
      <c r="K11" s="95" t="str">
        <f ca="1">LOWER(_xlfn.XLOOKUP($A11,Строчный!$A:$A,Строчный!K:K,"ERR",0))</f>
        <v>хлопковые</v>
      </c>
      <c r="L11" s="95" t="str">
        <f ca="1">PROPER(_xlfn.XLOOKUP($A11,Строчный!$A:$A,Строчный!L:L,"ERR",0))</f>
        <v>Унисекс</v>
      </c>
      <c r="M11" s="95" t="str">
        <f ca="1">PROPER(_xlfn.XLOOKUP($A11,Строчный!$A:$A,Строчный!N:N,"ERR",0))</f>
        <v>Болгария</v>
      </c>
      <c r="N11" s="104">
        <f ca="1">VALUE(_xlfn.XLOOKUP($A11,Строчный!$A:$A,Строчный!O:O,"ERR",0))</f>
        <v>1811.8479999999997</v>
      </c>
      <c r="O11" s="103" t="str">
        <f ca="1">_xlfn.XLOOKUP($A11,Строчный!$A:$A,Строчный!M:M,"ERR",0)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11" s="94">
        <f ca="1">_xlfn.XLOOKUP(MID(X11,11,2),Размеры!D:D,Размеры!A:A,"ERR",0)</f>
        <v>61</v>
      </c>
      <c r="Q11" s="94">
        <f ca="1">VALUE(_xlfn.XLOOKUP($A11,Строчный!$A:$A,Строчный!R:R,"ERR",0))</f>
        <v>1</v>
      </c>
      <c r="R11" s="14" t="s">
        <v>283</v>
      </c>
      <c r="S11" s="115" t="str">
        <f t="shared" ca="1" si="0"/>
        <v>Кепка STETSON арт. 6611130 TEXAS DENIM (темно-синий)</v>
      </c>
      <c r="T11" s="114" t="str">
        <f t="shared" ca="1" si="1"/>
        <v>Кепка STETSON арт. 6611130 TEXAS DENIM (темно-синий) {2}</v>
      </c>
      <c r="U11" s="18" t="str">
        <f t="shared" ca="1" si="2"/>
        <v>синий</v>
      </c>
      <c r="V11" s="18" t="str">
        <f t="shared" ca="1" si="3"/>
        <v>синий</v>
      </c>
      <c r="W11" s="132" t="str">
        <f t="shared" ca="1" si="4"/>
        <v>синий</v>
      </c>
      <c r="X11" s="87" t="str">
        <f ca="1"/>
        <v>02-679-16-61</v>
      </c>
      <c r="Y11" s="89" t="str">
        <f ca="1">VLOOKUP(C11,Группа!A:B,2,FALSE)</f>
        <v>Кепка</v>
      </c>
      <c r="Z11" s="111" t="str">
        <f ca="1">IFERROR(VLOOKUP(P11,Размеры!A:C,3,FALSE),"")</f>
        <v>61 XL</v>
      </c>
      <c r="AA11" s="111" t="str">
        <f ca="1">VLOOKUP(I11,ЦветПолный!A:B,2,FALSE)</f>
        <v>16</v>
      </c>
      <c r="AB11" s="111" t="str">
        <f ca="1">IFERROR(VLOOKUP(P11,Размеры!A:D,4,FALSE),"")</f>
        <v>61</v>
      </c>
      <c r="AC11" s="111">
        <f ca="1">IF(LEFT(IFERROR(VLOOKUP(LOOKUP(2,1/SEARCH(B11,Товары!A:A),Товары!A:A),Товары!A:B,2,0),""),6)=MID(X11,1,6),1,0)</f>
        <v>0</v>
      </c>
      <c r="AE11" s="111">
        <f ca="1">SUMIF(Группа!A:A,C11,Группа!C:C)</f>
        <v>1</v>
      </c>
      <c r="AF11" s="111">
        <f ca="1">SUMIF(Группа!B:B,Y11,Группа!C:C)</f>
        <v>1</v>
      </c>
      <c r="AG11" s="111">
        <f ca="1">SUMIF(Формы!A:A,D11,Формы!B:B)</f>
        <v>1</v>
      </c>
      <c r="AH11" s="111">
        <f ca="1">SUMIF(Материал!A:A,K11,Материал!B:B)</f>
        <v>1</v>
      </c>
      <c r="AI11" s="111">
        <f ca="1">SUMIF(Размеры!A:A,P11,Размеры!E:E)</f>
        <v>1</v>
      </c>
      <c r="AJ11" s="111">
        <f ca="1">SUMIF(Сезон!A:A,F11,Сезон!B:B)</f>
        <v>1</v>
      </c>
      <c r="AK11" s="111">
        <f ca="1">SUMIF(Состав!A:A,J11,Состав!B:B)</f>
        <v>0</v>
      </c>
      <c r="AL11" s="111">
        <f ca="1">SUMIF(ЦветПолный!A:A,I11,ЦветПолный!C:C)</f>
        <v>8</v>
      </c>
      <c r="AM11" s="111">
        <f ca="1">SUMIF(Цвет!A:A,W11,Цвет!B:B)</f>
        <v>1</v>
      </c>
      <c r="AN11" s="111">
        <f ca="1">SUMIF(Пол!B:B,L11,Пол!C:C)</f>
        <v>1</v>
      </c>
      <c r="AO11" s="111">
        <f ca="1">SUMIF(Марка!A:A,G11,Марка!B:B)</f>
        <v>1</v>
      </c>
      <c r="AP11" s="111">
        <f ca="1">SUMIF(Страна!A:A,M11,Страна!B:B)</f>
        <v>1</v>
      </c>
      <c r="AQ11" s="77" t="e">
        <f ca="1">IF(VLOOKUP(T11,Товары!A:B,2,FALSE)=A11,"Есть в 1С","ERR")</f>
        <v>#N/A</v>
      </c>
      <c r="AR11" s="78" t="e">
        <f ca="1">IF(VLOOKUP(A11,Товары!B:B,1,FALSE)=A11,"Есть в 1С","ERR")</f>
        <v>#N/A</v>
      </c>
      <c r="AS11" s="110" t="e">
        <f ca="1">VLOOKUP(T11,Товары!A:B,2,FALSE)</f>
        <v>#N/A</v>
      </c>
      <c r="AT11" s="108" t="e">
        <f ca="1">VLOOKUP(T11,Товары!A:B,1,FALSE)</f>
        <v>#N/A</v>
      </c>
    </row>
    <row r="12" spans="1:46" x14ac:dyDescent="0.25">
      <c r="A12" s="124" t="str">
        <f t="shared" ca="1" si="5"/>
        <v>02-679-16</v>
      </c>
      <c r="B12" s="121" t="str">
        <f ca="1">UPPER(_xlfn.XLOOKUP($A12,Строчный!$A:$A,Строчный!B:B,"ERR",0))</f>
        <v>6611130 TEXAS DENIM</v>
      </c>
      <c r="C12" s="95" t="str">
        <f ca="1">PROPER(_xlfn.XLOOKUP($A12,Строчный!$A:$A,Строчный!C:C,"ERR",0))</f>
        <v>Кепки</v>
      </c>
      <c r="D12" s="95" t="str">
        <f ca="1">_xlfn.LET(_xlpm.DATA,(_xlfn.XLOOKUP($A12,Строчный!$A:$A,Строчный!D:D,"ERR",0)),UPPER(MID(_xlpm.DATA,1,1))&amp;LOWER(MID(_xlpm.DATA,2,LEN(_xlpm.DATA)-1)))</f>
        <v>Кепка уточка</v>
      </c>
      <c r="E12" s="95" t="str">
        <f ca="1">PROPER(_xlfn.XLOOKUP($A12,Строчный!$A:$A,Строчный!E:E,"ERR",0))</f>
        <v>Stetson</v>
      </c>
      <c r="F12" s="95" t="str">
        <f ca="1">LOWER(_xlfn.XLOOKUP($A12,Строчный!$A:$A,Строчный!F:F,"ERR",0))</f>
        <v>всесезон</v>
      </c>
      <c r="G12" s="95" t="str">
        <f ca="1">UPPER(_xlfn.XLOOKUP($A12,Строчный!$A:$A,Строчный!G:G,"ERR",0))</f>
        <v>STETSON</v>
      </c>
      <c r="H12" s="95" t="str">
        <f ca="1">LOWER(_xlfn.XLOOKUP($A12,Строчный!$A:$A,Строчный!H:H,"ERR",0))</f>
        <v>2</v>
      </c>
      <c r="I12" s="95" t="str">
        <f ca="1">LOWER(_xlfn.XLOOKUP($A12,Строчный!$A:$A,Строчный!I:I,"ERR",0))</f>
        <v>темно-синий</v>
      </c>
      <c r="J12" s="95" t="str">
        <f ca="1">SUBSTITUTE(LOWER(_xlfn.XLOOKUP($A12,Строчный!$A:$A,Строчный!J:J,"ERR",0)),"подклад","Подклад")</f>
        <v>100% хлопок / Подклад: 68% хлопок - 32% полиэстер</v>
      </c>
      <c r="K12" s="95" t="str">
        <f ca="1">LOWER(_xlfn.XLOOKUP($A12,Строчный!$A:$A,Строчный!K:K,"ERR",0))</f>
        <v>хлопковые</v>
      </c>
      <c r="L12" s="95" t="str">
        <f ca="1">PROPER(_xlfn.XLOOKUP($A12,Строчный!$A:$A,Строчный!L:L,"ERR",0))</f>
        <v>Унисекс</v>
      </c>
      <c r="M12" s="95" t="str">
        <f ca="1">PROPER(_xlfn.XLOOKUP($A12,Строчный!$A:$A,Строчный!N:N,"ERR",0))</f>
        <v>Болгария</v>
      </c>
      <c r="N12" s="104">
        <f ca="1">VALUE(_xlfn.XLOOKUP($A12,Строчный!$A:$A,Строчный!O:O,"ERR",0))</f>
        <v>1811.8479999999997</v>
      </c>
      <c r="O12" s="103" t="str">
        <f ca="1">_xlfn.XLOOKUP($A12,Строчный!$A:$A,Строчный!M:M,"ERR",0)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12" s="94">
        <f ca="1">_xlfn.XLOOKUP(MID(X12,11,2),Размеры!D:D,Размеры!A:A,"ERR",0)</f>
        <v>59</v>
      </c>
      <c r="Q12" s="94">
        <f ca="1">VALUE(_xlfn.XLOOKUP($A12,Строчный!$A:$A,Строчный!R:R,"ERR",0))</f>
        <v>1</v>
      </c>
      <c r="R12" s="14" t="s">
        <v>283</v>
      </c>
      <c r="S12" s="115" t="str">
        <f t="shared" ca="1" si="0"/>
        <v>Кепка STETSON арт. 6611130 TEXAS DENIM (темно-синий)</v>
      </c>
      <c r="T12" s="114" t="str">
        <f t="shared" ca="1" si="1"/>
        <v>Кепка STETSON арт. 6611130 TEXAS DENIM (темно-синий) {2}</v>
      </c>
      <c r="U12" s="18" t="str">
        <f t="shared" ca="1" si="2"/>
        <v>синий</v>
      </c>
      <c r="V12" s="18" t="str">
        <f t="shared" ca="1" si="3"/>
        <v>синий</v>
      </c>
      <c r="W12" s="132" t="str">
        <f t="shared" ca="1" si="4"/>
        <v>синий</v>
      </c>
      <c r="X12" s="87" t="str">
        <f ca="1"/>
        <v>02-679-16-59</v>
      </c>
      <c r="Y12" s="89" t="str">
        <f ca="1">VLOOKUP(C12,Группа!A:B,2,FALSE)</f>
        <v>Кепка</v>
      </c>
      <c r="Z12" s="111" t="str">
        <f ca="1">IFERROR(VLOOKUP(P12,Размеры!A:C,3,FALSE),"")</f>
        <v>59 L</v>
      </c>
      <c r="AA12" s="111" t="str">
        <f ca="1">VLOOKUP(I12,ЦветПолный!A:B,2,FALSE)</f>
        <v>16</v>
      </c>
      <c r="AB12" s="111" t="str">
        <f ca="1">IFERROR(VLOOKUP(P12,Размеры!A:D,4,FALSE),"")</f>
        <v>59</v>
      </c>
      <c r="AC12" s="111">
        <f ca="1">IF(LEFT(IFERROR(VLOOKUP(LOOKUP(2,1/SEARCH(B12,Товары!A:A),Товары!A:A),Товары!A:B,2,0),""),6)=MID(X12,1,6),1,0)</f>
        <v>0</v>
      </c>
      <c r="AE12" s="111">
        <f ca="1">SUMIF(Группа!A:A,C12,Группа!C:C)</f>
        <v>1</v>
      </c>
      <c r="AF12" s="111">
        <f ca="1">SUMIF(Группа!B:B,Y12,Группа!C:C)</f>
        <v>1</v>
      </c>
      <c r="AG12" s="111">
        <f ca="1">SUMIF(Формы!A:A,D12,Формы!B:B)</f>
        <v>1</v>
      </c>
      <c r="AH12" s="111">
        <f ca="1">SUMIF(Материал!A:A,K12,Материал!B:B)</f>
        <v>1</v>
      </c>
      <c r="AI12" s="111">
        <f ca="1">SUMIF(Размеры!A:A,P12,Размеры!E:E)</f>
        <v>1</v>
      </c>
      <c r="AJ12" s="111">
        <f ca="1">SUMIF(Сезон!A:A,F12,Сезон!B:B)</f>
        <v>1</v>
      </c>
      <c r="AK12" s="111">
        <f ca="1">SUMIF(Состав!A:A,J12,Состав!B:B)</f>
        <v>0</v>
      </c>
      <c r="AL12" s="111">
        <f ca="1">SUMIF(ЦветПолный!A:A,I12,ЦветПолный!C:C)</f>
        <v>8</v>
      </c>
      <c r="AM12" s="111">
        <f ca="1">SUMIF(Цвет!A:A,W12,Цвет!B:B)</f>
        <v>1</v>
      </c>
      <c r="AN12" s="111">
        <f ca="1">SUMIF(Пол!B:B,L12,Пол!C:C)</f>
        <v>1</v>
      </c>
      <c r="AO12" s="111">
        <f ca="1">SUMIF(Марка!A:A,G12,Марка!B:B)</f>
        <v>1</v>
      </c>
      <c r="AP12" s="111">
        <f ca="1">SUMIF(Страна!A:A,M12,Страна!B:B)</f>
        <v>1</v>
      </c>
      <c r="AQ12" s="77" t="e">
        <f ca="1">IF(VLOOKUP(T12,Товары!A:B,2,FALSE)=A12,"Есть в 1С","ERR")</f>
        <v>#N/A</v>
      </c>
      <c r="AR12" s="78" t="e">
        <f ca="1">IF(VLOOKUP(A12,Товары!B:B,1,FALSE)=A12,"Есть в 1С","ERR")</f>
        <v>#N/A</v>
      </c>
      <c r="AS12" s="110" t="e">
        <f ca="1">VLOOKUP(T12,Товары!A:B,2,FALSE)</f>
        <v>#N/A</v>
      </c>
      <c r="AT12" s="108" t="e">
        <f ca="1">VLOOKUP(T12,Товары!A:B,1,FALSE)</f>
        <v>#N/A</v>
      </c>
    </row>
    <row r="13" spans="1:46" x14ac:dyDescent="0.25">
      <c r="A13" s="124" t="str">
        <f t="shared" ca="1" si="5"/>
        <v>02-679-16</v>
      </c>
      <c r="B13" s="121" t="str">
        <f ca="1">UPPER(_xlfn.XLOOKUP($A13,Строчный!$A:$A,Строчный!B:B,"ERR",0))</f>
        <v>6611130 TEXAS DENIM</v>
      </c>
      <c r="C13" s="95" t="str">
        <f ca="1">PROPER(_xlfn.XLOOKUP($A13,Строчный!$A:$A,Строчный!C:C,"ERR",0))</f>
        <v>Кепки</v>
      </c>
      <c r="D13" s="95" t="str">
        <f ca="1">_xlfn.LET(_xlpm.DATA,(_xlfn.XLOOKUP($A13,Строчный!$A:$A,Строчный!D:D,"ERR",0)),UPPER(MID(_xlpm.DATA,1,1))&amp;LOWER(MID(_xlpm.DATA,2,LEN(_xlpm.DATA)-1)))</f>
        <v>Кепка уточка</v>
      </c>
      <c r="E13" s="95" t="str">
        <f ca="1">PROPER(_xlfn.XLOOKUP($A13,Строчный!$A:$A,Строчный!E:E,"ERR",0))</f>
        <v>Stetson</v>
      </c>
      <c r="F13" s="95" t="str">
        <f ca="1">LOWER(_xlfn.XLOOKUP($A13,Строчный!$A:$A,Строчный!F:F,"ERR",0))</f>
        <v>всесезон</v>
      </c>
      <c r="G13" s="95" t="str">
        <f ca="1">UPPER(_xlfn.XLOOKUP($A13,Строчный!$A:$A,Строчный!G:G,"ERR",0))</f>
        <v>STETSON</v>
      </c>
      <c r="H13" s="95" t="str">
        <f ca="1">LOWER(_xlfn.XLOOKUP($A13,Строчный!$A:$A,Строчный!H:H,"ERR",0))</f>
        <v>2</v>
      </c>
      <c r="I13" s="95" t="str">
        <f ca="1">LOWER(_xlfn.XLOOKUP($A13,Строчный!$A:$A,Строчный!I:I,"ERR",0))</f>
        <v>темно-синий</v>
      </c>
      <c r="J13" s="95" t="str">
        <f ca="1">SUBSTITUTE(LOWER(_xlfn.XLOOKUP($A13,Строчный!$A:$A,Строчный!J:J,"ERR",0)),"подклад","Подклад")</f>
        <v>100% хлопок / Подклад: 68% хлопок - 32% полиэстер</v>
      </c>
      <c r="K13" s="95" t="str">
        <f ca="1">LOWER(_xlfn.XLOOKUP($A13,Строчный!$A:$A,Строчный!K:K,"ERR",0))</f>
        <v>хлопковые</v>
      </c>
      <c r="L13" s="95" t="str">
        <f ca="1">PROPER(_xlfn.XLOOKUP($A13,Строчный!$A:$A,Строчный!L:L,"ERR",0))</f>
        <v>Унисекс</v>
      </c>
      <c r="M13" s="95" t="str">
        <f ca="1">PROPER(_xlfn.XLOOKUP($A13,Строчный!$A:$A,Строчный!N:N,"ERR",0))</f>
        <v>Болгария</v>
      </c>
      <c r="N13" s="104">
        <f ca="1">VALUE(_xlfn.XLOOKUP($A13,Строчный!$A:$A,Строчный!O:O,"ERR",0))</f>
        <v>1811.8479999999997</v>
      </c>
      <c r="O13" s="103" t="str">
        <f ca="1">_xlfn.XLOOKUP($A13,Строчный!$A:$A,Строчный!M:M,"ERR",0)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13" s="94">
        <f ca="1">_xlfn.XLOOKUP(MID(X13,11,2),Размеры!D:D,Размеры!A:A,"ERR",0)</f>
        <v>57</v>
      </c>
      <c r="Q13" s="94">
        <f ca="1">VALUE(_xlfn.XLOOKUP($A13,Строчный!$A:$A,Строчный!R:R,"ERR",0))</f>
        <v>1</v>
      </c>
      <c r="R13" s="14" t="s">
        <v>283</v>
      </c>
      <c r="S13" s="115" t="str">
        <f t="shared" ca="1" si="0"/>
        <v>Кепка STETSON арт. 6611130 TEXAS DENIM (темно-синий)</v>
      </c>
      <c r="T13" s="114" t="str">
        <f t="shared" ca="1" si="1"/>
        <v>Кепка STETSON арт. 6611130 TEXAS DENIM (темно-синий) {2}</v>
      </c>
      <c r="U13" s="18" t="str">
        <f t="shared" ca="1" si="2"/>
        <v>синий</v>
      </c>
      <c r="V13" s="18" t="str">
        <f t="shared" ca="1" si="3"/>
        <v>синий</v>
      </c>
      <c r="W13" s="132" t="str">
        <f t="shared" ca="1" si="4"/>
        <v>синий</v>
      </c>
      <c r="X13" s="87" t="str">
        <f ca="1"/>
        <v>02-679-16-57</v>
      </c>
      <c r="Y13" s="89" t="str">
        <f ca="1">VLOOKUP(C13,Группа!A:B,2,FALSE)</f>
        <v>Кепка</v>
      </c>
      <c r="Z13" s="111" t="str">
        <f ca="1">IFERROR(VLOOKUP(P13,Размеры!A:C,3,FALSE),"")</f>
        <v>57 M</v>
      </c>
      <c r="AA13" s="111" t="str">
        <f ca="1">VLOOKUP(I13,ЦветПолный!A:B,2,FALSE)</f>
        <v>16</v>
      </c>
      <c r="AB13" s="111" t="str">
        <f ca="1">IFERROR(VLOOKUP(P13,Размеры!A:D,4,FALSE),"")</f>
        <v>57</v>
      </c>
      <c r="AC13" s="111">
        <f ca="1">IF(LEFT(IFERROR(VLOOKUP(LOOKUP(2,1/SEARCH(B13,Товары!A:A),Товары!A:A),Товары!A:B,2,0),""),6)=MID(X13,1,6),1,0)</f>
        <v>0</v>
      </c>
      <c r="AE13" s="111">
        <f ca="1">SUMIF(Группа!A:A,C13,Группа!C:C)</f>
        <v>1</v>
      </c>
      <c r="AF13" s="111">
        <f ca="1">SUMIF(Группа!B:B,Y13,Группа!C:C)</f>
        <v>1</v>
      </c>
      <c r="AG13" s="111">
        <f ca="1">SUMIF(Формы!A:A,D13,Формы!B:B)</f>
        <v>1</v>
      </c>
      <c r="AH13" s="111">
        <f ca="1">SUMIF(Материал!A:A,K13,Материал!B:B)</f>
        <v>1</v>
      </c>
      <c r="AI13" s="111">
        <f ca="1">SUMIF(Размеры!A:A,P13,Размеры!E:E)</f>
        <v>1</v>
      </c>
      <c r="AJ13" s="111">
        <f ca="1">SUMIF(Сезон!A:A,F13,Сезон!B:B)</f>
        <v>1</v>
      </c>
      <c r="AK13" s="111">
        <f ca="1">SUMIF(Состав!A:A,J13,Состав!B:B)</f>
        <v>0</v>
      </c>
      <c r="AL13" s="111">
        <f ca="1">SUMIF(ЦветПолный!A:A,I13,ЦветПолный!C:C)</f>
        <v>8</v>
      </c>
      <c r="AM13" s="111">
        <f ca="1">SUMIF(Цвет!A:A,W13,Цвет!B:B)</f>
        <v>1</v>
      </c>
      <c r="AN13" s="111">
        <f ca="1">SUMIF(Пол!B:B,L13,Пол!C:C)</f>
        <v>1</v>
      </c>
      <c r="AO13" s="111">
        <f ca="1">SUMIF(Марка!A:A,G13,Марка!B:B)</f>
        <v>1</v>
      </c>
      <c r="AP13" s="111">
        <f ca="1">SUMIF(Страна!A:A,M13,Страна!B:B)</f>
        <v>1</v>
      </c>
      <c r="AQ13" s="77" t="e">
        <f ca="1">IF(VLOOKUP(T13,Товары!A:B,2,FALSE)=A13,"Есть в 1С","ERR")</f>
        <v>#N/A</v>
      </c>
      <c r="AR13" s="78" t="e">
        <f ca="1">IF(VLOOKUP(A13,Товары!B:B,1,FALSE)=A13,"Есть в 1С","ERR")</f>
        <v>#N/A</v>
      </c>
      <c r="AS13" s="110" t="e">
        <f ca="1">VLOOKUP(T13,Товары!A:B,2,FALSE)</f>
        <v>#N/A</v>
      </c>
      <c r="AT13" s="108" t="e">
        <f ca="1">VLOOKUP(T13,Товары!A:B,1,FALSE)</f>
        <v>#N/A</v>
      </c>
    </row>
    <row r="14" spans="1:46" x14ac:dyDescent="0.25">
      <c r="A14" s="124" t="str">
        <f t="shared" ca="1" si="5"/>
        <v>02-679-16</v>
      </c>
      <c r="B14" s="121" t="str">
        <f ca="1">UPPER(_xlfn.XLOOKUP($A14,Строчный!$A:$A,Строчный!B:B,"ERR",0))</f>
        <v>6611130 TEXAS DENIM</v>
      </c>
      <c r="C14" s="95" t="str">
        <f ca="1">PROPER(_xlfn.XLOOKUP($A14,Строчный!$A:$A,Строчный!C:C,"ERR",0))</f>
        <v>Кепки</v>
      </c>
      <c r="D14" s="95" t="str">
        <f ca="1">_xlfn.LET(_xlpm.DATA,(_xlfn.XLOOKUP($A14,Строчный!$A:$A,Строчный!D:D,"ERR",0)),UPPER(MID(_xlpm.DATA,1,1))&amp;LOWER(MID(_xlpm.DATA,2,LEN(_xlpm.DATA)-1)))</f>
        <v>Кепка уточка</v>
      </c>
      <c r="E14" s="95" t="str">
        <f ca="1">PROPER(_xlfn.XLOOKUP($A14,Строчный!$A:$A,Строчный!E:E,"ERR",0))</f>
        <v>Stetson</v>
      </c>
      <c r="F14" s="95" t="str">
        <f ca="1">LOWER(_xlfn.XLOOKUP($A14,Строчный!$A:$A,Строчный!F:F,"ERR",0))</f>
        <v>всесезон</v>
      </c>
      <c r="G14" s="95" t="str">
        <f ca="1">UPPER(_xlfn.XLOOKUP($A14,Строчный!$A:$A,Строчный!G:G,"ERR",0))</f>
        <v>STETSON</v>
      </c>
      <c r="H14" s="95" t="str">
        <f ca="1">LOWER(_xlfn.XLOOKUP($A14,Строчный!$A:$A,Строчный!H:H,"ERR",0))</f>
        <v>2</v>
      </c>
      <c r="I14" s="95" t="str">
        <f ca="1">LOWER(_xlfn.XLOOKUP($A14,Строчный!$A:$A,Строчный!I:I,"ERR",0))</f>
        <v>темно-синий</v>
      </c>
      <c r="J14" s="95" t="str">
        <f ca="1">SUBSTITUTE(LOWER(_xlfn.XLOOKUP($A14,Строчный!$A:$A,Строчный!J:J,"ERR",0)),"подклад","Подклад")</f>
        <v>100% хлопок / Подклад: 68% хлопок - 32% полиэстер</v>
      </c>
      <c r="K14" s="95" t="str">
        <f ca="1">LOWER(_xlfn.XLOOKUP($A14,Строчный!$A:$A,Строчный!K:K,"ERR",0))</f>
        <v>хлопковые</v>
      </c>
      <c r="L14" s="95" t="str">
        <f ca="1">PROPER(_xlfn.XLOOKUP($A14,Строчный!$A:$A,Строчный!L:L,"ERR",0))</f>
        <v>Унисекс</v>
      </c>
      <c r="M14" s="95" t="str">
        <f ca="1">PROPER(_xlfn.XLOOKUP($A14,Строчный!$A:$A,Строчный!N:N,"ERR",0))</f>
        <v>Болгария</v>
      </c>
      <c r="N14" s="104">
        <f ca="1">VALUE(_xlfn.XLOOKUP($A14,Строчный!$A:$A,Строчный!O:O,"ERR",0))</f>
        <v>1811.8479999999997</v>
      </c>
      <c r="O14" s="103" t="str">
        <f ca="1">_xlfn.XLOOKUP($A14,Строчный!$A:$A,Строчный!M:M,"ERR",0)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P14" s="94">
        <f ca="1">_xlfn.XLOOKUP(MID(X14,11,2),Размеры!D:D,Размеры!A:A,"ERR",0)</f>
        <v>55</v>
      </c>
      <c r="Q14" s="94">
        <f ca="1">VALUE(_xlfn.XLOOKUP($A14,Строчный!$A:$A,Строчный!R:R,"ERR",0))</f>
        <v>1</v>
      </c>
      <c r="R14" s="14" t="s">
        <v>283</v>
      </c>
      <c r="S14" s="115" t="str">
        <f t="shared" ca="1" si="0"/>
        <v>Кепка STETSON арт. 6611130 TEXAS DENIM (темно-синий)</v>
      </c>
      <c r="T14" s="114" t="str">
        <f t="shared" ca="1" si="1"/>
        <v>Кепка STETSON арт. 6611130 TEXAS DENIM (темно-синий) {2}</v>
      </c>
      <c r="U14" s="18" t="str">
        <f t="shared" ca="1" si="2"/>
        <v>синий</v>
      </c>
      <c r="V14" s="18" t="str">
        <f t="shared" ca="1" si="3"/>
        <v>синий</v>
      </c>
      <c r="W14" s="132" t="str">
        <f t="shared" ca="1" si="4"/>
        <v>синий</v>
      </c>
      <c r="X14" s="87" t="str">
        <f ca="1"/>
        <v>02-679-16-55</v>
      </c>
      <c r="Y14" s="89" t="str">
        <f ca="1">VLOOKUP(C14,Группа!A:B,2,FALSE)</f>
        <v>Кепка</v>
      </c>
      <c r="Z14" s="111" t="str">
        <f ca="1">IFERROR(VLOOKUP(P14,Размеры!A:C,3,FALSE),"")</f>
        <v>55 S</v>
      </c>
      <c r="AA14" s="111" t="str">
        <f ca="1">VLOOKUP(I14,ЦветПолный!A:B,2,FALSE)</f>
        <v>16</v>
      </c>
      <c r="AB14" s="111" t="str">
        <f ca="1">IFERROR(VLOOKUP(P14,Размеры!A:D,4,FALSE),"")</f>
        <v>55</v>
      </c>
      <c r="AC14" s="111">
        <f ca="1">IF(LEFT(IFERROR(VLOOKUP(LOOKUP(2,1/SEARCH(B14,Товары!A:A),Товары!A:A),Товары!A:B,2,0),""),6)=MID(X14,1,6),1,0)</f>
        <v>0</v>
      </c>
      <c r="AE14" s="111">
        <f ca="1">SUMIF(Группа!A:A,C14,Группа!C:C)</f>
        <v>1</v>
      </c>
      <c r="AF14" s="111">
        <f ca="1">SUMIF(Группа!B:B,Y14,Группа!C:C)</f>
        <v>1</v>
      </c>
      <c r="AG14" s="111">
        <f ca="1">SUMIF(Формы!A:A,D14,Формы!B:B)</f>
        <v>1</v>
      </c>
      <c r="AH14" s="111">
        <f ca="1">SUMIF(Материал!A:A,K14,Материал!B:B)</f>
        <v>1</v>
      </c>
      <c r="AI14" s="111">
        <f ca="1">SUMIF(Размеры!A:A,P14,Размеры!E:E)</f>
        <v>1</v>
      </c>
      <c r="AJ14" s="111">
        <f ca="1">SUMIF(Сезон!A:A,F14,Сезон!B:B)</f>
        <v>1</v>
      </c>
      <c r="AK14" s="111">
        <f ca="1">SUMIF(Состав!A:A,J14,Состав!B:B)</f>
        <v>0</v>
      </c>
      <c r="AL14" s="111">
        <f ca="1">SUMIF(ЦветПолный!A:A,I14,ЦветПолный!C:C)</f>
        <v>8</v>
      </c>
      <c r="AM14" s="111">
        <f ca="1">SUMIF(Цвет!A:A,W14,Цвет!B:B)</f>
        <v>1</v>
      </c>
      <c r="AN14" s="111">
        <f ca="1">SUMIF(Пол!B:B,L14,Пол!C:C)</f>
        <v>1</v>
      </c>
      <c r="AO14" s="111">
        <f ca="1">SUMIF(Марка!A:A,G14,Марка!B:B)</f>
        <v>1</v>
      </c>
      <c r="AP14" s="111">
        <f ca="1">SUMIF(Страна!A:A,M14,Страна!B:B)</f>
        <v>1</v>
      </c>
      <c r="AQ14" s="77" t="e">
        <f ca="1">IF(VLOOKUP(T14,Товары!A:B,2,FALSE)=A14,"Есть в 1С","ERR")</f>
        <v>#N/A</v>
      </c>
      <c r="AR14" s="78" t="e">
        <f ca="1">IF(VLOOKUP(A14,Товары!B:B,1,FALSE)=A14,"Есть в 1С","ERR")</f>
        <v>#N/A</v>
      </c>
      <c r="AS14" s="110" t="e">
        <f ca="1">VLOOKUP(T14,Товары!A:B,2,FALSE)</f>
        <v>#N/A</v>
      </c>
      <c r="AT14" s="108" t="e">
        <f ca="1">VLOOKUP(T14,Товары!A:B,1,FALSE)</f>
        <v>#N/A</v>
      </c>
    </row>
    <row r="15" spans="1:46" x14ac:dyDescent="0.25">
      <c r="A15" s="124" t="str">
        <f t="shared" ca="1" si="5"/>
        <v>02-678-86</v>
      </c>
      <c r="B15" s="121" t="str">
        <f ca="1">UPPER(_xlfn.XLOOKUP($A15,Строчный!$A:$A,Строчный!B:B,"ERR",0))</f>
        <v>7785101 BASEBALL CAP TOOTHPICK REBEL</v>
      </c>
      <c r="C15" s="95" t="str">
        <f ca="1">PROPER(_xlfn.XLOOKUP($A15,Строчный!$A:$A,Строчный!C:C,"ERR",0))</f>
        <v>Бейсболки</v>
      </c>
      <c r="D15" s="95" t="str">
        <f ca="1">_xlfn.LET(_xlpm.DATA,(_xlfn.XLOOKUP($A15,Строчный!$A:$A,Строчный!D:D,"ERR",0)),UPPER(MID(_xlpm.DATA,1,1))&amp;LOWER(MID(_xlpm.DATA,2,LEN(_xlpm.DATA)-1)))</f>
        <v>Бейсболка с прямым козырьком</v>
      </c>
      <c r="E15" s="95" t="str">
        <f ca="1">PROPER(_xlfn.XLOOKUP($A15,Строчный!$A:$A,Строчный!E:E,"ERR",0))</f>
        <v>Stetson</v>
      </c>
      <c r="F15" s="95" t="str">
        <f ca="1">LOWER(_xlfn.XLOOKUP($A15,Строчный!$A:$A,Строчный!F:F,"ERR",0))</f>
        <v>всесезон</v>
      </c>
      <c r="G15" s="95" t="str">
        <f ca="1">UPPER(_xlfn.XLOOKUP($A15,Строчный!$A:$A,Строчный!G:G,"ERR",0))</f>
        <v>STETSON</v>
      </c>
      <c r="H15" s="95" t="str">
        <f ca="1">LOWER(_xlfn.XLOOKUP($A15,Строчный!$A:$A,Строчный!H:H,"ERR",0))</f>
        <v>89</v>
      </c>
      <c r="I15" s="95" t="str">
        <f ca="1">LOWER(_xlfn.XLOOKUP($A15,Строчный!$A:$A,Строчный!I:I,"ERR",0))</f>
        <v>малиновый / черный</v>
      </c>
      <c r="J15" s="95" t="str">
        <f ca="1">SUBSTITUTE(LOWER(_xlfn.XLOOKUP($A15,Строчный!$A:$A,Строчный!J:J,"ERR",0)),"подклад","Подклад")</f>
        <v>100% полиэстер / Подклад: 100% хлопок</v>
      </c>
      <c r="K15" s="95" t="str">
        <f ca="1">LOWER(_xlfn.XLOOKUP($A15,Строчный!$A:$A,Строчный!K:K,"ERR",0))</f>
        <v>хлопковые</v>
      </c>
      <c r="L15" s="95" t="str">
        <f ca="1">PROPER(_xlfn.XLOOKUP($A15,Строчный!$A:$A,Строчный!L:L,"ERR",0))</f>
        <v>Унисекс</v>
      </c>
      <c r="M15" s="95" t="str">
        <f ca="1">PROPER(_xlfn.XLOOKUP($A15,Строчный!$A:$A,Строчный!N:N,"ERR",0))</f>
        <v>Китай</v>
      </c>
      <c r="N15" s="104">
        <f ca="1">VALUE(_xlfn.XLOOKUP($A15,Строчный!$A:$A,Строчный!O:O,"ERR",0))</f>
        <v>1178.8879999999997</v>
      </c>
      <c r="O15" s="103" t="str">
        <f ca="1">_xlfn.XLOOKUP($A15,Строчный!$A:$A,Строчный!M:M,"ERR",0)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5" s="94" t="str">
        <f ca="1">_xlfn.XLOOKUP(MID(X15,11,2),Размеры!D:D,Размеры!A:A,"ERR",0)</f>
        <v>ONE</v>
      </c>
      <c r="Q15" s="94">
        <f ca="1">VALUE(_xlfn.XLOOKUP($A15,Строчный!$A:$A,Строчный!R:R,"ERR",0))</f>
        <v>5</v>
      </c>
      <c r="R15" s="14" t="s">
        <v>283</v>
      </c>
      <c r="S15" s="115" t="str">
        <f t="shared" ca="1" si="0"/>
        <v>Бейсболка STETSON арт. 7785101 BASEBALL CAP TOOTHPICK REBEL (малиновый / черный)</v>
      </c>
      <c r="T15" s="114" t="str">
        <f t="shared" ca="1" si="1"/>
        <v>Бейсболка STETSON арт. 7785101 BASEBALL CAP TOOTHPICK REBEL (малиновый / черный) {89}</v>
      </c>
      <c r="U15" s="18" t="str">
        <f t="shared" ca="1" si="2"/>
        <v>малиновый</v>
      </c>
      <c r="V15" s="18" t="str">
        <f t="shared" ca="1" si="3"/>
        <v>черный</v>
      </c>
      <c r="W15" s="132" t="s">
        <v>25487</v>
      </c>
      <c r="X15" s="87" t="str">
        <f ca="1"/>
        <v>02-678-86-00</v>
      </c>
      <c r="Y15" s="89" t="str">
        <f ca="1">VLOOKUP(C15,Группа!A:B,2,FALSE)</f>
        <v>Бейсболка</v>
      </c>
      <c r="Z15" s="111" t="str">
        <f ca="1">IFERROR(VLOOKUP(P15,Размеры!A:C,3,FALSE),"")</f>
        <v>ONE</v>
      </c>
      <c r="AA15" s="111" t="str">
        <f ca="1">VLOOKUP(I15,ЦветПолный!A:B,2,FALSE)</f>
        <v>86</v>
      </c>
      <c r="AB15" s="111" t="str">
        <f ca="1">IFERROR(VLOOKUP(P15,Размеры!A:D,4,FALSE),"")</f>
        <v>00</v>
      </c>
      <c r="AC15" s="111">
        <f ca="1">IF(LEFT(IFERROR(VLOOKUP(LOOKUP(2,1/SEARCH(B15,Товары!A:A),Товары!A:A),Товары!A:B,2,0),""),6)=MID(X15,1,6),1,0)</f>
        <v>0</v>
      </c>
      <c r="AE15" s="111">
        <f ca="1">SUMIF(Группа!A:A,C15,Группа!C:C)</f>
        <v>1</v>
      </c>
      <c r="AF15" s="111">
        <f ca="1">SUMIF(Группа!B:B,Y15,Группа!C:C)</f>
        <v>1</v>
      </c>
      <c r="AG15" s="111">
        <f ca="1">SUMIF(Формы!A:A,D15,Формы!B:B)</f>
        <v>1</v>
      </c>
      <c r="AH15" s="111">
        <f ca="1">SUMIF(Материал!A:A,K15,Материал!B:B)</f>
        <v>1</v>
      </c>
      <c r="AI15" s="111">
        <f ca="1">SUMIF(Размеры!A:A,P15,Размеры!E:E)</f>
        <v>1</v>
      </c>
      <c r="AJ15" s="111">
        <f ca="1">SUMIF(Сезон!A:A,F15,Сезон!B:B)</f>
        <v>1</v>
      </c>
      <c r="AK15" s="111">
        <f ca="1">SUMIF(Состав!A:A,J15,Состав!B:B)</f>
        <v>0</v>
      </c>
      <c r="AL15" s="111">
        <f ca="1">SUMIF(ЦветПолный!A:A,I15,ЦветПолный!C:C)</f>
        <v>1</v>
      </c>
      <c r="AM15" s="111">
        <f>SUMIF(Цвет!A:A,W15,Цвет!B:B)</f>
        <v>1</v>
      </c>
      <c r="AN15" s="111">
        <f ca="1">SUMIF(Пол!B:B,L15,Пол!C:C)</f>
        <v>1</v>
      </c>
      <c r="AO15" s="111">
        <f ca="1">SUMIF(Марка!A:A,G15,Марка!B:B)</f>
        <v>1</v>
      </c>
      <c r="AP15" s="111">
        <f ca="1">SUMIF(Страна!A:A,M15,Страна!B:B)</f>
        <v>1</v>
      </c>
      <c r="AQ15" s="77" t="e">
        <f ca="1">IF(VLOOKUP(T15,Товары!A:B,2,FALSE)=A15,"Есть в 1С","ERR")</f>
        <v>#N/A</v>
      </c>
      <c r="AR15" s="78" t="e">
        <f ca="1">IF(VLOOKUP(A15,Товары!B:B,1,FALSE)=A15,"Есть в 1С","ERR")</f>
        <v>#N/A</v>
      </c>
      <c r="AS15" s="110" t="e">
        <f ca="1">VLOOKUP(T15,Товары!A:B,2,FALSE)</f>
        <v>#N/A</v>
      </c>
      <c r="AT15" s="108" t="e">
        <f ca="1">VLOOKUP(T15,Товары!A:B,1,FALSE)</f>
        <v>#N/A</v>
      </c>
    </row>
    <row r="16" spans="1:46" x14ac:dyDescent="0.25">
      <c r="A16" s="124" t="str">
        <f t="shared" ca="1" si="5"/>
        <v>02-675-14</v>
      </c>
      <c r="B16" s="121" t="str">
        <f ca="1">UPPER(_xlfn.XLOOKUP($A16,Строчный!$A:$A,Строчный!B:B,"ERR",0))</f>
        <v>7721122 BASEBALL CAP DUCK</v>
      </c>
      <c r="C16" s="95" t="str">
        <f ca="1">PROPER(_xlfn.XLOOKUP($A16,Строчный!$A:$A,Строчный!C:C,"ERR",0))</f>
        <v>Бейсболки</v>
      </c>
      <c r="D16" s="95" t="str">
        <f ca="1">_xlfn.LET(_xlpm.DATA,(_xlfn.XLOOKUP($A16,Строчный!$A:$A,Строчный!D:D,"ERR",0)),UPPER(MID(_xlpm.DATA,1,1))&amp;LOWER(MID(_xlpm.DATA,2,LEN(_xlpm.DATA)-1)))</f>
        <v>Бейсболка</v>
      </c>
      <c r="E16" s="95" t="str">
        <f ca="1">PROPER(_xlfn.XLOOKUP($A16,Строчный!$A:$A,Строчный!E:E,"ERR",0))</f>
        <v>Stetson</v>
      </c>
      <c r="F16" s="95" t="str">
        <f ca="1">LOWER(_xlfn.XLOOKUP($A16,Строчный!$A:$A,Строчный!F:F,"ERR",0))</f>
        <v>всесезон</v>
      </c>
      <c r="G16" s="95" t="str">
        <f ca="1">UPPER(_xlfn.XLOOKUP($A16,Строчный!$A:$A,Строчный!G:G,"ERR",0))</f>
        <v>STETSON</v>
      </c>
      <c r="H16" s="95" t="str">
        <f ca="1">LOWER(_xlfn.XLOOKUP($A16,Строчный!$A:$A,Строчный!H:H,"ERR",0))</f>
        <v>6</v>
      </c>
      <c r="I16" s="95" t="str">
        <f ca="1">LOWER(_xlfn.XLOOKUP($A16,Строчный!$A:$A,Строчный!I:I,"ERR",0))</f>
        <v>коричневый</v>
      </c>
      <c r="J16" s="95" t="str">
        <f ca="1">SUBSTITUTE(LOWER(_xlfn.XLOOKUP($A16,Строчный!$A:$A,Строчный!J:J,"ERR",0)),"подклад","Подклад")</f>
        <v>100% хлопок / Подклад: 100% хлопок</v>
      </c>
      <c r="K16" s="95" t="str">
        <f ca="1">LOWER(_xlfn.XLOOKUP($A16,Строчный!$A:$A,Строчный!K:K,"ERR",0))</f>
        <v>хлопковые</v>
      </c>
      <c r="L16" s="95" t="str">
        <f ca="1">PROPER(_xlfn.XLOOKUP($A16,Строчный!$A:$A,Строчный!L:L,"ERR",0))</f>
        <v>Унисекс</v>
      </c>
      <c r="M16" s="95" t="str">
        <f ca="1">PROPER(_xlfn.XLOOKUP($A16,Строчный!$A:$A,Строчный!N:N,"ERR",0))</f>
        <v>Китай</v>
      </c>
      <c r="N16" s="104">
        <f ca="1">VALUE(_xlfn.XLOOKUP($A16,Строчный!$A:$A,Строчный!O:O,"ERR",0))</f>
        <v>1495.3679999999997</v>
      </c>
      <c r="O16" s="103" t="str">
        <f ca="1">_xlfn.XLOOKUP($A16,Строчный!$A:$A,Строчный!M:M,"ERR",0)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6" s="94" t="str">
        <f ca="1">_xlfn.XLOOKUP(MID(X16,11,2),Размеры!D:D,Размеры!A:A,"ERR",0)</f>
        <v>ONE</v>
      </c>
      <c r="Q16" s="94">
        <f ca="1">VALUE(_xlfn.XLOOKUP($A16,Строчный!$A:$A,Строчный!R:R,"ERR",0))</f>
        <v>40</v>
      </c>
      <c r="R16" s="14" t="s">
        <v>283</v>
      </c>
      <c r="S16" s="115" t="str">
        <f t="shared" ca="1" si="0"/>
        <v>Бейсболка STETSON арт. 7721122 BASEBALL CAP DUCK (коричневый)</v>
      </c>
      <c r="T16" s="114" t="str">
        <f t="shared" ca="1" si="1"/>
        <v>Бейсболка STETSON арт. 7721122 BASEBALL CAP DUCK (коричневый) {6}</v>
      </c>
      <c r="U16" s="18" t="str">
        <f t="shared" ca="1" si="2"/>
        <v>коричневый</v>
      </c>
      <c r="V16" s="18" t="str">
        <f t="shared" ca="1" si="3"/>
        <v>коричневый</v>
      </c>
      <c r="W16" s="132" t="str">
        <f t="shared" ca="1" si="4"/>
        <v>коричневый</v>
      </c>
      <c r="X16" s="87" t="str">
        <f ca="1"/>
        <v>02-675-14-00</v>
      </c>
      <c r="Y16" s="89" t="str">
        <f ca="1">VLOOKUP(C16,Группа!A:B,2,FALSE)</f>
        <v>Бейсболка</v>
      </c>
      <c r="Z16" s="111" t="str">
        <f ca="1">IFERROR(VLOOKUP(P16,Размеры!A:C,3,FALSE),"")</f>
        <v>ONE</v>
      </c>
      <c r="AA16" s="111" t="str">
        <f ca="1">VLOOKUP(I16,ЦветПолный!A:B,2,FALSE)</f>
        <v>14</v>
      </c>
      <c r="AB16" s="111" t="str">
        <f ca="1">IFERROR(VLOOKUP(P16,Размеры!A:D,4,FALSE),"")</f>
        <v>00</v>
      </c>
      <c r="AC16" s="111">
        <f ca="1">IF(LEFT(IFERROR(VLOOKUP(LOOKUP(2,1/SEARCH(B16,Товары!A:A),Товары!A:A),Товары!A:B,2,0),""),6)=MID(X16,1,6),1,0)</f>
        <v>0</v>
      </c>
      <c r="AE16" s="111">
        <f ca="1">SUMIF(Группа!A:A,C16,Группа!C:C)</f>
        <v>1</v>
      </c>
      <c r="AF16" s="111">
        <f ca="1">SUMIF(Группа!B:B,Y16,Группа!C:C)</f>
        <v>1</v>
      </c>
      <c r="AG16" s="111">
        <f ca="1">SUMIF(Формы!A:A,D16,Формы!B:B)</f>
        <v>1</v>
      </c>
      <c r="AH16" s="111">
        <f ca="1">SUMIF(Материал!A:A,K16,Материал!B:B)</f>
        <v>1</v>
      </c>
      <c r="AI16" s="111">
        <f ca="1">SUMIF(Размеры!A:A,P16,Размеры!E:E)</f>
        <v>1</v>
      </c>
      <c r="AJ16" s="111">
        <f ca="1">SUMIF(Сезон!A:A,F16,Сезон!B:B)</f>
        <v>1</v>
      </c>
      <c r="AK16" s="111">
        <f ca="1">SUMIF(Состав!A:A,J16,Состав!B:B)</f>
        <v>0</v>
      </c>
      <c r="AL16" s="111">
        <f ca="1">SUMIF(ЦветПолный!A:A,I16,ЦветПолный!C:C)</f>
        <v>14</v>
      </c>
      <c r="AM16" s="111">
        <f ca="1">SUMIF(Цвет!A:A,W16,Цвет!B:B)</f>
        <v>1</v>
      </c>
      <c r="AN16" s="111">
        <f ca="1">SUMIF(Пол!B:B,L16,Пол!C:C)</f>
        <v>1</v>
      </c>
      <c r="AO16" s="111">
        <f ca="1">SUMIF(Марка!A:A,G16,Марка!B:B)</f>
        <v>1</v>
      </c>
      <c r="AP16" s="111">
        <f ca="1">SUMIF(Страна!A:A,M16,Страна!B:B)</f>
        <v>1</v>
      </c>
      <c r="AQ16" s="77" t="e">
        <f ca="1">IF(VLOOKUP(T16,Товары!A:B,2,FALSE)=A16,"Есть в 1С","ERR")</f>
        <v>#N/A</v>
      </c>
      <c r="AR16" s="78" t="e">
        <f ca="1">IF(VLOOKUP(A16,Товары!B:B,1,FALSE)=A16,"Есть в 1С","ERR")</f>
        <v>#N/A</v>
      </c>
      <c r="AS16" s="110" t="e">
        <f ca="1">VLOOKUP(T16,Товары!A:B,2,FALSE)</f>
        <v>#N/A</v>
      </c>
      <c r="AT16" s="108" t="e">
        <f ca="1">VLOOKUP(T16,Товары!A:B,1,FALSE)</f>
        <v>#N/A</v>
      </c>
    </row>
    <row r="17" spans="1:46" x14ac:dyDescent="0.25">
      <c r="A17" s="124" t="str">
        <f t="shared" ca="1" si="5"/>
        <v>02-674-03</v>
      </c>
      <c r="B17" s="121" t="str">
        <f ca="1">UPPER(_xlfn.XLOOKUP($A17,Строчный!$A:$A,Строчный!B:B,"ERR",0))</f>
        <v>7721110 BASEBALL CAP COTTON</v>
      </c>
      <c r="C17" s="95" t="str">
        <f ca="1">PROPER(_xlfn.XLOOKUP($A17,Строчный!$A:$A,Строчный!C:C,"ERR",0))</f>
        <v>Бейсболки</v>
      </c>
      <c r="D17" s="95" t="str">
        <f ca="1">_xlfn.LET(_xlpm.DATA,(_xlfn.XLOOKUP($A17,Строчный!$A:$A,Строчный!D:D,"ERR",0)),UPPER(MID(_xlpm.DATA,1,1))&amp;LOWER(MID(_xlpm.DATA,2,LEN(_xlpm.DATA)-1)))</f>
        <v>Бейсболка</v>
      </c>
      <c r="E17" s="95" t="str">
        <f ca="1">PROPER(_xlfn.XLOOKUP($A17,Строчный!$A:$A,Строчный!E:E,"ERR",0))</f>
        <v>Stetson</v>
      </c>
      <c r="F17" s="95" t="str">
        <f ca="1">LOWER(_xlfn.XLOOKUP($A17,Строчный!$A:$A,Строчный!F:F,"ERR",0))</f>
        <v>всесезон</v>
      </c>
      <c r="G17" s="95" t="str">
        <f ca="1">UPPER(_xlfn.XLOOKUP($A17,Строчный!$A:$A,Строчный!G:G,"ERR",0))</f>
        <v>STETSON</v>
      </c>
      <c r="H17" s="95" t="str">
        <f ca="1">LOWER(_xlfn.XLOOKUP($A17,Строчный!$A:$A,Строчный!H:H,"ERR",0))</f>
        <v>5</v>
      </c>
      <c r="I17" s="95" t="str">
        <f ca="1">LOWER(_xlfn.XLOOKUP($A17,Строчный!$A:$A,Строчный!I:I,"ERR",0))</f>
        <v>оливковый</v>
      </c>
      <c r="J17" s="95" t="str">
        <f ca="1">SUBSTITUTE(LOWER(_xlfn.XLOOKUP($A17,Строчный!$A:$A,Строчный!J:J,"ERR",0)),"подклад","Подклад")</f>
        <v>100% хлопок / Подклад: 100% хлопок</v>
      </c>
      <c r="K17" s="95" t="str">
        <f ca="1">LOWER(_xlfn.XLOOKUP($A17,Строчный!$A:$A,Строчный!K:K,"ERR",0))</f>
        <v>хлопковые</v>
      </c>
      <c r="L17" s="95" t="str">
        <f ca="1">PROPER(_xlfn.XLOOKUP($A17,Строчный!$A:$A,Строчный!L:L,"ERR",0))</f>
        <v>Унисекс</v>
      </c>
      <c r="M17" s="95" t="str">
        <f ca="1">PROPER(_xlfn.XLOOKUP($A17,Строчный!$A:$A,Строчный!N:N,"ERR",0))</f>
        <v>Китай</v>
      </c>
      <c r="N17" s="104">
        <f ca="1">VALUE(_xlfn.XLOOKUP($A17,Строчный!$A:$A,Строчный!O:O,"ERR",0))</f>
        <v>1178.8879999999997</v>
      </c>
      <c r="O17" s="103" t="str">
        <f ca="1">_xlfn.XLOOKUP($A17,Строчный!$A:$A,Строчный!M:M,"ERR",0)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7" s="94" t="str">
        <f ca="1">_xlfn.XLOOKUP(MID(X17,11,2),Размеры!D:D,Размеры!A:A,"ERR",0)</f>
        <v>ONE</v>
      </c>
      <c r="Q17" s="94">
        <f ca="1">VALUE(_xlfn.XLOOKUP($A17,Строчный!$A:$A,Строчный!R:R,"ERR",0))</f>
        <v>10</v>
      </c>
      <c r="R17" s="14" t="s">
        <v>283</v>
      </c>
      <c r="S17" s="115" t="str">
        <f t="shared" ca="1" si="0"/>
        <v>Бейсболка STETSON арт. 7721110 BASEBALL CAP COTTON (оливковый)</v>
      </c>
      <c r="T17" s="114" t="str">
        <f t="shared" ca="1" si="1"/>
        <v>Бейсболка STETSON арт. 7721110 BASEBALL CAP COTTON (оливковый) {5}</v>
      </c>
      <c r="U17" s="18" t="str">
        <f t="shared" ca="1" si="2"/>
        <v>оливковый</v>
      </c>
      <c r="V17" s="18" t="str">
        <f t="shared" ca="1" si="3"/>
        <v>оливковый</v>
      </c>
      <c r="W17" s="132" t="str">
        <f t="shared" ca="1" si="4"/>
        <v>оливковый</v>
      </c>
      <c r="X17" s="87" t="str">
        <f ca="1"/>
        <v>02-674-03-00</v>
      </c>
      <c r="Y17" s="89" t="str">
        <f ca="1">VLOOKUP(C17,Группа!A:B,2,FALSE)</f>
        <v>Бейсболка</v>
      </c>
      <c r="Z17" s="111" t="str">
        <f ca="1">IFERROR(VLOOKUP(P17,Размеры!A:C,3,FALSE),"")</f>
        <v>ONE</v>
      </c>
      <c r="AA17" s="111" t="str">
        <f ca="1">VLOOKUP(I17,ЦветПолный!A:B,2,FALSE)</f>
        <v>03</v>
      </c>
      <c r="AB17" s="111" t="str">
        <f ca="1">IFERROR(VLOOKUP(P17,Размеры!A:D,4,FALSE),"")</f>
        <v>00</v>
      </c>
      <c r="AC17" s="111">
        <f ca="1">IF(LEFT(IFERROR(VLOOKUP(LOOKUP(2,1/SEARCH(B17,Товары!A:A),Товары!A:A),Товары!A:B,2,0),""),6)=MID(X17,1,6),1,0)</f>
        <v>0</v>
      </c>
      <c r="AE17" s="111">
        <f ca="1">SUMIF(Группа!A:A,C17,Группа!C:C)</f>
        <v>1</v>
      </c>
      <c r="AF17" s="111">
        <f ca="1">SUMIF(Группа!B:B,Y17,Группа!C:C)</f>
        <v>1</v>
      </c>
      <c r="AG17" s="111">
        <f ca="1">SUMIF(Формы!A:A,D17,Формы!B:B)</f>
        <v>1</v>
      </c>
      <c r="AH17" s="111">
        <f ca="1">SUMIF(Материал!A:A,K17,Материал!B:B)</f>
        <v>1</v>
      </c>
      <c r="AI17" s="111">
        <f ca="1">SUMIF(Размеры!A:A,P17,Размеры!E:E)</f>
        <v>1</v>
      </c>
      <c r="AJ17" s="111">
        <f ca="1">SUMIF(Сезон!A:A,F17,Сезон!B:B)</f>
        <v>1</v>
      </c>
      <c r="AK17" s="111">
        <f ca="1">SUMIF(Состав!A:A,J17,Состав!B:B)</f>
        <v>0</v>
      </c>
      <c r="AL17" s="111">
        <f ca="1">SUMIF(ЦветПолный!A:A,I17,ЦветПолный!C:C)</f>
        <v>7</v>
      </c>
      <c r="AM17" s="111">
        <f ca="1">SUMIF(Цвет!A:A,W17,Цвет!B:B)</f>
        <v>1</v>
      </c>
      <c r="AN17" s="111">
        <f ca="1">SUMIF(Пол!B:B,L17,Пол!C:C)</f>
        <v>1</v>
      </c>
      <c r="AO17" s="111">
        <f ca="1">SUMIF(Марка!A:A,G17,Марка!B:B)</f>
        <v>1</v>
      </c>
      <c r="AP17" s="111">
        <f ca="1">SUMIF(Страна!A:A,M17,Страна!B:B)</f>
        <v>1</v>
      </c>
      <c r="AQ17" s="77" t="e">
        <f ca="1">IF(VLOOKUP(T17,Товары!A:B,2,FALSE)=A17,"Есть в 1С","ERR")</f>
        <v>#N/A</v>
      </c>
      <c r="AR17" s="78" t="e">
        <f ca="1">IF(VLOOKUP(A17,Товары!B:B,1,FALSE)=A17,"Есть в 1С","ERR")</f>
        <v>#N/A</v>
      </c>
      <c r="AS17" s="110" t="e">
        <f ca="1">VLOOKUP(T17,Товары!A:B,2,FALSE)</f>
        <v>#N/A</v>
      </c>
      <c r="AT17" s="108" t="e">
        <f ca="1">VLOOKUP(T17,Товары!A:B,1,FALSE)</f>
        <v>#N/A</v>
      </c>
    </row>
    <row r="18" spans="1:46" x14ac:dyDescent="0.25">
      <c r="A18" s="124" t="str">
        <f t="shared" ca="1" si="5"/>
        <v>02-673-70</v>
      </c>
      <c r="B18" s="121" t="str">
        <f ca="1">UPPER(_xlfn.XLOOKUP($A18,Строчный!$A:$A,Строчный!B:B,"ERR",0))</f>
        <v>7751196 TRUCKER CAP CHROME</v>
      </c>
      <c r="C18" s="95" t="str">
        <f ca="1">PROPER(_xlfn.XLOOKUP($A18,Строчный!$A:$A,Строчный!C:C,"ERR",0))</f>
        <v>Бейсболки</v>
      </c>
      <c r="D18" s="95" t="str">
        <f ca="1">_xlfn.LET(_xlpm.DATA,(_xlfn.XLOOKUP($A18,Строчный!$A:$A,Строчный!D:D,"ERR",0)),UPPER(MID(_xlpm.DATA,1,1))&amp;LOWER(MID(_xlpm.DATA,2,LEN(_xlpm.DATA)-1)))</f>
        <v>Бейсболка с сеточкой</v>
      </c>
      <c r="E18" s="95" t="str">
        <f ca="1">PROPER(_xlfn.XLOOKUP($A18,Строчный!$A:$A,Строчный!E:E,"ERR",0))</f>
        <v>Stetson</v>
      </c>
      <c r="F18" s="95" t="str">
        <f ca="1">LOWER(_xlfn.XLOOKUP($A18,Строчный!$A:$A,Строчный!F:F,"ERR",0))</f>
        <v>всесезон</v>
      </c>
      <c r="G18" s="95" t="str">
        <f ca="1">UPPER(_xlfn.XLOOKUP($A18,Строчный!$A:$A,Строчный!G:G,"ERR",0))</f>
        <v>STETSON</v>
      </c>
      <c r="H18" s="95" t="str">
        <f ca="1">LOWER(_xlfn.XLOOKUP($A18,Строчный!$A:$A,Строчный!H:H,"ERR",0))</f>
        <v>25</v>
      </c>
      <c r="I18" s="95" t="str">
        <f ca="1">LOWER(_xlfn.XLOOKUP($A18,Строчный!$A:$A,Строчный!I:I,"ERR",0))</f>
        <v>синий / оливковый</v>
      </c>
      <c r="J18" s="95" t="str">
        <f ca="1">SUBSTITUTE(LOWER(_xlfn.XLOOKUP($A18,Строчный!$A:$A,Строчный!J:J,"ERR",0)),"подклад","Подклад")</f>
        <v>100% хлопок / Подклад: 100% хлопок</v>
      </c>
      <c r="K18" s="95" t="str">
        <f ca="1">LOWER(_xlfn.XLOOKUP($A18,Строчный!$A:$A,Строчный!K:K,"ERR",0))</f>
        <v>хлопковые</v>
      </c>
      <c r="L18" s="95" t="str">
        <f ca="1">PROPER(_xlfn.XLOOKUP($A18,Строчный!$A:$A,Строчный!L:L,"ERR",0))</f>
        <v>Унисекс</v>
      </c>
      <c r="M18" s="95" t="str">
        <f ca="1">PROPER(_xlfn.XLOOKUP($A18,Строчный!$A:$A,Строчный!N:N,"ERR",0))</f>
        <v>Китай</v>
      </c>
      <c r="N18" s="104">
        <f ca="1">VALUE(_xlfn.XLOOKUP($A18,Строчный!$A:$A,Строчный!O:O,"ERR",0))</f>
        <v>1178.8879999999997</v>
      </c>
      <c r="O18" s="103" t="str">
        <f ca="1">_xlfn.XLOOKUP($A18,Строчный!$A:$A,Строчный!M:M,"ERR",0)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8" s="94" t="str">
        <f ca="1">_xlfn.XLOOKUP(MID(X18,11,2),Размеры!D:D,Размеры!A:A,"ERR",0)</f>
        <v>ONE</v>
      </c>
      <c r="Q18" s="94">
        <f ca="1">VALUE(_xlfn.XLOOKUP($A18,Строчный!$A:$A,Строчный!R:R,"ERR",0))</f>
        <v>115</v>
      </c>
      <c r="R18" s="14" t="s">
        <v>283</v>
      </c>
      <c r="S18" s="115" t="str">
        <f t="shared" ca="1" si="0"/>
        <v>Бейсболка STETSON арт. 7751196 TRUCKER CAP CHROME (синий / оливковый)</v>
      </c>
      <c r="T18" s="114" t="str">
        <f t="shared" ca="1" si="1"/>
        <v>Бейсболка STETSON арт. 7751196 TRUCKER CAP CHROME (синий / оливковый) {25}</v>
      </c>
      <c r="U18" s="18" t="str">
        <f t="shared" ca="1" si="2"/>
        <v>синий</v>
      </c>
      <c r="V18" s="18" t="str">
        <f t="shared" ca="1" si="3"/>
        <v>оливковый</v>
      </c>
      <c r="W18" s="132" t="str">
        <f t="shared" ca="1" si="4"/>
        <v>синий</v>
      </c>
      <c r="X18" s="87" t="str">
        <f ca="1"/>
        <v>02-673-70-00</v>
      </c>
      <c r="Y18" s="89" t="str">
        <f ca="1">VLOOKUP(C18,Группа!A:B,2,FALSE)</f>
        <v>Бейсболка</v>
      </c>
      <c r="Z18" s="111" t="str">
        <f ca="1">IFERROR(VLOOKUP(P18,Размеры!A:C,3,FALSE),"")</f>
        <v>ONE</v>
      </c>
      <c r="AA18" s="111" t="str">
        <f ca="1">VLOOKUP(I18,ЦветПолный!A:B,2,FALSE)</f>
        <v>70</v>
      </c>
      <c r="AB18" s="111" t="str">
        <f ca="1">IFERROR(VLOOKUP(P18,Размеры!A:D,4,FALSE),"")</f>
        <v>00</v>
      </c>
      <c r="AC18" s="111">
        <f ca="1">IF(LEFT(IFERROR(VLOOKUP(LOOKUP(2,1/SEARCH(B18,Товары!A:A),Товары!A:A),Товары!A:B,2,0),""),6)=MID(X18,1,6),1,0)</f>
        <v>0</v>
      </c>
      <c r="AE18" s="111">
        <f ca="1">SUMIF(Группа!A:A,C18,Группа!C:C)</f>
        <v>1</v>
      </c>
      <c r="AF18" s="111">
        <f ca="1">SUMIF(Группа!B:B,Y18,Группа!C:C)</f>
        <v>1</v>
      </c>
      <c r="AG18" s="111">
        <f ca="1">SUMIF(Формы!A:A,D18,Формы!B:B)</f>
        <v>1</v>
      </c>
      <c r="AH18" s="111">
        <f ca="1">SUMIF(Материал!A:A,K18,Материал!B:B)</f>
        <v>1</v>
      </c>
      <c r="AI18" s="111">
        <f ca="1">SUMIF(Размеры!A:A,P18,Размеры!E:E)</f>
        <v>1</v>
      </c>
      <c r="AJ18" s="111">
        <f ca="1">SUMIF(Сезон!A:A,F18,Сезон!B:B)</f>
        <v>1</v>
      </c>
      <c r="AK18" s="111">
        <f ca="1">SUMIF(Состав!A:A,J18,Состав!B:B)</f>
        <v>0</v>
      </c>
      <c r="AL18" s="111">
        <f ca="1">SUMIF(ЦветПолный!A:A,I18,ЦветПолный!C:C)</f>
        <v>2</v>
      </c>
      <c r="AM18" s="111">
        <f ca="1">SUMIF(Цвет!A:A,W18,Цвет!B:B)</f>
        <v>1</v>
      </c>
      <c r="AN18" s="111">
        <f ca="1">SUMIF(Пол!B:B,L18,Пол!C:C)</f>
        <v>1</v>
      </c>
      <c r="AO18" s="111">
        <f ca="1">SUMIF(Марка!A:A,G18,Марка!B:B)</f>
        <v>1</v>
      </c>
      <c r="AP18" s="111">
        <f ca="1">SUMIF(Страна!A:A,M18,Страна!B:B)</f>
        <v>1</v>
      </c>
      <c r="AQ18" s="77" t="e">
        <f ca="1">IF(VLOOKUP(T18,Товары!A:B,2,FALSE)=A18,"Есть в 1С","ERR")</f>
        <v>#N/A</v>
      </c>
      <c r="AR18" s="78" t="e">
        <f ca="1">IF(VLOOKUP(A18,Товары!B:B,1,FALSE)=A18,"Есть в 1С","ERR")</f>
        <v>#N/A</v>
      </c>
      <c r="AS18" s="110" t="e">
        <f ca="1">VLOOKUP(T18,Товары!A:B,2,FALSE)</f>
        <v>#N/A</v>
      </c>
      <c r="AT18" s="108" t="e">
        <f ca="1">VLOOKUP(T18,Товары!A:B,1,FALSE)</f>
        <v>#N/A</v>
      </c>
    </row>
    <row r="19" spans="1:46" x14ac:dyDescent="0.25">
      <c r="A19" s="124" t="str">
        <f t="shared" ca="1" si="5"/>
        <v>02-672-14</v>
      </c>
      <c r="B19" s="121" t="str">
        <f ca="1">UPPER(_xlfn.XLOOKUP($A19,Строчный!$A:$A,Строчный!B:B,"ERR",0))</f>
        <v>7751194 TRUCKER CAP SUN</v>
      </c>
      <c r="C19" s="95" t="str">
        <f ca="1">PROPER(_xlfn.XLOOKUP($A19,Строчный!$A:$A,Строчный!C:C,"ERR",0))</f>
        <v>Бейсболки</v>
      </c>
      <c r="D19" s="95" t="str">
        <f ca="1">_xlfn.LET(_xlpm.DATA,(_xlfn.XLOOKUP($A19,Строчный!$A:$A,Строчный!D:D,"ERR",0)),UPPER(MID(_xlpm.DATA,1,1))&amp;LOWER(MID(_xlpm.DATA,2,LEN(_xlpm.DATA)-1)))</f>
        <v>Бейсболка с сеточкой</v>
      </c>
      <c r="E19" s="95" t="str">
        <f ca="1">PROPER(_xlfn.XLOOKUP($A19,Строчный!$A:$A,Строчный!E:E,"ERR",0))</f>
        <v>Stetson</v>
      </c>
      <c r="F19" s="95" t="str">
        <f ca="1">LOWER(_xlfn.XLOOKUP($A19,Строчный!$A:$A,Строчный!F:F,"ERR",0))</f>
        <v>всесезон</v>
      </c>
      <c r="G19" s="95" t="str">
        <f ca="1">UPPER(_xlfn.XLOOKUP($A19,Строчный!$A:$A,Строчный!G:G,"ERR",0))</f>
        <v>STETSON</v>
      </c>
      <c r="H19" s="95" t="str">
        <f ca="1">LOWER(_xlfn.XLOOKUP($A19,Строчный!$A:$A,Строчный!H:H,"ERR",0))</f>
        <v>5</v>
      </c>
      <c r="I19" s="95" t="str">
        <f ca="1">LOWER(_xlfn.XLOOKUP($A19,Строчный!$A:$A,Строчный!I:I,"ERR",0))</f>
        <v>оливковый / белый</v>
      </c>
      <c r="J19" s="95" t="str">
        <f ca="1">SUBSTITUTE(LOWER(_xlfn.XLOOKUP($A19,Строчный!$A:$A,Строчный!J:J,"ERR",0)),"подклад","Подклад")</f>
        <v>100% хлопок / Подклад: 100% хлопок</v>
      </c>
      <c r="K19" s="95" t="str">
        <f ca="1">LOWER(_xlfn.XLOOKUP($A19,Строчный!$A:$A,Строчный!K:K,"ERR",0))</f>
        <v>хлопковые</v>
      </c>
      <c r="L19" s="95" t="str">
        <f ca="1">PROPER(_xlfn.XLOOKUP($A19,Строчный!$A:$A,Строчный!L:L,"ERR",0))</f>
        <v>Унисекс</v>
      </c>
      <c r="M19" s="95" t="str">
        <f ca="1">PROPER(_xlfn.XLOOKUP($A19,Строчный!$A:$A,Строчный!N:N,"ERR",0))</f>
        <v>Китай</v>
      </c>
      <c r="N19" s="104">
        <f ca="1">VALUE(_xlfn.XLOOKUP($A19,Строчный!$A:$A,Строчный!O:O,"ERR",0))</f>
        <v>1178.8879999999997</v>
      </c>
      <c r="O19" s="103" t="str">
        <f ca="1">_xlfn.XLOOKUP($A19,Строчный!$A:$A,Строчный!M:M,"ERR",0)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19" s="94" t="str">
        <f ca="1">_xlfn.XLOOKUP(MID(X19,11,2),Размеры!D:D,Размеры!A:A,"ERR",0)</f>
        <v>ONE</v>
      </c>
      <c r="Q19" s="94">
        <f ca="1">VALUE(_xlfn.XLOOKUP($A19,Строчный!$A:$A,Строчный!R:R,"ERR",0))</f>
        <v>115</v>
      </c>
      <c r="R19" s="14" t="s">
        <v>283</v>
      </c>
      <c r="S19" s="115" t="str">
        <f t="shared" ca="1" si="0"/>
        <v>Бейсболка STETSON арт. 7751194 TRUCKER CAP SUN (оливковый / белый)</v>
      </c>
      <c r="T19" s="114" t="str">
        <f t="shared" ca="1" si="1"/>
        <v>Бейсболка STETSON арт. 7751194 TRUCKER CAP SUN (оливковый / белый) {5}</v>
      </c>
      <c r="U19" s="18" t="str">
        <f t="shared" ca="1" si="2"/>
        <v>оливковый</v>
      </c>
      <c r="V19" s="18" t="str">
        <f t="shared" ca="1" si="3"/>
        <v>белый</v>
      </c>
      <c r="W19" s="132" t="str">
        <f t="shared" ca="1" si="4"/>
        <v>оливковый</v>
      </c>
      <c r="X19" s="87" t="str">
        <f ca="1"/>
        <v>02-672-14-00</v>
      </c>
      <c r="Y19" s="89" t="str">
        <f ca="1">VLOOKUP(C19,Группа!A:B,2,FALSE)</f>
        <v>Бейсболка</v>
      </c>
      <c r="Z19" s="111" t="str">
        <f ca="1">IFERROR(VLOOKUP(P19,Размеры!A:C,3,FALSE),"")</f>
        <v>ONE</v>
      </c>
      <c r="AA19" s="111" t="str">
        <f ca="1">VLOOKUP(I19,ЦветПолный!A:B,2,FALSE)</f>
        <v>14</v>
      </c>
      <c r="AB19" s="111" t="str">
        <f ca="1">IFERROR(VLOOKUP(P19,Размеры!A:D,4,FALSE),"")</f>
        <v>00</v>
      </c>
      <c r="AC19" s="111">
        <f ca="1">IF(LEFT(IFERROR(VLOOKUP(LOOKUP(2,1/SEARCH(B19,Товары!A:A),Товары!A:A),Товары!A:B,2,0),""),6)=MID(X19,1,6),1,0)</f>
        <v>0</v>
      </c>
      <c r="AE19" s="111">
        <f ca="1">SUMIF(Группа!A:A,C19,Группа!C:C)</f>
        <v>1</v>
      </c>
      <c r="AF19" s="111">
        <f ca="1">SUMIF(Группа!B:B,Y19,Группа!C:C)</f>
        <v>1</v>
      </c>
      <c r="AG19" s="111">
        <f ca="1">SUMIF(Формы!A:A,D19,Формы!B:B)</f>
        <v>1</v>
      </c>
      <c r="AH19" s="111">
        <f ca="1">SUMIF(Материал!A:A,K19,Материал!B:B)</f>
        <v>1</v>
      </c>
      <c r="AI19" s="111">
        <f ca="1">SUMIF(Размеры!A:A,P19,Размеры!E:E)</f>
        <v>1</v>
      </c>
      <c r="AJ19" s="111">
        <f ca="1">SUMIF(Сезон!A:A,F19,Сезон!B:B)</f>
        <v>1</v>
      </c>
      <c r="AK19" s="111">
        <f ca="1">SUMIF(Состав!A:A,J19,Состав!B:B)</f>
        <v>0</v>
      </c>
      <c r="AL19" s="111">
        <f ca="1">SUMIF(ЦветПолный!A:A,I19,ЦветПолный!C:C)</f>
        <v>2</v>
      </c>
      <c r="AM19" s="111">
        <f ca="1">SUMIF(Цвет!A:A,W19,Цвет!B:B)</f>
        <v>1</v>
      </c>
      <c r="AN19" s="111">
        <f ca="1">SUMIF(Пол!B:B,L19,Пол!C:C)</f>
        <v>1</v>
      </c>
      <c r="AO19" s="111">
        <f ca="1">SUMIF(Марка!A:A,G19,Марка!B:B)</f>
        <v>1</v>
      </c>
      <c r="AP19" s="111">
        <f ca="1">SUMIF(Страна!A:A,M19,Страна!B:B)</f>
        <v>1</v>
      </c>
      <c r="AQ19" s="77" t="e">
        <f ca="1">IF(VLOOKUP(T19,Товары!A:B,2,FALSE)=A19,"Есть в 1С","ERR")</f>
        <v>#N/A</v>
      </c>
      <c r="AR19" s="78" t="e">
        <f ca="1">IF(VLOOKUP(A19,Товары!B:B,1,FALSE)=A19,"Есть в 1С","ERR")</f>
        <v>#N/A</v>
      </c>
      <c r="AS19" s="110" t="e">
        <f ca="1">VLOOKUP(T19,Товары!A:B,2,FALSE)</f>
        <v>#N/A</v>
      </c>
      <c r="AT19" s="108" t="e">
        <f ca="1">VLOOKUP(T19,Товары!A:B,1,FALSE)</f>
        <v>#N/A</v>
      </c>
    </row>
    <row r="20" spans="1:46" x14ac:dyDescent="0.25">
      <c r="A20" s="124" t="str">
        <f t="shared" ca="1" si="5"/>
        <v>02-671-95</v>
      </c>
      <c r="B20" s="121" t="str">
        <f ca="1">UPPER(_xlfn.XLOOKUP($A20,Строчный!$A:$A,Строчный!B:B,"ERR",0))</f>
        <v>7751191 TRUCKER CAP GAMBLING GRIFTER</v>
      </c>
      <c r="C20" s="95" t="str">
        <f ca="1">PROPER(_xlfn.XLOOKUP($A20,Строчный!$A:$A,Строчный!C:C,"ERR",0))</f>
        <v>Бейсболки</v>
      </c>
      <c r="D20" s="95" t="str">
        <f ca="1">_xlfn.LET(_xlpm.DATA,(_xlfn.XLOOKUP($A20,Строчный!$A:$A,Строчный!D:D,"ERR",0)),UPPER(MID(_xlpm.DATA,1,1))&amp;LOWER(MID(_xlpm.DATA,2,LEN(_xlpm.DATA)-1)))</f>
        <v>Бейсболка с сеточкой</v>
      </c>
      <c r="E20" s="95" t="str">
        <f ca="1">PROPER(_xlfn.XLOOKUP($A20,Строчный!$A:$A,Строчный!E:E,"ERR",0))</f>
        <v>Stetson</v>
      </c>
      <c r="F20" s="95" t="str">
        <f ca="1">LOWER(_xlfn.XLOOKUP($A20,Строчный!$A:$A,Строчный!F:F,"ERR",0))</f>
        <v>всесезон</v>
      </c>
      <c r="G20" s="95" t="str">
        <f ca="1">UPPER(_xlfn.XLOOKUP($A20,Строчный!$A:$A,Строчный!G:G,"ERR",0))</f>
        <v>STETSON</v>
      </c>
      <c r="H20" s="95" t="str">
        <f ca="1">LOWER(_xlfn.XLOOKUP($A20,Строчный!$A:$A,Строчный!H:H,"ERR",0))</f>
        <v>27</v>
      </c>
      <c r="I20" s="95" t="str">
        <f ca="1">LOWER(_xlfn.XLOOKUP($A20,Строчный!$A:$A,Строчный!I:I,"ERR",0))</f>
        <v>синий / белый</v>
      </c>
      <c r="J20" s="95" t="str">
        <f ca="1">SUBSTITUTE(LOWER(_xlfn.XLOOKUP($A20,Строчный!$A:$A,Строчный!J:J,"ERR",0)),"подклад","Подклад")</f>
        <v>100% хлопок / Подклад: 100% хлопок</v>
      </c>
      <c r="K20" s="95" t="str">
        <f ca="1">LOWER(_xlfn.XLOOKUP($A20,Строчный!$A:$A,Строчный!K:K,"ERR",0))</f>
        <v>хлопковые</v>
      </c>
      <c r="L20" s="95" t="str">
        <f ca="1">PROPER(_xlfn.XLOOKUP($A20,Строчный!$A:$A,Строчный!L:L,"ERR",0))</f>
        <v>Унисекс</v>
      </c>
      <c r="M20" s="95" t="str">
        <f ca="1">PROPER(_xlfn.XLOOKUP($A20,Строчный!$A:$A,Строчный!N:N,"ERR",0))</f>
        <v>Китай</v>
      </c>
      <c r="N20" s="104">
        <f ca="1">VALUE(_xlfn.XLOOKUP($A20,Строчный!$A:$A,Строчный!O:O,"ERR",0))</f>
        <v>1178.8879999999997</v>
      </c>
      <c r="O20" s="103" t="str">
        <f ca="1">_xlfn.XLOOKUP($A20,Строчный!$A:$A,Строчный!M:M,"ERR",0)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0" s="94" t="str">
        <f ca="1">_xlfn.XLOOKUP(MID(X20,11,2),Размеры!D:D,Размеры!A:A,"ERR",0)</f>
        <v>ONE</v>
      </c>
      <c r="Q20" s="94">
        <f ca="1">VALUE(_xlfn.XLOOKUP($A20,Строчный!$A:$A,Строчный!R:R,"ERR",0))</f>
        <v>150</v>
      </c>
      <c r="R20" s="14" t="s">
        <v>283</v>
      </c>
      <c r="S20" s="115" t="str">
        <f t="shared" ca="1" si="0"/>
        <v>Бейсболка STETSON арт. 7751191 TRUCKER CAP GAMBLING GRIFTER (синий / белый)</v>
      </c>
      <c r="T20" s="114" t="str">
        <f t="shared" ca="1" si="1"/>
        <v>Бейсболка STETSON арт. 7751191 TRUCKER CAP GAMBLING GRIFTER (синий / белый) {27}</v>
      </c>
      <c r="U20" s="18" t="str">
        <f t="shared" ca="1" si="2"/>
        <v>синий</v>
      </c>
      <c r="V20" s="18" t="str">
        <f t="shared" ca="1" si="3"/>
        <v>белый</v>
      </c>
      <c r="W20" s="132" t="str">
        <f t="shared" ca="1" si="4"/>
        <v>синий</v>
      </c>
      <c r="X20" s="87" t="str">
        <f ca="1"/>
        <v>02-671-95-00</v>
      </c>
      <c r="Y20" s="89" t="str">
        <f ca="1">VLOOKUP(C20,Группа!A:B,2,FALSE)</f>
        <v>Бейсболка</v>
      </c>
      <c r="Z20" s="111" t="str">
        <f ca="1">IFERROR(VLOOKUP(P20,Размеры!A:C,3,FALSE),"")</f>
        <v>ONE</v>
      </c>
      <c r="AA20" s="111" t="str">
        <f ca="1">VLOOKUP(I20,ЦветПолный!A:B,2,FALSE)</f>
        <v>95</v>
      </c>
      <c r="AB20" s="111" t="str">
        <f ca="1">IFERROR(VLOOKUP(P20,Размеры!A:D,4,FALSE),"")</f>
        <v>00</v>
      </c>
      <c r="AC20" s="111">
        <f ca="1">IF(LEFT(IFERROR(VLOOKUP(LOOKUP(2,1/SEARCH(B20,Товары!A:A),Товары!A:A),Товары!A:B,2,0),""),6)=MID(X20,1,6),1,0)</f>
        <v>0</v>
      </c>
      <c r="AE20" s="111">
        <f ca="1">SUMIF(Группа!A:A,C20,Группа!C:C)</f>
        <v>1</v>
      </c>
      <c r="AF20" s="111">
        <f ca="1">SUMIF(Группа!B:B,Y20,Группа!C:C)</f>
        <v>1</v>
      </c>
      <c r="AG20" s="111">
        <f ca="1">SUMIF(Формы!A:A,D20,Формы!B:B)</f>
        <v>1</v>
      </c>
      <c r="AH20" s="111">
        <f ca="1">SUMIF(Материал!A:A,K20,Материал!B:B)</f>
        <v>1</v>
      </c>
      <c r="AI20" s="111">
        <f ca="1">SUMIF(Размеры!A:A,P20,Размеры!E:E)</f>
        <v>1</v>
      </c>
      <c r="AJ20" s="111">
        <f ca="1">SUMIF(Сезон!A:A,F20,Сезон!B:B)</f>
        <v>1</v>
      </c>
      <c r="AK20" s="111">
        <f ca="1">SUMIF(Состав!A:A,J20,Состав!B:B)</f>
        <v>0</v>
      </c>
      <c r="AL20" s="111">
        <f ca="1">SUMIF(ЦветПолный!A:A,I20,ЦветПолный!C:C)</f>
        <v>5</v>
      </c>
      <c r="AM20" s="111">
        <f ca="1">SUMIF(Цвет!A:A,W20,Цвет!B:B)</f>
        <v>1</v>
      </c>
      <c r="AN20" s="111">
        <f ca="1">SUMIF(Пол!B:B,L20,Пол!C:C)</f>
        <v>1</v>
      </c>
      <c r="AO20" s="111">
        <f ca="1">SUMIF(Марка!A:A,G20,Марка!B:B)</f>
        <v>1</v>
      </c>
      <c r="AP20" s="111">
        <f ca="1">SUMIF(Страна!A:A,M20,Страна!B:B)</f>
        <v>1</v>
      </c>
      <c r="AQ20" s="77" t="e">
        <f ca="1">IF(VLOOKUP(T20,Товары!A:B,2,FALSE)=A20,"Есть в 1С","ERR")</f>
        <v>#N/A</v>
      </c>
      <c r="AR20" s="78" t="e">
        <f ca="1">IF(VLOOKUP(A20,Товары!B:B,1,FALSE)=A20,"Есть в 1С","ERR")</f>
        <v>#N/A</v>
      </c>
      <c r="AS20" s="110" t="e">
        <f ca="1">VLOOKUP(T20,Товары!A:B,2,FALSE)</f>
        <v>#N/A</v>
      </c>
      <c r="AT20" s="108" t="e">
        <f ca="1">VLOOKUP(T20,Товары!A:B,1,FALSE)</f>
        <v>#N/A</v>
      </c>
    </row>
    <row r="21" spans="1:46" x14ac:dyDescent="0.25">
      <c r="A21" s="124" t="str">
        <f t="shared" ca="1" si="5"/>
        <v>02-660-19</v>
      </c>
      <c r="B21" s="121" t="str">
        <f ca="1">UPPER(_xlfn.XLOOKUP($A21,Строчный!$A:$A,Строчный!B:B,"ERR",0))</f>
        <v>1813904 BUCKET LINEN</v>
      </c>
      <c r="C21" s="95" t="str">
        <f ca="1">PROPER(_xlfn.XLOOKUP($A21,Строчный!$A:$A,Строчный!C:C,"ERR",0))</f>
        <v>Панамы</v>
      </c>
      <c r="D21" s="95" t="str">
        <f ca="1">_xlfn.LET(_xlpm.DATA,(_xlfn.XLOOKUP($A21,Строчный!$A:$A,Строчный!D:D,"ERR",0)),UPPER(MID(_xlpm.DATA,1,1))&amp;LOWER(MID(_xlpm.DATA,2,LEN(_xlpm.DATA)-1)))</f>
        <v>Панама</v>
      </c>
      <c r="E21" s="95" t="str">
        <f ca="1">PROPER(_xlfn.XLOOKUP($A21,Строчный!$A:$A,Строчный!E:E,"ERR",0))</f>
        <v>Stetson</v>
      </c>
      <c r="F21" s="95" t="str">
        <f ca="1">LOWER(_xlfn.XLOOKUP($A21,Строчный!$A:$A,Строчный!F:F,"ERR",0))</f>
        <v>всесезон</v>
      </c>
      <c r="G21" s="95" t="str">
        <f ca="1">UPPER(_xlfn.XLOOKUP($A21,Строчный!$A:$A,Строчный!G:G,"ERR",0))</f>
        <v>STETSON</v>
      </c>
      <c r="H21" s="95" t="str">
        <f ca="1">LOWER(_xlfn.XLOOKUP($A21,Строчный!$A:$A,Строчный!H:H,"ERR",0))</f>
        <v>99</v>
      </c>
      <c r="I21" s="95" t="str">
        <f ca="1">LOWER(_xlfn.XLOOKUP($A21,Строчный!$A:$A,Строчный!I:I,"ERR",0))</f>
        <v>голубой</v>
      </c>
      <c r="J21" s="95" t="str">
        <f ca="1">SUBSTITUTE(LOWER(_xlfn.XLOOKUP($A21,Строчный!$A:$A,Строчный!J:J,"ERR",0)),"подклад","Подклад")</f>
        <v>100% лен / Подклад: 68% хлопок - 32% полиэстер</v>
      </c>
      <c r="K21" s="95" t="str">
        <f ca="1">LOWER(_xlfn.XLOOKUP($A21,Строчный!$A:$A,Строчный!K:K,"ERR",0))</f>
        <v>льняные</v>
      </c>
      <c r="L21" s="95" t="str">
        <f ca="1">PROPER(_xlfn.XLOOKUP($A21,Строчный!$A:$A,Строчный!L:L,"ERR",0))</f>
        <v>Унисекс</v>
      </c>
      <c r="M21" s="95" t="str">
        <f ca="1">PROPER(_xlfn.XLOOKUP($A21,Строчный!$A:$A,Строчный!N:N,"ERR",0))</f>
        <v>Германия</v>
      </c>
      <c r="N21" s="104">
        <f ca="1">VALUE(_xlfn.XLOOKUP($A21,Строчный!$A:$A,Строчный!O:O,"ERR",0))</f>
        <v>2998.6479999999997</v>
      </c>
      <c r="O21" s="103" t="str">
        <f ca="1">_xlfn.XLOOKUP($A21,Строчный!$A:$A,Строчный!M:M,"ERR",0)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P21" s="94">
        <f ca="1">_xlfn.XLOOKUP(MID(X21,11,2),Размеры!D:D,Размеры!A:A,"ERR",0)</f>
        <v>59</v>
      </c>
      <c r="Q21" s="94">
        <f ca="1">VALUE(_xlfn.XLOOKUP($A21,Строчный!$A:$A,Строчный!R:R,"ERR",0))</f>
        <v>2</v>
      </c>
      <c r="R21" s="14" t="s">
        <v>283</v>
      </c>
      <c r="S21" s="115" t="str">
        <f t="shared" ca="1" si="0"/>
        <v>Панама STETSON арт. 1813904 BUCKET LINEN (голубой)</v>
      </c>
      <c r="T21" s="114" t="str">
        <f t="shared" ca="1" si="1"/>
        <v>Панама STETSON арт. 1813904 BUCKET LINEN (голубой) {99}</v>
      </c>
      <c r="U21" s="18" t="str">
        <f t="shared" ca="1" si="2"/>
        <v>голубой</v>
      </c>
      <c r="V21" s="18" t="str">
        <f t="shared" ca="1" si="3"/>
        <v>голубой</v>
      </c>
      <c r="W21" s="132" t="str">
        <f t="shared" ca="1" si="4"/>
        <v>голубой</v>
      </c>
      <c r="X21" s="87" t="str">
        <f ca="1"/>
        <v>02-660-19-59</v>
      </c>
      <c r="Y21" s="89" t="str">
        <f ca="1">VLOOKUP(C21,Группа!A:B,2,FALSE)</f>
        <v>Панама</v>
      </c>
      <c r="Z21" s="111" t="str">
        <f ca="1">IFERROR(VLOOKUP(P21,Размеры!A:C,3,FALSE),"")</f>
        <v>59 L</v>
      </c>
      <c r="AA21" s="111" t="str">
        <f ca="1">VLOOKUP(I21,ЦветПолный!A:B,2,FALSE)</f>
        <v>19</v>
      </c>
      <c r="AB21" s="111" t="str">
        <f ca="1">IFERROR(VLOOKUP(P21,Размеры!A:D,4,FALSE),"")</f>
        <v>59</v>
      </c>
      <c r="AC21" s="111">
        <f ca="1">IF(LEFT(IFERROR(VLOOKUP(LOOKUP(2,1/SEARCH(B21,Товары!A:A),Товары!A:A),Товары!A:B,2,0),""),6)=MID(X21,1,6),1,0)</f>
        <v>0</v>
      </c>
      <c r="AE21" s="111">
        <f ca="1">SUMIF(Группа!A:A,C21,Группа!C:C)</f>
        <v>1</v>
      </c>
      <c r="AF21" s="111">
        <f ca="1">SUMIF(Группа!B:B,Y21,Группа!C:C)</f>
        <v>1</v>
      </c>
      <c r="AG21" s="111">
        <f ca="1">SUMIF(Формы!A:A,D21,Формы!B:B)</f>
        <v>1</v>
      </c>
      <c r="AH21" s="111">
        <f ca="1">SUMIF(Материал!A:A,K21,Материал!B:B)</f>
        <v>1</v>
      </c>
      <c r="AI21" s="111">
        <f ca="1">SUMIF(Размеры!A:A,P21,Размеры!E:E)</f>
        <v>1</v>
      </c>
      <c r="AJ21" s="111">
        <f ca="1">SUMIF(Сезон!A:A,F21,Сезон!B:B)</f>
        <v>1</v>
      </c>
      <c r="AK21" s="111">
        <f ca="1">SUMIF(Состав!A:A,J21,Состав!B:B)</f>
        <v>0</v>
      </c>
      <c r="AL21" s="111">
        <f ca="1">SUMIF(ЦветПолный!A:A,I21,ЦветПолный!C:C)</f>
        <v>5</v>
      </c>
      <c r="AM21" s="111">
        <f ca="1">SUMIF(Цвет!A:A,W21,Цвет!B:B)</f>
        <v>1</v>
      </c>
      <c r="AN21" s="111">
        <f ca="1">SUMIF(Пол!B:B,L21,Пол!C:C)</f>
        <v>1</v>
      </c>
      <c r="AO21" s="111">
        <f ca="1">SUMIF(Марка!A:A,G21,Марка!B:B)</f>
        <v>1</v>
      </c>
      <c r="AP21" s="111">
        <f ca="1">SUMIF(Страна!A:A,M21,Страна!B:B)</f>
        <v>1</v>
      </c>
      <c r="AQ21" s="77" t="e">
        <f ca="1">IF(VLOOKUP(T21,Товары!A:B,2,FALSE)=A21,"Есть в 1С","ERR")</f>
        <v>#N/A</v>
      </c>
      <c r="AR21" s="78" t="e">
        <f ca="1">IF(VLOOKUP(A21,Товары!B:B,1,FALSE)=A21,"Есть в 1С","ERR")</f>
        <v>#N/A</v>
      </c>
      <c r="AS21" s="110" t="e">
        <f ca="1">VLOOKUP(T21,Товары!A:B,2,FALSE)</f>
        <v>#N/A</v>
      </c>
      <c r="AT21" s="108" t="e">
        <f ca="1">VLOOKUP(T21,Товары!A:B,1,FALSE)</f>
        <v>#N/A</v>
      </c>
    </row>
    <row r="22" spans="1:46" x14ac:dyDescent="0.25">
      <c r="A22" s="124" t="str">
        <f t="shared" ca="1" si="5"/>
        <v>02-660-19</v>
      </c>
      <c r="B22" s="121" t="str">
        <f ca="1">UPPER(_xlfn.XLOOKUP($A22,Строчный!$A:$A,Строчный!B:B,"ERR",0))</f>
        <v>1813904 BUCKET LINEN</v>
      </c>
      <c r="C22" s="95" t="str">
        <f ca="1">PROPER(_xlfn.XLOOKUP($A22,Строчный!$A:$A,Строчный!C:C,"ERR",0))</f>
        <v>Панамы</v>
      </c>
      <c r="D22" s="95" t="str">
        <f ca="1">_xlfn.LET(_xlpm.DATA,(_xlfn.XLOOKUP($A22,Строчный!$A:$A,Строчный!D:D,"ERR",0)),UPPER(MID(_xlpm.DATA,1,1))&amp;LOWER(MID(_xlpm.DATA,2,LEN(_xlpm.DATA)-1)))</f>
        <v>Панама</v>
      </c>
      <c r="E22" s="95" t="str">
        <f ca="1">PROPER(_xlfn.XLOOKUP($A22,Строчный!$A:$A,Строчный!E:E,"ERR",0))</f>
        <v>Stetson</v>
      </c>
      <c r="F22" s="95" t="str">
        <f ca="1">LOWER(_xlfn.XLOOKUP($A22,Строчный!$A:$A,Строчный!F:F,"ERR",0))</f>
        <v>всесезон</v>
      </c>
      <c r="G22" s="95" t="str">
        <f ca="1">UPPER(_xlfn.XLOOKUP($A22,Строчный!$A:$A,Строчный!G:G,"ERR",0))</f>
        <v>STETSON</v>
      </c>
      <c r="H22" s="95" t="str">
        <f ca="1">LOWER(_xlfn.XLOOKUP($A22,Строчный!$A:$A,Строчный!H:H,"ERR",0))</f>
        <v>99</v>
      </c>
      <c r="I22" s="95" t="str">
        <f ca="1">LOWER(_xlfn.XLOOKUP($A22,Строчный!$A:$A,Строчный!I:I,"ERR",0))</f>
        <v>голубой</v>
      </c>
      <c r="J22" s="95" t="str">
        <f ca="1">SUBSTITUTE(LOWER(_xlfn.XLOOKUP($A22,Строчный!$A:$A,Строчный!J:J,"ERR",0)),"подклад","Подклад")</f>
        <v>100% лен / Подклад: 68% хлопок - 32% полиэстер</v>
      </c>
      <c r="K22" s="95" t="str">
        <f ca="1">LOWER(_xlfn.XLOOKUP($A22,Строчный!$A:$A,Строчный!K:K,"ERR",0))</f>
        <v>льняные</v>
      </c>
      <c r="L22" s="95" t="str">
        <f ca="1">PROPER(_xlfn.XLOOKUP($A22,Строчный!$A:$A,Строчный!L:L,"ERR",0))</f>
        <v>Унисекс</v>
      </c>
      <c r="M22" s="95" t="str">
        <f ca="1">PROPER(_xlfn.XLOOKUP($A22,Строчный!$A:$A,Строчный!N:N,"ERR",0))</f>
        <v>Германия</v>
      </c>
      <c r="N22" s="104">
        <f ca="1">VALUE(_xlfn.XLOOKUP($A22,Строчный!$A:$A,Строчный!O:O,"ERR",0))</f>
        <v>2998.6479999999997</v>
      </c>
      <c r="O22" s="103" t="str">
        <f ca="1">_xlfn.XLOOKUP($A22,Строчный!$A:$A,Строчный!M:M,"ERR",0)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P22" s="94">
        <f ca="1">_xlfn.XLOOKUP(MID(X22,11,2),Размеры!D:D,Размеры!A:A,"ERR",0)</f>
        <v>57</v>
      </c>
      <c r="Q22" s="94">
        <f ca="1">VALUE(_xlfn.XLOOKUP($A22,Строчный!$A:$A,Строчный!R:R,"ERR",0))</f>
        <v>2</v>
      </c>
      <c r="R22" s="14" t="s">
        <v>283</v>
      </c>
      <c r="S22" s="115" t="str">
        <f t="shared" ca="1" si="0"/>
        <v>Панама STETSON арт. 1813904 BUCKET LINEN (голубой)</v>
      </c>
      <c r="T22" s="114" t="str">
        <f t="shared" ca="1" si="1"/>
        <v>Панама STETSON арт. 1813904 BUCKET LINEN (голубой) {99}</v>
      </c>
      <c r="U22" s="18" t="str">
        <f t="shared" ca="1" si="2"/>
        <v>голубой</v>
      </c>
      <c r="V22" s="18" t="str">
        <f t="shared" ca="1" si="3"/>
        <v>голубой</v>
      </c>
      <c r="W22" s="132" t="str">
        <f t="shared" ca="1" si="4"/>
        <v>голубой</v>
      </c>
      <c r="X22" s="87" t="str">
        <f ca="1"/>
        <v>02-660-19-57</v>
      </c>
      <c r="Y22" s="89" t="str">
        <f ca="1">VLOOKUP(C22,Группа!A:B,2,FALSE)</f>
        <v>Панама</v>
      </c>
      <c r="Z22" s="111" t="str">
        <f ca="1">IFERROR(VLOOKUP(P22,Размеры!A:C,3,FALSE),"")</f>
        <v>57 M</v>
      </c>
      <c r="AA22" s="111" t="str">
        <f ca="1">VLOOKUP(I22,ЦветПолный!A:B,2,FALSE)</f>
        <v>19</v>
      </c>
      <c r="AB22" s="111" t="str">
        <f ca="1">IFERROR(VLOOKUP(P22,Размеры!A:D,4,FALSE),"")</f>
        <v>57</v>
      </c>
      <c r="AC22" s="111">
        <f ca="1">IF(LEFT(IFERROR(VLOOKUP(LOOKUP(2,1/SEARCH(B22,Товары!A:A),Товары!A:A),Товары!A:B,2,0),""),6)=MID(X22,1,6),1,0)</f>
        <v>0</v>
      </c>
      <c r="AE22" s="111">
        <f ca="1">SUMIF(Группа!A:A,C22,Группа!C:C)</f>
        <v>1</v>
      </c>
      <c r="AF22" s="111">
        <f ca="1">SUMIF(Группа!B:B,Y22,Группа!C:C)</f>
        <v>1</v>
      </c>
      <c r="AG22" s="111">
        <f ca="1">SUMIF(Формы!A:A,D22,Формы!B:B)</f>
        <v>1</v>
      </c>
      <c r="AH22" s="111">
        <f ca="1">SUMIF(Материал!A:A,K22,Материал!B:B)</f>
        <v>1</v>
      </c>
      <c r="AI22" s="111">
        <f ca="1">SUMIF(Размеры!A:A,P22,Размеры!E:E)</f>
        <v>1</v>
      </c>
      <c r="AJ22" s="111">
        <f ca="1">SUMIF(Сезон!A:A,F22,Сезон!B:B)</f>
        <v>1</v>
      </c>
      <c r="AK22" s="111">
        <f ca="1">SUMIF(Состав!A:A,J22,Состав!B:B)</f>
        <v>0</v>
      </c>
      <c r="AL22" s="111">
        <f ca="1">SUMIF(ЦветПолный!A:A,I22,ЦветПолный!C:C)</f>
        <v>5</v>
      </c>
      <c r="AM22" s="111">
        <f ca="1">SUMIF(Цвет!A:A,W22,Цвет!B:B)</f>
        <v>1</v>
      </c>
      <c r="AN22" s="111">
        <f ca="1">SUMIF(Пол!B:B,L22,Пол!C:C)</f>
        <v>1</v>
      </c>
      <c r="AO22" s="111">
        <f ca="1">SUMIF(Марка!A:A,G22,Марка!B:B)</f>
        <v>1</v>
      </c>
      <c r="AP22" s="111">
        <f ca="1">SUMIF(Страна!A:A,M22,Страна!B:B)</f>
        <v>1</v>
      </c>
      <c r="AQ22" s="77" t="e">
        <f ca="1">IF(VLOOKUP(T22,Товары!A:B,2,FALSE)=A22,"Есть в 1С","ERR")</f>
        <v>#N/A</v>
      </c>
      <c r="AR22" s="78" t="e">
        <f ca="1">IF(VLOOKUP(A22,Товары!B:B,1,FALSE)=A22,"Есть в 1С","ERR")</f>
        <v>#N/A</v>
      </c>
      <c r="AS22" s="110" t="e">
        <f ca="1">VLOOKUP(T22,Товары!A:B,2,FALSE)</f>
        <v>#N/A</v>
      </c>
      <c r="AT22" s="108" t="e">
        <f ca="1">VLOOKUP(T22,Товары!A:B,1,FALSE)</f>
        <v>#N/A</v>
      </c>
    </row>
    <row r="23" spans="1:46" x14ac:dyDescent="0.25">
      <c r="A23" s="124" t="str">
        <f t="shared" ca="1" si="5"/>
        <v>02-615-13</v>
      </c>
      <c r="B23" s="121" t="str">
        <f ca="1">UPPER(_xlfn.XLOOKUP($A23,Строчный!$A:$A,Строчный!B:B,"ERR",0))</f>
        <v>7756114 TRUCKER CAP CANOE</v>
      </c>
      <c r="C23" s="95" t="str">
        <f ca="1">PROPER(_xlfn.XLOOKUP($A23,Строчный!$A:$A,Строчный!C:C,"ERR",0))</f>
        <v>Бейсболки</v>
      </c>
      <c r="D23" s="95" t="str">
        <f ca="1">_xlfn.LET(_xlpm.DATA,(_xlfn.XLOOKUP($A23,Строчный!$A:$A,Строчный!D:D,"ERR",0)),UPPER(MID(_xlpm.DATA,1,1))&amp;LOWER(MID(_xlpm.DATA,2,LEN(_xlpm.DATA)-1)))</f>
        <v>Бейсболка с сеточкой</v>
      </c>
      <c r="E23" s="95" t="str">
        <f ca="1">PROPER(_xlfn.XLOOKUP($A23,Строчный!$A:$A,Строчный!E:E,"ERR",0))</f>
        <v>Stetson</v>
      </c>
      <c r="F23" s="95" t="str">
        <f ca="1">LOWER(_xlfn.XLOOKUP($A23,Строчный!$A:$A,Строчный!F:F,"ERR",0))</f>
        <v>всесезон</v>
      </c>
      <c r="G23" s="95" t="str">
        <f ca="1">UPPER(_xlfn.XLOOKUP($A23,Строчный!$A:$A,Строчный!G:G,"ERR",0))</f>
        <v>STETSON</v>
      </c>
      <c r="H23" s="95" t="str">
        <f ca="1">LOWER(_xlfn.XLOOKUP($A23,Строчный!$A:$A,Строчный!H:H,"ERR",0))</f>
        <v>28</v>
      </c>
      <c r="I23" s="95" t="str">
        <f ca="1">LOWER(_xlfn.XLOOKUP($A23,Строчный!$A:$A,Строчный!I:I,"ERR",0))</f>
        <v>оранжевый / синий</v>
      </c>
      <c r="J23" s="95" t="str">
        <f ca="1">SUBSTITUTE(LOWER(_xlfn.XLOOKUP($A23,Строчный!$A:$A,Строчный!J:J,"ERR",0)),"подклад","Подклад")</f>
        <v>100% хлопок / Подклад: 100% хлопок</v>
      </c>
      <c r="K23" s="95" t="str">
        <f ca="1">LOWER(_xlfn.XLOOKUP($A23,Строчный!$A:$A,Строчный!K:K,"ERR",0))</f>
        <v>хлопковые</v>
      </c>
      <c r="L23" s="95" t="str">
        <f ca="1">PROPER(_xlfn.XLOOKUP($A23,Строчный!$A:$A,Строчный!L:L,"ERR",0))</f>
        <v>Унисекс</v>
      </c>
      <c r="M23" s="95" t="str">
        <f ca="1">PROPER(_xlfn.XLOOKUP($A23,Строчный!$A:$A,Строчный!N:N,"ERR",0))</f>
        <v>Китай</v>
      </c>
      <c r="N23" s="104">
        <f ca="1">VALUE(_xlfn.XLOOKUP($A23,Строчный!$A:$A,Строчный!O:O,"ERR",0))</f>
        <v>1178.8879999999997</v>
      </c>
      <c r="O23" s="103" t="str">
        <f ca="1">_xlfn.XLOOKUP($A23,Строчный!$A:$A,Строчный!M:M,"ERR",0)</f>
        <v>Friedrich W. Schneider GmbH &amp; Co. KG; Oskar-Schindler-Str. 11, D 50769 Köln, Germany</v>
      </c>
      <c r="P23" s="94" t="str">
        <f ca="1">_xlfn.XLOOKUP(MID(X23,11,2),Размеры!D:D,Размеры!A:A,"ERR",0)</f>
        <v>ONE</v>
      </c>
      <c r="Q23" s="94">
        <f ca="1">VALUE(_xlfn.XLOOKUP($A23,Строчный!$A:$A,Строчный!R:R,"ERR",0))</f>
        <v>130</v>
      </c>
      <c r="R23" s="14" t="s">
        <v>283</v>
      </c>
      <c r="S23" s="115" t="str">
        <f t="shared" ca="1" si="0"/>
        <v>Бейсболка STETSON арт. 7756114 TRUCKER CAP CANOE (оранжевый / синий)</v>
      </c>
      <c r="T23" s="114" t="str">
        <f t="shared" ca="1" si="1"/>
        <v>Бейсболка STETSON арт. 7756114 TRUCKER CAP CANOE (оранжевый / синий) {28}</v>
      </c>
      <c r="U23" s="18" t="str">
        <f t="shared" ca="1" si="2"/>
        <v>оранжевый</v>
      </c>
      <c r="V23" s="18" t="str">
        <f t="shared" ca="1" si="3"/>
        <v>синий</v>
      </c>
      <c r="W23" s="132" t="str">
        <f t="shared" ca="1" si="4"/>
        <v>оранжевый</v>
      </c>
      <c r="X23" s="87" t="str">
        <f ca="1"/>
        <v>02-615-13-00</v>
      </c>
      <c r="Y23" s="89" t="str">
        <f ca="1">VLOOKUP(C23,Группа!A:B,2,FALSE)</f>
        <v>Бейсболка</v>
      </c>
      <c r="Z23" s="111" t="str">
        <f ca="1">IFERROR(VLOOKUP(P23,Размеры!A:C,3,FALSE),"")</f>
        <v>ONE</v>
      </c>
      <c r="AA23" s="111" t="str">
        <f ca="1">VLOOKUP(I23,ЦветПолный!A:B,2,FALSE)</f>
        <v>13</v>
      </c>
      <c r="AB23" s="111" t="str">
        <f ca="1">IFERROR(VLOOKUP(P23,Размеры!A:D,4,FALSE),"")</f>
        <v>00</v>
      </c>
      <c r="AC23" s="111">
        <f ca="1">IF(LEFT(IFERROR(VLOOKUP(LOOKUP(2,1/SEARCH(B23,Товары!A:A),Товары!A:A),Товары!A:B,2,0),""),6)=MID(X23,1,6),1,0)</f>
        <v>1</v>
      </c>
      <c r="AE23" s="111">
        <f ca="1">SUMIF(Группа!A:A,C23,Группа!C:C)</f>
        <v>1</v>
      </c>
      <c r="AF23" s="111">
        <f ca="1">SUMIF(Группа!B:B,Y23,Группа!C:C)</f>
        <v>1</v>
      </c>
      <c r="AG23" s="111">
        <f ca="1">SUMIF(Формы!A:A,D23,Формы!B:B)</f>
        <v>1</v>
      </c>
      <c r="AH23" s="111">
        <f ca="1">SUMIF(Материал!A:A,K23,Материал!B:B)</f>
        <v>1</v>
      </c>
      <c r="AI23" s="111">
        <f ca="1">SUMIF(Размеры!A:A,P23,Размеры!E:E)</f>
        <v>1</v>
      </c>
      <c r="AJ23" s="111">
        <f ca="1">SUMIF(Сезон!A:A,F23,Сезон!B:B)</f>
        <v>1</v>
      </c>
      <c r="AK23" s="111">
        <f ca="1">SUMIF(Состав!A:A,J23,Состав!B:B)</f>
        <v>0</v>
      </c>
      <c r="AL23" s="111">
        <f ca="1">SUMIF(ЦветПолный!A:A,I23,ЦветПолный!C:C)</f>
        <v>2</v>
      </c>
      <c r="AM23" s="111">
        <f ca="1">SUMIF(Цвет!A:A,W23,Цвет!B:B)</f>
        <v>1</v>
      </c>
      <c r="AN23" s="111">
        <f ca="1">SUMIF(Пол!B:B,L23,Пол!C:C)</f>
        <v>1</v>
      </c>
      <c r="AO23" s="111">
        <f ca="1">SUMIF(Марка!A:A,G23,Марка!B:B)</f>
        <v>1</v>
      </c>
      <c r="AP23" s="111">
        <f ca="1">SUMIF(Страна!A:A,M23,Страна!B:B)</f>
        <v>1</v>
      </c>
      <c r="AQ23" s="77" t="str">
        <f ca="1">IF(VLOOKUP(T23,Товары!A:B,2,FALSE)=A23,"Есть в 1С","ERR")</f>
        <v>Есть в 1С</v>
      </c>
      <c r="AR23" s="78" t="str">
        <f ca="1">IF(VLOOKUP(A23,Товары!B:B,1,FALSE)=A23,"Есть в 1С","ERR")</f>
        <v>Есть в 1С</v>
      </c>
      <c r="AS23" s="110" t="str">
        <f ca="1">VLOOKUP(T23,Товары!A:B,2,FALSE)</f>
        <v>02-615-13</v>
      </c>
      <c r="AT23" s="108" t="str">
        <f ca="1">VLOOKUP(T23,Товары!A:B,1,FALSE)</f>
        <v>Бейсболка STETSON арт. 7756114 TRUCKER CAP CANOE (оранжевый / синий) {28}</v>
      </c>
    </row>
    <row r="24" spans="1:46" x14ac:dyDescent="0.25">
      <c r="A24" s="124" t="str">
        <f t="shared" ca="1" si="5"/>
        <v>02-614-54</v>
      </c>
      <c r="B24" s="121" t="str">
        <f ca="1">UPPER(_xlfn.XLOOKUP($A24,Строчный!$A:$A,Строчный!B:B,"ERR",0))</f>
        <v>7756113 TRUCKER CAP ANIMAL NATURE</v>
      </c>
      <c r="C24" s="95" t="str">
        <f ca="1">PROPER(_xlfn.XLOOKUP($A24,Строчный!$A:$A,Строчный!C:C,"ERR",0))</f>
        <v>Бейсболки</v>
      </c>
      <c r="D24" s="95" t="str">
        <f ca="1">_xlfn.LET(_xlpm.DATA,(_xlfn.XLOOKUP($A24,Строчный!$A:$A,Строчный!D:D,"ERR",0)),UPPER(MID(_xlpm.DATA,1,1))&amp;LOWER(MID(_xlpm.DATA,2,LEN(_xlpm.DATA)-1)))</f>
        <v>Бейсболка с сеточкой</v>
      </c>
      <c r="E24" s="95" t="str">
        <f ca="1">PROPER(_xlfn.XLOOKUP($A24,Строчный!$A:$A,Строчный!E:E,"ERR",0))</f>
        <v>Stetson</v>
      </c>
      <c r="F24" s="95" t="str">
        <f ca="1">LOWER(_xlfn.XLOOKUP($A24,Строчный!$A:$A,Строчный!F:F,"ERR",0))</f>
        <v>всесезон</v>
      </c>
      <c r="G24" s="95" t="str">
        <f ca="1">UPPER(_xlfn.XLOOKUP($A24,Строчный!$A:$A,Строчный!G:G,"ERR",0))</f>
        <v>STETSON</v>
      </c>
      <c r="H24" s="95" t="str">
        <f ca="1">LOWER(_xlfn.XLOOKUP($A24,Строчный!$A:$A,Строчный!H:H,"ERR",0))</f>
        <v>37</v>
      </c>
      <c r="I24" s="95" t="str">
        <f ca="1">LOWER(_xlfn.XLOOKUP($A24,Строчный!$A:$A,Строчный!I:I,"ERR",0))</f>
        <v>бежевый / серый</v>
      </c>
      <c r="J24" s="95" t="str">
        <f ca="1">SUBSTITUTE(LOWER(_xlfn.XLOOKUP($A24,Строчный!$A:$A,Строчный!J:J,"ERR",0)),"подклад","Подклад")</f>
        <v>100% хлопок / Подклад: 100% хлопок</v>
      </c>
      <c r="K24" s="95" t="str">
        <f ca="1">LOWER(_xlfn.XLOOKUP($A24,Строчный!$A:$A,Строчный!K:K,"ERR",0))</f>
        <v>хлопковые</v>
      </c>
      <c r="L24" s="95" t="str">
        <f ca="1">PROPER(_xlfn.XLOOKUP($A24,Строчный!$A:$A,Строчный!L:L,"ERR",0))</f>
        <v>Унисекс</v>
      </c>
      <c r="M24" s="95" t="str">
        <f ca="1">PROPER(_xlfn.XLOOKUP($A24,Строчный!$A:$A,Строчный!N:N,"ERR",0))</f>
        <v>Китай</v>
      </c>
      <c r="N24" s="104">
        <f ca="1">VALUE(_xlfn.XLOOKUP($A24,Строчный!$A:$A,Строчный!O:O,"ERR",0))</f>
        <v>1178.8879999999997</v>
      </c>
      <c r="O24" s="103" t="str">
        <f ca="1">_xlfn.XLOOKUP($A24,Строчный!$A:$A,Строчный!M:M,"ERR",0)</f>
        <v>Friedrich W. Schneider GmbH &amp; Co. KG; Oskar-Schindler-Str. 11, D 50769 Köln, Germany</v>
      </c>
      <c r="P24" s="94" t="str">
        <f ca="1">_xlfn.XLOOKUP(MID(X24,11,2),Размеры!D:D,Размеры!A:A,"ERR",0)</f>
        <v>ONE</v>
      </c>
      <c r="Q24" s="94">
        <f ca="1">VALUE(_xlfn.XLOOKUP($A24,Строчный!$A:$A,Строчный!R:R,"ERR",0))</f>
        <v>90</v>
      </c>
      <c r="R24" s="14" t="s">
        <v>283</v>
      </c>
      <c r="S24" s="115" t="str">
        <f t="shared" ca="1" si="0"/>
        <v>Бейсболка STETSON арт. 7756113 TRUCKER CAP ANIMAL NATURE (бежевый / серый)</v>
      </c>
      <c r="T24" s="114" t="str">
        <f t="shared" ca="1" si="1"/>
        <v>Бейсболка STETSON арт. 7756113 TRUCKER CAP ANIMAL NATURE (бежевый / серый) {37}</v>
      </c>
      <c r="U24" s="18" t="str">
        <f t="shared" ca="1" si="2"/>
        <v>бежевый</v>
      </c>
      <c r="V24" s="18" t="str">
        <f t="shared" ca="1" si="3"/>
        <v>серый</v>
      </c>
      <c r="W24" s="132" t="str">
        <f t="shared" ca="1" si="4"/>
        <v>бежевый</v>
      </c>
      <c r="X24" s="87" t="str">
        <f ca="1"/>
        <v>02-614-54-00</v>
      </c>
      <c r="Y24" s="89" t="str">
        <f ca="1">VLOOKUP(C24,Группа!A:B,2,FALSE)</f>
        <v>Бейсболка</v>
      </c>
      <c r="Z24" s="111" t="str">
        <f ca="1">IFERROR(VLOOKUP(P24,Размеры!A:C,3,FALSE),"")</f>
        <v>ONE</v>
      </c>
      <c r="AA24" s="111" t="str">
        <f ca="1">VLOOKUP(I24,ЦветПолный!A:B,2,FALSE)</f>
        <v>54</v>
      </c>
      <c r="AB24" s="111" t="str">
        <f ca="1">IFERROR(VLOOKUP(P24,Размеры!A:D,4,FALSE),"")</f>
        <v>00</v>
      </c>
      <c r="AC24" s="111">
        <f ca="1">IF(LEFT(IFERROR(VLOOKUP(LOOKUP(2,1/SEARCH(B24,Товары!A:A),Товары!A:A),Товары!A:B,2,0),""),6)=MID(X24,1,6),1,0)</f>
        <v>1</v>
      </c>
      <c r="AE24" s="111">
        <f ca="1">SUMIF(Группа!A:A,C24,Группа!C:C)</f>
        <v>1</v>
      </c>
      <c r="AF24" s="111">
        <f ca="1">SUMIF(Группа!B:B,Y24,Группа!C:C)</f>
        <v>1</v>
      </c>
      <c r="AG24" s="111">
        <f ca="1">SUMIF(Формы!A:A,D24,Формы!B:B)</f>
        <v>1</v>
      </c>
      <c r="AH24" s="111">
        <f ca="1">SUMIF(Материал!A:A,K24,Материал!B:B)</f>
        <v>1</v>
      </c>
      <c r="AI24" s="111">
        <f ca="1">SUMIF(Размеры!A:A,P24,Размеры!E:E)</f>
        <v>1</v>
      </c>
      <c r="AJ24" s="111">
        <f ca="1">SUMIF(Сезон!A:A,F24,Сезон!B:B)</f>
        <v>1</v>
      </c>
      <c r="AK24" s="111">
        <f ca="1">SUMIF(Состав!A:A,J24,Состав!B:B)</f>
        <v>0</v>
      </c>
      <c r="AL24" s="111">
        <f ca="1">SUMIF(ЦветПолный!A:A,I24,ЦветПолный!C:C)</f>
        <v>3</v>
      </c>
      <c r="AM24" s="111">
        <f ca="1">SUMIF(Цвет!A:A,W24,Цвет!B:B)</f>
        <v>1</v>
      </c>
      <c r="AN24" s="111">
        <f ca="1">SUMIF(Пол!B:B,L24,Пол!C:C)</f>
        <v>1</v>
      </c>
      <c r="AO24" s="111">
        <f ca="1">SUMIF(Марка!A:A,G24,Марка!B:B)</f>
        <v>1</v>
      </c>
      <c r="AP24" s="111">
        <f ca="1">SUMIF(Страна!A:A,M24,Страна!B:B)</f>
        <v>1</v>
      </c>
      <c r="AQ24" s="77" t="str">
        <f ca="1">IF(VLOOKUP(T24,Товары!A:B,2,FALSE)=A24,"Есть в 1С","ERR")</f>
        <v>Есть в 1С</v>
      </c>
      <c r="AR24" s="78" t="str">
        <f ca="1">IF(VLOOKUP(A24,Товары!B:B,1,FALSE)=A24,"Есть в 1С","ERR")</f>
        <v>Есть в 1С</v>
      </c>
      <c r="AS24" s="110" t="str">
        <f ca="1">VLOOKUP(T24,Товары!A:B,2,FALSE)</f>
        <v>02-614-54</v>
      </c>
      <c r="AT24" s="108" t="str">
        <f ca="1">VLOOKUP(T24,Товары!A:B,1,FALSE)</f>
        <v>Бейсболка STETSON арт. 7756113 TRUCKER CAP ANIMAL NATURE (бежевый / серый) {37}</v>
      </c>
    </row>
    <row r="25" spans="1:46" x14ac:dyDescent="0.25">
      <c r="A25" s="124" t="str">
        <f t="shared" ca="1" si="5"/>
        <v>02-613-54</v>
      </c>
      <c r="B25" s="121" t="str">
        <f ca="1">UPPER(_xlfn.XLOOKUP($A25,Строчный!$A:$A,Строчный!B:B,"ERR",0))</f>
        <v>7756112 TRUCKER CAP HIKING</v>
      </c>
      <c r="C25" s="95" t="str">
        <f ca="1">PROPER(_xlfn.XLOOKUP($A25,Строчный!$A:$A,Строчный!C:C,"ERR",0))</f>
        <v>Бейсболки</v>
      </c>
      <c r="D25" s="95" t="str">
        <f ca="1">_xlfn.LET(_xlpm.DATA,(_xlfn.XLOOKUP($A25,Строчный!$A:$A,Строчный!D:D,"ERR",0)),UPPER(MID(_xlpm.DATA,1,1))&amp;LOWER(MID(_xlpm.DATA,2,LEN(_xlpm.DATA)-1)))</f>
        <v>Бейсболка с сеточкой</v>
      </c>
      <c r="E25" s="95" t="str">
        <f ca="1">PROPER(_xlfn.XLOOKUP($A25,Строчный!$A:$A,Строчный!E:E,"ERR",0))</f>
        <v>Stetson</v>
      </c>
      <c r="F25" s="95" t="str">
        <f ca="1">LOWER(_xlfn.XLOOKUP($A25,Строчный!$A:$A,Строчный!F:F,"ERR",0))</f>
        <v>всесезон</v>
      </c>
      <c r="G25" s="95" t="str">
        <f ca="1">UPPER(_xlfn.XLOOKUP($A25,Строчный!$A:$A,Строчный!G:G,"ERR",0))</f>
        <v>STETSON</v>
      </c>
      <c r="H25" s="95" t="str">
        <f ca="1">LOWER(_xlfn.XLOOKUP($A25,Строчный!$A:$A,Строчный!H:H,"ERR",0))</f>
        <v>57</v>
      </c>
      <c r="I25" s="95" t="str">
        <f ca="1">LOWER(_xlfn.XLOOKUP($A25,Строчный!$A:$A,Строчный!I:I,"ERR",0))</f>
        <v>бежевый / серый</v>
      </c>
      <c r="J25" s="95" t="str">
        <f ca="1">SUBSTITUTE(LOWER(_xlfn.XLOOKUP($A25,Строчный!$A:$A,Строчный!J:J,"ERR",0)),"подклад","Подклад")</f>
        <v>100% хлопок / Подклад: 100% хлопок</v>
      </c>
      <c r="K25" s="95" t="str">
        <f ca="1">LOWER(_xlfn.XLOOKUP($A25,Строчный!$A:$A,Строчный!K:K,"ERR",0))</f>
        <v>хлопковые</v>
      </c>
      <c r="L25" s="95" t="str">
        <f ca="1">PROPER(_xlfn.XLOOKUP($A25,Строчный!$A:$A,Строчный!L:L,"ERR",0))</f>
        <v>Унисекс</v>
      </c>
      <c r="M25" s="95" t="str">
        <f ca="1">PROPER(_xlfn.XLOOKUP($A25,Строчный!$A:$A,Строчный!N:N,"ERR",0))</f>
        <v>Китай</v>
      </c>
      <c r="N25" s="104">
        <f ca="1">VALUE(_xlfn.XLOOKUP($A25,Строчный!$A:$A,Строчный!O:O,"ERR",0))</f>
        <v>1178.8879999999997</v>
      </c>
      <c r="O25" s="103" t="str">
        <f ca="1">_xlfn.XLOOKUP($A25,Строчный!$A:$A,Строчный!M:M,"ERR",0)</f>
        <v>Friedrich W. Schneider GmbH &amp; Co. KG; Oskar-Schindler-Str. 11, D 50769 Köln, Germany</v>
      </c>
      <c r="P25" s="94" t="str">
        <f ca="1">_xlfn.XLOOKUP(MID(X25,11,2),Размеры!D:D,Размеры!A:A,"ERR",0)</f>
        <v>ONE</v>
      </c>
      <c r="Q25" s="94">
        <f ca="1">VALUE(_xlfn.XLOOKUP($A25,Строчный!$A:$A,Строчный!R:R,"ERR",0))</f>
        <v>74</v>
      </c>
      <c r="R25" s="14" t="s">
        <v>283</v>
      </c>
      <c r="S25" s="115" t="str">
        <f t="shared" ca="1" si="0"/>
        <v>Бейсболка STETSON арт. 7756112 TRUCKER CAP HIKING (бежевый / серый)</v>
      </c>
      <c r="T25" s="114" t="str">
        <f t="shared" ca="1" si="1"/>
        <v>Бейсболка STETSON арт. 7756112 TRUCKER CAP HIKING (бежевый / серый) {57}</v>
      </c>
      <c r="U25" s="18" t="str">
        <f t="shared" ca="1" si="2"/>
        <v>бежевый</v>
      </c>
      <c r="V25" s="18" t="str">
        <f t="shared" ca="1" si="3"/>
        <v>серый</v>
      </c>
      <c r="W25" s="132" t="str">
        <f t="shared" ca="1" si="4"/>
        <v>бежевый</v>
      </c>
      <c r="X25" s="87" t="str">
        <f ca="1"/>
        <v>02-613-54-00</v>
      </c>
      <c r="Y25" s="89" t="str">
        <f ca="1">VLOOKUP(C25,Группа!A:B,2,FALSE)</f>
        <v>Бейсболка</v>
      </c>
      <c r="Z25" s="111" t="str">
        <f ca="1">IFERROR(VLOOKUP(P25,Размеры!A:C,3,FALSE),"")</f>
        <v>ONE</v>
      </c>
      <c r="AA25" s="111" t="str">
        <f ca="1">VLOOKUP(I25,ЦветПолный!A:B,2,FALSE)</f>
        <v>54</v>
      </c>
      <c r="AB25" s="111" t="str">
        <f ca="1">IFERROR(VLOOKUP(P25,Размеры!A:D,4,FALSE),"")</f>
        <v>00</v>
      </c>
      <c r="AC25" s="111">
        <f ca="1">IF(LEFT(IFERROR(VLOOKUP(LOOKUP(2,1/SEARCH(B25,Товары!A:A),Товары!A:A),Товары!A:B,2,0),""),6)=MID(X25,1,6),1,0)</f>
        <v>1</v>
      </c>
      <c r="AE25" s="111">
        <f ca="1">SUMIF(Группа!A:A,C25,Группа!C:C)</f>
        <v>1</v>
      </c>
      <c r="AF25" s="111">
        <f ca="1">SUMIF(Группа!B:B,Y25,Группа!C:C)</f>
        <v>1</v>
      </c>
      <c r="AG25" s="111">
        <f ca="1">SUMIF(Формы!A:A,D25,Формы!B:B)</f>
        <v>1</v>
      </c>
      <c r="AH25" s="111">
        <f ca="1">SUMIF(Материал!A:A,K25,Материал!B:B)</f>
        <v>1</v>
      </c>
      <c r="AI25" s="111">
        <f ca="1">SUMIF(Размеры!A:A,P25,Размеры!E:E)</f>
        <v>1</v>
      </c>
      <c r="AJ25" s="111">
        <f ca="1">SUMIF(Сезон!A:A,F25,Сезон!B:B)</f>
        <v>1</v>
      </c>
      <c r="AK25" s="111">
        <f ca="1">SUMIF(Состав!A:A,J25,Состав!B:B)</f>
        <v>0</v>
      </c>
      <c r="AL25" s="111">
        <f ca="1">SUMIF(ЦветПолный!A:A,I25,ЦветПолный!C:C)</f>
        <v>3</v>
      </c>
      <c r="AM25" s="111">
        <f ca="1">SUMIF(Цвет!A:A,W25,Цвет!B:B)</f>
        <v>1</v>
      </c>
      <c r="AN25" s="111">
        <f ca="1">SUMIF(Пол!B:B,L25,Пол!C:C)</f>
        <v>1</v>
      </c>
      <c r="AO25" s="111">
        <f ca="1">SUMIF(Марка!A:A,G25,Марка!B:B)</f>
        <v>1</v>
      </c>
      <c r="AP25" s="111">
        <f ca="1">SUMIF(Страна!A:A,M25,Страна!B:B)</f>
        <v>1</v>
      </c>
      <c r="AQ25" s="77" t="str">
        <f ca="1">IF(VLOOKUP(T25,Товары!A:B,2,FALSE)=A25,"Есть в 1С","ERR")</f>
        <v>Есть в 1С</v>
      </c>
      <c r="AR25" s="78" t="str">
        <f ca="1">IF(VLOOKUP(A25,Товары!B:B,1,FALSE)=A25,"Есть в 1С","ERR")</f>
        <v>Есть в 1С</v>
      </c>
      <c r="AS25" s="110" t="str">
        <f ca="1">VLOOKUP(T25,Товары!A:B,2,FALSE)</f>
        <v>02-613-54</v>
      </c>
      <c r="AT25" s="108" t="str">
        <f ca="1">VLOOKUP(T25,Товары!A:B,1,FALSE)</f>
        <v>Бейсболка STETSON арт. 7756112 TRUCKER CAP HIKING (бежевый / серый) {57}</v>
      </c>
    </row>
    <row r="26" spans="1:46" x14ac:dyDescent="0.25">
      <c r="A26" s="124" t="str">
        <f t="shared" ca="1" si="5"/>
        <v>02-496-11</v>
      </c>
      <c r="B26" s="121" t="str">
        <f ca="1">UPPER(_xlfn.XLOOKUP($A26,Строчный!$A:$A,Строчный!B:B,"ERR",0))</f>
        <v>7431101 ARMY CAP COTTON</v>
      </c>
      <c r="C26" s="95" t="str">
        <f ca="1">PROPER(_xlfn.XLOOKUP($A26,Строчный!$A:$A,Строчный!C:C,"ERR",0))</f>
        <v>Кепки</v>
      </c>
      <c r="D26" s="95" t="str">
        <f ca="1">_xlfn.LET(_xlpm.DATA,(_xlfn.XLOOKUP($A26,Строчный!$A:$A,Строчный!D:D,"ERR",0)),UPPER(MID(_xlpm.DATA,1,1))&amp;LOWER(MID(_xlpm.DATA,2,LEN(_xlpm.DATA)-1)))</f>
        <v>Кепка кадетка</v>
      </c>
      <c r="E26" s="95" t="str">
        <f ca="1">PROPER(_xlfn.XLOOKUP($A26,Строчный!$A:$A,Строчный!E:E,"ERR",0))</f>
        <v>Stetson</v>
      </c>
      <c r="F26" s="95" t="str">
        <f ca="1">LOWER(_xlfn.XLOOKUP($A26,Строчный!$A:$A,Строчный!F:F,"ERR",0))</f>
        <v>всесезон</v>
      </c>
      <c r="G26" s="95" t="str">
        <f ca="1">UPPER(_xlfn.XLOOKUP($A26,Строчный!$A:$A,Строчный!G:G,"ERR",0))</f>
        <v>STETSON</v>
      </c>
      <c r="H26" s="95" t="str">
        <f ca="1">LOWER(_xlfn.XLOOKUP($A26,Строчный!$A:$A,Строчный!H:H,"ERR",0))</f>
        <v>55</v>
      </c>
      <c r="I26" s="95" t="str">
        <f ca="1">LOWER(_xlfn.XLOOKUP($A26,Строчный!$A:$A,Строчный!I:I,"ERR",0))</f>
        <v>зеленый</v>
      </c>
      <c r="J26" s="95" t="str">
        <f ca="1">SUBSTITUTE(LOWER(_xlfn.XLOOKUP($A26,Строчный!$A:$A,Строчный!J:J,"ERR",0)),"подклад","Подклад")</f>
        <v>100% хлопок / Подклад: 100% хлопок</v>
      </c>
      <c r="K26" s="95" t="str">
        <f ca="1">LOWER(_xlfn.XLOOKUP($A26,Строчный!$A:$A,Строчный!K:K,"ERR",0))</f>
        <v>хлопковые</v>
      </c>
      <c r="L26" s="95" t="str">
        <f ca="1">PROPER(_xlfn.XLOOKUP($A26,Строчный!$A:$A,Строчный!L:L,"ERR",0))</f>
        <v>Унисекс</v>
      </c>
      <c r="M26" s="95" t="str">
        <f ca="1">PROPER(_xlfn.XLOOKUP($A26,Строчный!$A:$A,Строчный!N:N,"ERR",0))</f>
        <v>Китай</v>
      </c>
      <c r="N26" s="104">
        <f ca="1">VALUE(_xlfn.XLOOKUP($A26,Строчный!$A:$A,Строчный!O:O,"ERR",0))</f>
        <v>1178.8879999999997</v>
      </c>
      <c r="O26" s="103" t="str">
        <f ca="1">_xlfn.XLOOKUP($A26,Строчный!$A:$A,Строчный!M:M,"ERR",0)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6" s="94">
        <f ca="1">_xlfn.XLOOKUP(MID(X26,11,2),Размеры!D:D,Размеры!A:A,"ERR",0)</f>
        <v>61</v>
      </c>
      <c r="Q26" s="94">
        <f ca="1">VALUE(_xlfn.XLOOKUP($A26,Строчный!$A:$A,Строчный!R:R,"ERR",0))</f>
        <v>1</v>
      </c>
      <c r="R26" s="14" t="s">
        <v>283</v>
      </c>
      <c r="S26" s="115" t="str">
        <f t="shared" ca="1" si="0"/>
        <v>Кепка STETSON арт. 7431101 ARMY CAP COTTON (зеленый)</v>
      </c>
      <c r="T26" s="114" t="str">
        <f t="shared" ca="1" si="1"/>
        <v>Кепка STETSON арт. 7431101 ARMY CAP COTTON (зеленый) {55}</v>
      </c>
      <c r="U26" s="18" t="str">
        <f t="shared" ca="1" si="2"/>
        <v>зеленый</v>
      </c>
      <c r="V26" s="18" t="str">
        <f t="shared" ca="1" si="3"/>
        <v>зеленый</v>
      </c>
      <c r="W26" s="132" t="str">
        <f t="shared" ca="1" si="4"/>
        <v>зеленый</v>
      </c>
      <c r="X26" s="87" t="str">
        <f ca="1"/>
        <v>02-496-11-61</v>
      </c>
      <c r="Y26" s="89" t="str">
        <f ca="1">VLOOKUP(C26,Группа!A:B,2,FALSE)</f>
        <v>Кепка</v>
      </c>
      <c r="Z26" s="111" t="str">
        <f ca="1">IFERROR(VLOOKUP(P26,Размеры!A:C,3,FALSE),"")</f>
        <v>61 XL</v>
      </c>
      <c r="AA26" s="111" t="str">
        <f ca="1">VLOOKUP(I26,ЦветПолный!A:B,2,FALSE)</f>
        <v>11</v>
      </c>
      <c r="AB26" s="111" t="str">
        <f ca="1">IFERROR(VLOOKUP(P26,Размеры!A:D,4,FALSE),"")</f>
        <v>61</v>
      </c>
      <c r="AC26" s="111">
        <f ca="1">IF(LEFT(IFERROR(VLOOKUP(LOOKUP(2,1/SEARCH(B26,Товары!A:A),Товары!A:A),Товары!A:B,2,0),""),6)=MID(X26,1,6),1,0)</f>
        <v>1</v>
      </c>
      <c r="AE26" s="111">
        <f ca="1">SUMIF(Группа!A:A,C26,Группа!C:C)</f>
        <v>1</v>
      </c>
      <c r="AF26" s="111">
        <f ca="1">SUMIF(Группа!B:B,Y26,Группа!C:C)</f>
        <v>1</v>
      </c>
      <c r="AG26" s="111">
        <f ca="1">SUMIF(Формы!A:A,D26,Формы!B:B)</f>
        <v>1</v>
      </c>
      <c r="AH26" s="111">
        <f ca="1">SUMIF(Материал!A:A,K26,Материал!B:B)</f>
        <v>1</v>
      </c>
      <c r="AI26" s="111">
        <f ca="1">SUMIF(Размеры!A:A,P26,Размеры!E:E)</f>
        <v>1</v>
      </c>
      <c r="AJ26" s="111">
        <f ca="1">SUMIF(Сезон!A:A,F26,Сезон!B:B)</f>
        <v>1</v>
      </c>
      <c r="AK26" s="111">
        <f ca="1">SUMIF(Состав!A:A,J26,Состав!B:B)</f>
        <v>0</v>
      </c>
      <c r="AL26" s="111">
        <f ca="1">SUMIF(ЦветПолный!A:A,I26,ЦветПолный!C:C)</f>
        <v>6</v>
      </c>
      <c r="AM26" s="111">
        <f ca="1">SUMIF(Цвет!A:A,W26,Цвет!B:B)</f>
        <v>1</v>
      </c>
      <c r="AN26" s="111">
        <f ca="1">SUMIF(Пол!B:B,L26,Пол!C:C)</f>
        <v>1</v>
      </c>
      <c r="AO26" s="111">
        <f ca="1">SUMIF(Марка!A:A,G26,Марка!B:B)</f>
        <v>1</v>
      </c>
      <c r="AP26" s="111">
        <f ca="1">SUMIF(Страна!A:A,M26,Страна!B:B)</f>
        <v>1</v>
      </c>
      <c r="AQ26" s="77" t="e">
        <f ca="1">IF(VLOOKUP(T26,Товары!A:B,2,FALSE)=A26,"Есть в 1С","ERR")</f>
        <v>#N/A</v>
      </c>
      <c r="AR26" s="78" t="e">
        <f ca="1">IF(VLOOKUP(A26,Товары!B:B,1,FALSE)=A26,"Есть в 1С","ERR")</f>
        <v>#N/A</v>
      </c>
      <c r="AS26" s="110" t="e">
        <f ca="1">VLOOKUP(T26,Товары!A:B,2,FALSE)</f>
        <v>#N/A</v>
      </c>
      <c r="AT26" s="108" t="e">
        <f ca="1">VLOOKUP(T26,Товары!A:B,1,FALSE)</f>
        <v>#N/A</v>
      </c>
    </row>
    <row r="27" spans="1:46" x14ac:dyDescent="0.25">
      <c r="A27" s="124" t="str">
        <f t="shared" ca="1" si="5"/>
        <v>02-496-11</v>
      </c>
      <c r="B27" s="121" t="str">
        <f ca="1">UPPER(_xlfn.XLOOKUP($A27,Строчный!$A:$A,Строчный!B:B,"ERR",0))</f>
        <v>7431101 ARMY CAP COTTON</v>
      </c>
      <c r="C27" s="95" t="str">
        <f ca="1">PROPER(_xlfn.XLOOKUP($A27,Строчный!$A:$A,Строчный!C:C,"ERR",0))</f>
        <v>Кепки</v>
      </c>
      <c r="D27" s="95" t="str">
        <f ca="1">_xlfn.LET(_xlpm.DATA,(_xlfn.XLOOKUP($A27,Строчный!$A:$A,Строчный!D:D,"ERR",0)),UPPER(MID(_xlpm.DATA,1,1))&amp;LOWER(MID(_xlpm.DATA,2,LEN(_xlpm.DATA)-1)))</f>
        <v>Кепка кадетка</v>
      </c>
      <c r="E27" s="95" t="str">
        <f ca="1">PROPER(_xlfn.XLOOKUP($A27,Строчный!$A:$A,Строчный!E:E,"ERR",0))</f>
        <v>Stetson</v>
      </c>
      <c r="F27" s="95" t="str">
        <f ca="1">LOWER(_xlfn.XLOOKUP($A27,Строчный!$A:$A,Строчный!F:F,"ERR",0))</f>
        <v>всесезон</v>
      </c>
      <c r="G27" s="95" t="str">
        <f ca="1">UPPER(_xlfn.XLOOKUP($A27,Строчный!$A:$A,Строчный!G:G,"ERR",0))</f>
        <v>STETSON</v>
      </c>
      <c r="H27" s="95" t="str">
        <f ca="1">LOWER(_xlfn.XLOOKUP($A27,Строчный!$A:$A,Строчный!H:H,"ERR",0))</f>
        <v>55</v>
      </c>
      <c r="I27" s="95" t="str">
        <f ca="1">LOWER(_xlfn.XLOOKUP($A27,Строчный!$A:$A,Строчный!I:I,"ERR",0))</f>
        <v>зеленый</v>
      </c>
      <c r="J27" s="95" t="str">
        <f ca="1">SUBSTITUTE(LOWER(_xlfn.XLOOKUP($A27,Строчный!$A:$A,Строчный!J:J,"ERR",0)),"подклад","Подклад")</f>
        <v>100% хлопок / Подклад: 100% хлопок</v>
      </c>
      <c r="K27" s="95" t="str">
        <f ca="1">LOWER(_xlfn.XLOOKUP($A27,Строчный!$A:$A,Строчный!K:K,"ERR",0))</f>
        <v>хлопковые</v>
      </c>
      <c r="L27" s="95" t="str">
        <f ca="1">PROPER(_xlfn.XLOOKUP($A27,Строчный!$A:$A,Строчный!L:L,"ERR",0))</f>
        <v>Унисекс</v>
      </c>
      <c r="M27" s="95" t="str">
        <f ca="1">PROPER(_xlfn.XLOOKUP($A27,Строчный!$A:$A,Строчный!N:N,"ERR",0))</f>
        <v>Китай</v>
      </c>
      <c r="N27" s="104">
        <f ca="1">VALUE(_xlfn.XLOOKUP($A27,Строчный!$A:$A,Строчный!O:O,"ERR",0))</f>
        <v>1178.8879999999997</v>
      </c>
      <c r="O27" s="103" t="str">
        <f ca="1">_xlfn.XLOOKUP($A27,Строчный!$A:$A,Строчный!M:M,"ERR",0)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7" s="94">
        <f ca="1">_xlfn.XLOOKUP(MID(X27,11,2),Размеры!D:D,Размеры!A:A,"ERR",0)</f>
        <v>59</v>
      </c>
      <c r="Q27" s="94">
        <f ca="1">VALUE(_xlfn.XLOOKUP($A27,Строчный!$A:$A,Строчный!R:R,"ERR",0))</f>
        <v>1</v>
      </c>
      <c r="R27" s="14" t="s">
        <v>283</v>
      </c>
      <c r="S27" s="115" t="str">
        <f t="shared" ca="1" si="0"/>
        <v>Кепка STETSON арт. 7431101 ARMY CAP COTTON (зеленый)</v>
      </c>
      <c r="T27" s="114" t="str">
        <f t="shared" ca="1" si="1"/>
        <v>Кепка STETSON арт. 7431101 ARMY CAP COTTON (зеленый) {55}</v>
      </c>
      <c r="U27" s="18" t="str">
        <f t="shared" ca="1" si="2"/>
        <v>зеленый</v>
      </c>
      <c r="V27" s="18" t="str">
        <f t="shared" ca="1" si="3"/>
        <v>зеленый</v>
      </c>
      <c r="W27" s="132" t="str">
        <f t="shared" ca="1" si="4"/>
        <v>зеленый</v>
      </c>
      <c r="X27" s="87" t="str">
        <f ca="1"/>
        <v>02-496-11-59</v>
      </c>
      <c r="Y27" s="89" t="str">
        <f ca="1">VLOOKUP(C27,Группа!A:B,2,FALSE)</f>
        <v>Кепка</v>
      </c>
      <c r="Z27" s="111" t="str">
        <f ca="1">IFERROR(VLOOKUP(P27,Размеры!A:C,3,FALSE),"")</f>
        <v>59 L</v>
      </c>
      <c r="AA27" s="111" t="str">
        <f ca="1">VLOOKUP(I27,ЦветПолный!A:B,2,FALSE)</f>
        <v>11</v>
      </c>
      <c r="AB27" s="111" t="str">
        <f ca="1">IFERROR(VLOOKUP(P27,Размеры!A:D,4,FALSE),"")</f>
        <v>59</v>
      </c>
      <c r="AC27" s="111">
        <f ca="1">IF(LEFT(IFERROR(VLOOKUP(LOOKUP(2,1/SEARCH(B27,Товары!A:A),Товары!A:A),Товары!A:B,2,0),""),6)=MID(X27,1,6),1,0)</f>
        <v>1</v>
      </c>
      <c r="AE27" s="111">
        <f ca="1">SUMIF(Группа!A:A,C27,Группа!C:C)</f>
        <v>1</v>
      </c>
      <c r="AF27" s="111">
        <f ca="1">SUMIF(Группа!B:B,Y27,Группа!C:C)</f>
        <v>1</v>
      </c>
      <c r="AG27" s="111">
        <f ca="1">SUMIF(Формы!A:A,D27,Формы!B:B)</f>
        <v>1</v>
      </c>
      <c r="AH27" s="111">
        <f ca="1">SUMIF(Материал!A:A,K27,Материал!B:B)</f>
        <v>1</v>
      </c>
      <c r="AI27" s="111">
        <f ca="1">SUMIF(Размеры!A:A,P27,Размеры!E:E)</f>
        <v>1</v>
      </c>
      <c r="AJ27" s="111">
        <f ca="1">SUMIF(Сезон!A:A,F27,Сезон!B:B)</f>
        <v>1</v>
      </c>
      <c r="AK27" s="111">
        <f ca="1">SUMIF(Состав!A:A,J27,Состав!B:B)</f>
        <v>0</v>
      </c>
      <c r="AL27" s="111">
        <f ca="1">SUMIF(ЦветПолный!A:A,I27,ЦветПолный!C:C)</f>
        <v>6</v>
      </c>
      <c r="AM27" s="111">
        <f ca="1">SUMIF(Цвет!A:A,W27,Цвет!B:B)</f>
        <v>1</v>
      </c>
      <c r="AN27" s="111">
        <f ca="1">SUMIF(Пол!B:B,L27,Пол!C:C)</f>
        <v>1</v>
      </c>
      <c r="AO27" s="111">
        <f ca="1">SUMIF(Марка!A:A,G27,Марка!B:B)</f>
        <v>1</v>
      </c>
      <c r="AP27" s="111">
        <f ca="1">SUMIF(Страна!A:A,M27,Страна!B:B)</f>
        <v>1</v>
      </c>
      <c r="AQ27" s="77" t="e">
        <f ca="1">IF(VLOOKUP(T27,Товары!A:B,2,FALSE)=A27,"Есть в 1С","ERR")</f>
        <v>#N/A</v>
      </c>
      <c r="AR27" s="78" t="e">
        <f ca="1">IF(VLOOKUP(A27,Товары!B:B,1,FALSE)=A27,"Есть в 1С","ERR")</f>
        <v>#N/A</v>
      </c>
      <c r="AS27" s="110" t="e">
        <f ca="1">VLOOKUP(T27,Товары!A:B,2,FALSE)</f>
        <v>#N/A</v>
      </c>
      <c r="AT27" s="108" t="e">
        <f ca="1">VLOOKUP(T27,Товары!A:B,1,FALSE)</f>
        <v>#N/A</v>
      </c>
    </row>
    <row r="28" spans="1:46" x14ac:dyDescent="0.25">
      <c r="A28" s="124" t="str">
        <f t="shared" ca="1" si="5"/>
        <v>02-496-11</v>
      </c>
      <c r="B28" s="121" t="str">
        <f ca="1">UPPER(_xlfn.XLOOKUP($A28,Строчный!$A:$A,Строчный!B:B,"ERR",0))</f>
        <v>7431101 ARMY CAP COTTON</v>
      </c>
      <c r="C28" s="95" t="str">
        <f ca="1">PROPER(_xlfn.XLOOKUP($A28,Строчный!$A:$A,Строчный!C:C,"ERR",0))</f>
        <v>Кепки</v>
      </c>
      <c r="D28" s="95" t="str">
        <f ca="1">_xlfn.LET(_xlpm.DATA,(_xlfn.XLOOKUP($A28,Строчный!$A:$A,Строчный!D:D,"ERR",0)),UPPER(MID(_xlpm.DATA,1,1))&amp;LOWER(MID(_xlpm.DATA,2,LEN(_xlpm.DATA)-1)))</f>
        <v>Кепка кадетка</v>
      </c>
      <c r="E28" s="95" t="str">
        <f ca="1">PROPER(_xlfn.XLOOKUP($A28,Строчный!$A:$A,Строчный!E:E,"ERR",0))</f>
        <v>Stetson</v>
      </c>
      <c r="F28" s="95" t="str">
        <f ca="1">LOWER(_xlfn.XLOOKUP($A28,Строчный!$A:$A,Строчный!F:F,"ERR",0))</f>
        <v>всесезон</v>
      </c>
      <c r="G28" s="95" t="str">
        <f ca="1">UPPER(_xlfn.XLOOKUP($A28,Строчный!$A:$A,Строчный!G:G,"ERR",0))</f>
        <v>STETSON</v>
      </c>
      <c r="H28" s="95" t="str">
        <f ca="1">LOWER(_xlfn.XLOOKUP($A28,Строчный!$A:$A,Строчный!H:H,"ERR",0))</f>
        <v>55</v>
      </c>
      <c r="I28" s="95" t="str">
        <f ca="1">LOWER(_xlfn.XLOOKUP($A28,Строчный!$A:$A,Строчный!I:I,"ERR",0))</f>
        <v>зеленый</v>
      </c>
      <c r="J28" s="95" t="str">
        <f ca="1">SUBSTITUTE(LOWER(_xlfn.XLOOKUP($A28,Строчный!$A:$A,Строчный!J:J,"ERR",0)),"подклад","Подклад")</f>
        <v>100% хлопок / Подклад: 100% хлопок</v>
      </c>
      <c r="K28" s="95" t="str">
        <f ca="1">LOWER(_xlfn.XLOOKUP($A28,Строчный!$A:$A,Строчный!K:K,"ERR",0))</f>
        <v>хлопковые</v>
      </c>
      <c r="L28" s="95" t="str">
        <f ca="1">PROPER(_xlfn.XLOOKUP($A28,Строчный!$A:$A,Строчный!L:L,"ERR",0))</f>
        <v>Унисекс</v>
      </c>
      <c r="M28" s="95" t="str">
        <f ca="1">PROPER(_xlfn.XLOOKUP($A28,Строчный!$A:$A,Строчный!N:N,"ERR",0))</f>
        <v>Китай</v>
      </c>
      <c r="N28" s="104">
        <f ca="1">VALUE(_xlfn.XLOOKUP($A28,Строчный!$A:$A,Строчный!O:O,"ERR",0))</f>
        <v>1178.8879999999997</v>
      </c>
      <c r="O28" s="103" t="str">
        <f ca="1">_xlfn.XLOOKUP($A28,Строчный!$A:$A,Строчный!M:M,"ERR",0)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8" s="94">
        <f ca="1">_xlfn.XLOOKUP(MID(X28,11,2),Размеры!D:D,Размеры!A:A,"ERR",0)</f>
        <v>57</v>
      </c>
      <c r="Q28" s="94">
        <f ca="1">VALUE(_xlfn.XLOOKUP($A28,Строчный!$A:$A,Строчный!R:R,"ERR",0))</f>
        <v>1</v>
      </c>
      <c r="R28" s="14" t="s">
        <v>283</v>
      </c>
      <c r="S28" s="115" t="str">
        <f t="shared" ca="1" si="0"/>
        <v>Кепка STETSON арт. 7431101 ARMY CAP COTTON (зеленый)</v>
      </c>
      <c r="T28" s="114" t="str">
        <f t="shared" ca="1" si="1"/>
        <v>Кепка STETSON арт. 7431101 ARMY CAP COTTON (зеленый) {55}</v>
      </c>
      <c r="U28" s="18" t="str">
        <f t="shared" ca="1" si="2"/>
        <v>зеленый</v>
      </c>
      <c r="V28" s="18" t="str">
        <f t="shared" ca="1" si="3"/>
        <v>зеленый</v>
      </c>
      <c r="W28" s="132" t="str">
        <f t="shared" ca="1" si="4"/>
        <v>зеленый</v>
      </c>
      <c r="X28" s="87" t="str">
        <f ca="1"/>
        <v>02-496-11-57</v>
      </c>
      <c r="Y28" s="89" t="str">
        <f ca="1">VLOOKUP(C28,Группа!A:B,2,FALSE)</f>
        <v>Кепка</v>
      </c>
      <c r="Z28" s="111" t="str">
        <f ca="1">IFERROR(VLOOKUP(P28,Размеры!A:C,3,FALSE),"")</f>
        <v>57 M</v>
      </c>
      <c r="AA28" s="111" t="str">
        <f ca="1">VLOOKUP(I28,ЦветПолный!A:B,2,FALSE)</f>
        <v>11</v>
      </c>
      <c r="AB28" s="111" t="str">
        <f ca="1">IFERROR(VLOOKUP(P28,Размеры!A:D,4,FALSE),"")</f>
        <v>57</v>
      </c>
      <c r="AC28" s="111">
        <f ca="1">IF(LEFT(IFERROR(VLOOKUP(LOOKUP(2,1/SEARCH(B28,Товары!A:A),Товары!A:A),Товары!A:B,2,0),""),6)=MID(X28,1,6),1,0)</f>
        <v>1</v>
      </c>
      <c r="AE28" s="111">
        <f ca="1">SUMIF(Группа!A:A,C28,Группа!C:C)</f>
        <v>1</v>
      </c>
      <c r="AF28" s="111">
        <f ca="1">SUMIF(Группа!B:B,Y28,Группа!C:C)</f>
        <v>1</v>
      </c>
      <c r="AG28" s="111">
        <f ca="1">SUMIF(Формы!A:A,D28,Формы!B:B)</f>
        <v>1</v>
      </c>
      <c r="AH28" s="111">
        <f ca="1">SUMIF(Материал!A:A,K28,Материал!B:B)</f>
        <v>1</v>
      </c>
      <c r="AI28" s="111">
        <f ca="1">SUMIF(Размеры!A:A,P28,Размеры!E:E)</f>
        <v>1</v>
      </c>
      <c r="AJ28" s="111">
        <f ca="1">SUMIF(Сезон!A:A,F28,Сезон!B:B)</f>
        <v>1</v>
      </c>
      <c r="AK28" s="111">
        <f ca="1">SUMIF(Состав!A:A,J28,Состав!B:B)</f>
        <v>0</v>
      </c>
      <c r="AL28" s="111">
        <f ca="1">SUMIF(ЦветПолный!A:A,I28,ЦветПолный!C:C)</f>
        <v>6</v>
      </c>
      <c r="AM28" s="111">
        <f ca="1">SUMIF(Цвет!A:A,W28,Цвет!B:B)</f>
        <v>1</v>
      </c>
      <c r="AN28" s="111">
        <f ca="1">SUMIF(Пол!B:B,L28,Пол!C:C)</f>
        <v>1</v>
      </c>
      <c r="AO28" s="111">
        <f ca="1">SUMIF(Марка!A:A,G28,Марка!B:B)</f>
        <v>1</v>
      </c>
      <c r="AP28" s="111">
        <f ca="1">SUMIF(Страна!A:A,M28,Страна!B:B)</f>
        <v>1</v>
      </c>
      <c r="AQ28" s="77" t="e">
        <f ca="1">IF(VLOOKUP(T28,Товары!A:B,2,FALSE)=A28,"Есть в 1С","ERR")</f>
        <v>#N/A</v>
      </c>
      <c r="AR28" s="78" t="e">
        <f ca="1">IF(VLOOKUP(A28,Товары!B:B,1,FALSE)=A28,"Есть в 1С","ERR")</f>
        <v>#N/A</v>
      </c>
      <c r="AS28" s="110" t="e">
        <f ca="1">VLOOKUP(T28,Товары!A:B,2,FALSE)</f>
        <v>#N/A</v>
      </c>
      <c r="AT28" s="108" t="e">
        <f ca="1">VLOOKUP(T28,Товары!A:B,1,FALSE)</f>
        <v>#N/A</v>
      </c>
    </row>
    <row r="29" spans="1:46" x14ac:dyDescent="0.25">
      <c r="A29" s="124" t="str">
        <f t="shared" ca="1" si="5"/>
        <v>02-496-11</v>
      </c>
      <c r="B29" s="121" t="str">
        <f ca="1">UPPER(_xlfn.XLOOKUP($A29,Строчный!$A:$A,Строчный!B:B,"ERR",0))</f>
        <v>7431101 ARMY CAP COTTON</v>
      </c>
      <c r="C29" s="95" t="str">
        <f ca="1">PROPER(_xlfn.XLOOKUP($A29,Строчный!$A:$A,Строчный!C:C,"ERR",0))</f>
        <v>Кепки</v>
      </c>
      <c r="D29" s="95" t="str">
        <f ca="1">_xlfn.LET(_xlpm.DATA,(_xlfn.XLOOKUP($A29,Строчный!$A:$A,Строчный!D:D,"ERR",0)),UPPER(MID(_xlpm.DATA,1,1))&amp;LOWER(MID(_xlpm.DATA,2,LEN(_xlpm.DATA)-1)))</f>
        <v>Кепка кадетка</v>
      </c>
      <c r="E29" s="95" t="str">
        <f ca="1">PROPER(_xlfn.XLOOKUP($A29,Строчный!$A:$A,Строчный!E:E,"ERR",0))</f>
        <v>Stetson</v>
      </c>
      <c r="F29" s="95" t="str">
        <f ca="1">LOWER(_xlfn.XLOOKUP($A29,Строчный!$A:$A,Строчный!F:F,"ERR",0))</f>
        <v>всесезон</v>
      </c>
      <c r="G29" s="95" t="str">
        <f ca="1">UPPER(_xlfn.XLOOKUP($A29,Строчный!$A:$A,Строчный!G:G,"ERR",0))</f>
        <v>STETSON</v>
      </c>
      <c r="H29" s="95" t="str">
        <f ca="1">LOWER(_xlfn.XLOOKUP($A29,Строчный!$A:$A,Строчный!H:H,"ERR",0))</f>
        <v>55</v>
      </c>
      <c r="I29" s="95" t="str">
        <f ca="1">LOWER(_xlfn.XLOOKUP($A29,Строчный!$A:$A,Строчный!I:I,"ERR",0))</f>
        <v>зеленый</v>
      </c>
      <c r="J29" s="95" t="str">
        <f ca="1">SUBSTITUTE(LOWER(_xlfn.XLOOKUP($A29,Строчный!$A:$A,Строчный!J:J,"ERR",0)),"подклад","Подклад")</f>
        <v>100% хлопок / Подклад: 100% хлопок</v>
      </c>
      <c r="K29" s="95" t="str">
        <f ca="1">LOWER(_xlfn.XLOOKUP($A29,Строчный!$A:$A,Строчный!K:K,"ERR",0))</f>
        <v>хлопковые</v>
      </c>
      <c r="L29" s="95" t="str">
        <f ca="1">PROPER(_xlfn.XLOOKUP($A29,Строчный!$A:$A,Строчный!L:L,"ERR",0))</f>
        <v>Унисекс</v>
      </c>
      <c r="M29" s="95" t="str">
        <f ca="1">PROPER(_xlfn.XLOOKUP($A29,Строчный!$A:$A,Строчный!N:N,"ERR",0))</f>
        <v>Китай</v>
      </c>
      <c r="N29" s="104">
        <f ca="1">VALUE(_xlfn.XLOOKUP($A29,Строчный!$A:$A,Строчный!O:O,"ERR",0))</f>
        <v>1178.8879999999997</v>
      </c>
      <c r="O29" s="103" t="str">
        <f ca="1">_xlfn.XLOOKUP($A29,Строчный!$A:$A,Строчный!M:M,"ERR",0)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29" s="94">
        <f ca="1">_xlfn.XLOOKUP(MID(X29,11,2),Размеры!D:D,Размеры!A:A,"ERR",0)</f>
        <v>55</v>
      </c>
      <c r="Q29" s="94">
        <f ca="1">VALUE(_xlfn.XLOOKUP($A29,Строчный!$A:$A,Строчный!R:R,"ERR",0))</f>
        <v>1</v>
      </c>
      <c r="R29" s="14" t="s">
        <v>283</v>
      </c>
      <c r="S29" s="115" t="str">
        <f t="shared" ca="1" si="0"/>
        <v>Кепка STETSON арт. 7431101 ARMY CAP COTTON (зеленый)</v>
      </c>
      <c r="T29" s="114" t="str">
        <f t="shared" ca="1" si="1"/>
        <v>Кепка STETSON арт. 7431101 ARMY CAP COTTON (зеленый) {55}</v>
      </c>
      <c r="U29" s="18" t="str">
        <f t="shared" ca="1" si="2"/>
        <v>зеленый</v>
      </c>
      <c r="V29" s="18" t="str">
        <f t="shared" ca="1" si="3"/>
        <v>зеленый</v>
      </c>
      <c r="W29" s="132" t="str">
        <f t="shared" ca="1" si="4"/>
        <v>зеленый</v>
      </c>
      <c r="X29" s="87" t="str">
        <f ca="1"/>
        <v>02-496-11-55</v>
      </c>
      <c r="Y29" s="89" t="str">
        <f ca="1">VLOOKUP(C29,Группа!A:B,2,FALSE)</f>
        <v>Кепка</v>
      </c>
      <c r="Z29" s="111" t="str">
        <f ca="1">IFERROR(VLOOKUP(P29,Размеры!A:C,3,FALSE),"")</f>
        <v>55 S</v>
      </c>
      <c r="AA29" s="111" t="str">
        <f ca="1">VLOOKUP(I29,ЦветПолный!A:B,2,FALSE)</f>
        <v>11</v>
      </c>
      <c r="AB29" s="111" t="str">
        <f ca="1">IFERROR(VLOOKUP(P29,Размеры!A:D,4,FALSE),"")</f>
        <v>55</v>
      </c>
      <c r="AC29" s="111">
        <f ca="1">IF(LEFT(IFERROR(VLOOKUP(LOOKUP(2,1/SEARCH(B29,Товары!A:A),Товары!A:A),Товары!A:B,2,0),""),6)=MID(X29,1,6),1,0)</f>
        <v>1</v>
      </c>
      <c r="AE29" s="111">
        <f ca="1">SUMIF(Группа!A:A,C29,Группа!C:C)</f>
        <v>1</v>
      </c>
      <c r="AF29" s="111">
        <f ca="1">SUMIF(Группа!B:B,Y29,Группа!C:C)</f>
        <v>1</v>
      </c>
      <c r="AG29" s="111">
        <f ca="1">SUMIF(Формы!A:A,D29,Формы!B:B)</f>
        <v>1</v>
      </c>
      <c r="AH29" s="111">
        <f ca="1">SUMIF(Материал!A:A,K29,Материал!B:B)</f>
        <v>1</v>
      </c>
      <c r="AI29" s="111">
        <f ca="1">SUMIF(Размеры!A:A,P29,Размеры!E:E)</f>
        <v>1</v>
      </c>
      <c r="AJ29" s="111">
        <f ca="1">SUMIF(Сезон!A:A,F29,Сезон!B:B)</f>
        <v>1</v>
      </c>
      <c r="AK29" s="111">
        <f ca="1">SUMIF(Состав!A:A,J29,Состав!B:B)</f>
        <v>0</v>
      </c>
      <c r="AL29" s="111">
        <f ca="1">SUMIF(ЦветПолный!A:A,I29,ЦветПолный!C:C)</f>
        <v>6</v>
      </c>
      <c r="AM29" s="111">
        <f ca="1">SUMIF(Цвет!A:A,W29,Цвет!B:B)</f>
        <v>1</v>
      </c>
      <c r="AN29" s="111">
        <f ca="1">SUMIF(Пол!B:B,L29,Пол!C:C)</f>
        <v>1</v>
      </c>
      <c r="AO29" s="111">
        <f ca="1">SUMIF(Марка!A:A,G29,Марка!B:B)</f>
        <v>1</v>
      </c>
      <c r="AP29" s="111">
        <f ca="1">SUMIF(Страна!A:A,M29,Страна!B:B)</f>
        <v>1</v>
      </c>
      <c r="AQ29" s="77" t="e">
        <f ca="1">IF(VLOOKUP(T29,Товары!A:B,2,FALSE)=A29,"Есть в 1С","ERR")</f>
        <v>#N/A</v>
      </c>
      <c r="AR29" s="78" t="e">
        <f ca="1">IF(VLOOKUP(A29,Товары!B:B,1,FALSE)=A29,"Есть в 1С","ERR")</f>
        <v>#N/A</v>
      </c>
      <c r="AS29" s="110" t="e">
        <f ca="1">VLOOKUP(T29,Товары!A:B,2,FALSE)</f>
        <v>#N/A</v>
      </c>
      <c r="AT29" s="108" t="e">
        <f ca="1">VLOOKUP(T29,Товары!A:B,1,FALSE)</f>
        <v>#N/A</v>
      </c>
    </row>
    <row r="30" spans="1:46" x14ac:dyDescent="0.25">
      <c r="A30" s="124" t="str">
        <f t="shared" ca="1" si="5"/>
        <v>02-496-09</v>
      </c>
      <c r="B30" s="121" t="str">
        <f ca="1">UPPER(_xlfn.XLOOKUP($A30,Строчный!$A:$A,Строчный!B:B,"ERR",0))</f>
        <v>7431101 ARMY CAP COTTON</v>
      </c>
      <c r="C30" s="95" t="str">
        <f ca="1">PROPER(_xlfn.XLOOKUP($A30,Строчный!$A:$A,Строчный!C:C,"ERR",0))</f>
        <v>Кепки</v>
      </c>
      <c r="D30" s="95" t="str">
        <f ca="1">_xlfn.LET(_xlpm.DATA,(_xlfn.XLOOKUP($A30,Строчный!$A:$A,Строчный!D:D,"ERR",0)),UPPER(MID(_xlpm.DATA,1,1))&amp;LOWER(MID(_xlpm.DATA,2,LEN(_xlpm.DATA)-1)))</f>
        <v>Кепка кадетка</v>
      </c>
      <c r="E30" s="95" t="str">
        <f ca="1">PROPER(_xlfn.XLOOKUP($A30,Строчный!$A:$A,Строчный!E:E,"ERR",0))</f>
        <v>Stetson</v>
      </c>
      <c r="F30" s="95" t="str">
        <f ca="1">LOWER(_xlfn.XLOOKUP($A30,Строчный!$A:$A,Строчный!F:F,"ERR",0))</f>
        <v>всесезон</v>
      </c>
      <c r="G30" s="95" t="str">
        <f ca="1">UPPER(_xlfn.XLOOKUP($A30,Строчный!$A:$A,Строчный!G:G,"ERR",0))</f>
        <v>STETSON</v>
      </c>
      <c r="H30" s="95" t="str">
        <f ca="1">LOWER(_xlfn.XLOOKUP($A30,Строчный!$A:$A,Строчный!H:H,"ERR",0))</f>
        <v>1</v>
      </c>
      <c r="I30" s="95" t="str">
        <f ca="1">LOWER(_xlfn.XLOOKUP($A30,Строчный!$A:$A,Строчный!I:I,"ERR",0))</f>
        <v>черный</v>
      </c>
      <c r="J30" s="95" t="str">
        <f ca="1">SUBSTITUTE(LOWER(_xlfn.XLOOKUP($A30,Строчный!$A:$A,Строчный!J:J,"ERR",0)),"подклад","Подклад")</f>
        <v>100% хлопок / Подклад: 100% хлопок</v>
      </c>
      <c r="K30" s="95" t="str">
        <f ca="1">LOWER(_xlfn.XLOOKUP($A30,Строчный!$A:$A,Строчный!K:K,"ERR",0))</f>
        <v>хлопковые</v>
      </c>
      <c r="L30" s="95" t="str">
        <f ca="1">PROPER(_xlfn.XLOOKUP($A30,Строчный!$A:$A,Строчный!L:L,"ERR",0))</f>
        <v>Унисекс</v>
      </c>
      <c r="M30" s="95" t="str">
        <f ca="1">PROPER(_xlfn.XLOOKUP($A30,Строчный!$A:$A,Строчный!N:N,"ERR",0))</f>
        <v>Китай</v>
      </c>
      <c r="N30" s="104">
        <f ca="1">VALUE(_xlfn.XLOOKUP($A30,Строчный!$A:$A,Строчный!O:O,"ERR",0))</f>
        <v>1178.8879999999997</v>
      </c>
      <c r="O30" s="103" t="str">
        <f ca="1">_xlfn.XLOOKUP($A30,Строчный!$A:$A,Строчный!M:M,"ERR",0)</f>
        <v>Friedrich W. Schneider GmbH &amp; Co. KG; Oskar-Schindler-Str. 11, D 50769 Köln, Germany</v>
      </c>
      <c r="P30" s="94">
        <f ca="1">_xlfn.XLOOKUP(MID(X30,11,2),Размеры!D:D,Размеры!A:A,"ERR",0)</f>
        <v>61</v>
      </c>
      <c r="Q30" s="94">
        <f ca="1">VALUE(_xlfn.XLOOKUP($A30,Строчный!$A:$A,Строчный!R:R,"ERR",0))</f>
        <v>3</v>
      </c>
      <c r="R30" s="14" t="s">
        <v>283</v>
      </c>
      <c r="S30" s="115" t="str">
        <f t="shared" ca="1" si="0"/>
        <v>Кепка STETSON арт. 7431101 ARMY CAP COTTON (черный)</v>
      </c>
      <c r="T30" s="114" t="str">
        <f t="shared" ca="1" si="1"/>
        <v>Кепка STETSON арт. 7431101 ARMY CAP COTTON (черный) {1}</v>
      </c>
      <c r="U30" s="18" t="str">
        <f t="shared" ca="1" si="2"/>
        <v>черный</v>
      </c>
      <c r="V30" s="18" t="str">
        <f t="shared" ca="1" si="3"/>
        <v>черный</v>
      </c>
      <c r="W30" s="132" t="str">
        <f t="shared" ca="1" si="4"/>
        <v>черный</v>
      </c>
      <c r="X30" s="87" t="str">
        <f ca="1"/>
        <v>02-496-09-61</v>
      </c>
      <c r="Y30" s="89" t="str">
        <f ca="1">VLOOKUP(C30,Группа!A:B,2,FALSE)</f>
        <v>Кепка</v>
      </c>
      <c r="Z30" s="111" t="str">
        <f ca="1">IFERROR(VLOOKUP(P30,Размеры!A:C,3,FALSE),"")</f>
        <v>61 XL</v>
      </c>
      <c r="AA30" s="111" t="str">
        <f ca="1">VLOOKUP(I30,ЦветПолный!A:B,2,FALSE)</f>
        <v>09</v>
      </c>
      <c r="AB30" s="111" t="str">
        <f ca="1">IFERROR(VLOOKUP(P30,Размеры!A:D,4,FALSE),"")</f>
        <v>61</v>
      </c>
      <c r="AC30" s="111">
        <f ca="1">IF(LEFT(IFERROR(VLOOKUP(LOOKUP(2,1/SEARCH(B30,Товары!A:A),Товары!A:A),Товары!A:B,2,0),""),6)=MID(X30,1,6),1,0)</f>
        <v>1</v>
      </c>
      <c r="AE30" s="111">
        <f ca="1">SUMIF(Группа!A:A,C30,Группа!C:C)</f>
        <v>1</v>
      </c>
      <c r="AF30" s="111">
        <f ca="1">SUMIF(Группа!B:B,Y30,Группа!C:C)</f>
        <v>1</v>
      </c>
      <c r="AG30" s="111">
        <f ca="1">SUMIF(Формы!A:A,D30,Формы!B:B)</f>
        <v>1</v>
      </c>
      <c r="AH30" s="111">
        <f ca="1">SUMIF(Материал!A:A,K30,Материал!B:B)</f>
        <v>1</v>
      </c>
      <c r="AI30" s="111">
        <f ca="1">SUMIF(Размеры!A:A,P30,Размеры!E:E)</f>
        <v>1</v>
      </c>
      <c r="AJ30" s="111">
        <f ca="1">SUMIF(Сезон!A:A,F30,Сезон!B:B)</f>
        <v>1</v>
      </c>
      <c r="AK30" s="111">
        <f ca="1">SUMIF(Состав!A:A,J30,Состав!B:B)</f>
        <v>0</v>
      </c>
      <c r="AL30" s="111">
        <f ca="1">SUMIF(ЦветПолный!A:A,I30,ЦветПолный!C:C)</f>
        <v>11</v>
      </c>
      <c r="AM30" s="111">
        <f ca="1">SUMIF(Цвет!A:A,W30,Цвет!B:B)</f>
        <v>1</v>
      </c>
      <c r="AN30" s="111">
        <f ca="1">SUMIF(Пол!B:B,L30,Пол!C:C)</f>
        <v>1</v>
      </c>
      <c r="AO30" s="111">
        <f ca="1">SUMIF(Марка!A:A,G30,Марка!B:B)</f>
        <v>1</v>
      </c>
      <c r="AP30" s="111">
        <f ca="1">SUMIF(Страна!A:A,M30,Страна!B:B)</f>
        <v>1</v>
      </c>
      <c r="AQ30" s="77" t="str">
        <f ca="1">IF(VLOOKUP(T30,Товары!A:B,2,FALSE)=A30,"Есть в 1С","ERR")</f>
        <v>Есть в 1С</v>
      </c>
      <c r="AR30" s="78" t="str">
        <f ca="1">IF(VLOOKUP(A30,Товары!B:B,1,FALSE)=A30,"Есть в 1С","ERR")</f>
        <v>Есть в 1С</v>
      </c>
      <c r="AS30" s="110" t="str">
        <f ca="1">VLOOKUP(T30,Товары!A:B,2,FALSE)</f>
        <v>02-496-09</v>
      </c>
      <c r="AT30" s="108" t="str">
        <f ca="1">VLOOKUP(T30,Товары!A:B,1,FALSE)</f>
        <v>Кепка STETSON арт. 7431101 ARMY CAP COTTON (черный) {1}</v>
      </c>
    </row>
    <row r="31" spans="1:46" x14ac:dyDescent="0.25">
      <c r="A31" s="124" t="str">
        <f t="shared" ca="1" si="5"/>
        <v>02-496-09</v>
      </c>
      <c r="B31" s="121" t="str">
        <f ca="1">UPPER(_xlfn.XLOOKUP($A31,Строчный!$A:$A,Строчный!B:B,"ERR",0))</f>
        <v>7431101 ARMY CAP COTTON</v>
      </c>
      <c r="C31" s="95" t="str">
        <f ca="1">PROPER(_xlfn.XLOOKUP($A31,Строчный!$A:$A,Строчный!C:C,"ERR",0))</f>
        <v>Кепки</v>
      </c>
      <c r="D31" s="95" t="str">
        <f ca="1">_xlfn.LET(_xlpm.DATA,(_xlfn.XLOOKUP($A31,Строчный!$A:$A,Строчный!D:D,"ERR",0)),UPPER(MID(_xlpm.DATA,1,1))&amp;LOWER(MID(_xlpm.DATA,2,LEN(_xlpm.DATA)-1)))</f>
        <v>Кепка кадетка</v>
      </c>
      <c r="E31" s="95" t="str">
        <f ca="1">PROPER(_xlfn.XLOOKUP($A31,Строчный!$A:$A,Строчный!E:E,"ERR",0))</f>
        <v>Stetson</v>
      </c>
      <c r="F31" s="95" t="str">
        <f ca="1">LOWER(_xlfn.XLOOKUP($A31,Строчный!$A:$A,Строчный!F:F,"ERR",0))</f>
        <v>всесезон</v>
      </c>
      <c r="G31" s="95" t="str">
        <f ca="1">UPPER(_xlfn.XLOOKUP($A31,Строчный!$A:$A,Строчный!G:G,"ERR",0))</f>
        <v>STETSON</v>
      </c>
      <c r="H31" s="95" t="str">
        <f ca="1">LOWER(_xlfn.XLOOKUP($A31,Строчный!$A:$A,Строчный!H:H,"ERR",0))</f>
        <v>1</v>
      </c>
      <c r="I31" s="95" t="str">
        <f ca="1">LOWER(_xlfn.XLOOKUP($A31,Строчный!$A:$A,Строчный!I:I,"ERR",0))</f>
        <v>черный</v>
      </c>
      <c r="J31" s="95" t="str">
        <f ca="1">SUBSTITUTE(LOWER(_xlfn.XLOOKUP($A31,Строчный!$A:$A,Строчный!J:J,"ERR",0)),"подклад","Подклад")</f>
        <v>100% хлопок / Подклад: 100% хлопок</v>
      </c>
      <c r="K31" s="95" t="str">
        <f ca="1">LOWER(_xlfn.XLOOKUP($A31,Строчный!$A:$A,Строчный!K:K,"ERR",0))</f>
        <v>хлопковые</v>
      </c>
      <c r="L31" s="95" t="str">
        <f ca="1">PROPER(_xlfn.XLOOKUP($A31,Строчный!$A:$A,Строчный!L:L,"ERR",0))</f>
        <v>Унисекс</v>
      </c>
      <c r="M31" s="95" t="str">
        <f ca="1">PROPER(_xlfn.XLOOKUP($A31,Строчный!$A:$A,Строчный!N:N,"ERR",0))</f>
        <v>Китай</v>
      </c>
      <c r="N31" s="104">
        <f ca="1">VALUE(_xlfn.XLOOKUP($A31,Строчный!$A:$A,Строчный!O:O,"ERR",0))</f>
        <v>1178.8879999999997</v>
      </c>
      <c r="O31" s="103" t="str">
        <f ca="1">_xlfn.XLOOKUP($A31,Строчный!$A:$A,Строчный!M:M,"ERR",0)</f>
        <v>Friedrich W. Schneider GmbH &amp; Co. KG; Oskar-Schindler-Str. 11, D 50769 Köln, Germany</v>
      </c>
      <c r="P31" s="94">
        <f ca="1">_xlfn.XLOOKUP(MID(X31,11,2),Размеры!D:D,Размеры!A:A,"ERR",0)</f>
        <v>59</v>
      </c>
      <c r="Q31" s="94">
        <f ca="1">VALUE(_xlfn.XLOOKUP($A31,Строчный!$A:$A,Строчный!R:R,"ERR",0))</f>
        <v>3</v>
      </c>
      <c r="R31" s="14" t="s">
        <v>283</v>
      </c>
      <c r="S31" s="115" t="str">
        <f t="shared" ca="1" si="0"/>
        <v>Кепка STETSON арт. 7431101 ARMY CAP COTTON (черный)</v>
      </c>
      <c r="T31" s="114" t="str">
        <f t="shared" ca="1" si="1"/>
        <v>Кепка STETSON арт. 7431101 ARMY CAP COTTON (черный) {1}</v>
      </c>
      <c r="U31" s="18" t="str">
        <f t="shared" ca="1" si="2"/>
        <v>черный</v>
      </c>
      <c r="V31" s="18" t="str">
        <f t="shared" ca="1" si="3"/>
        <v>черный</v>
      </c>
      <c r="W31" s="132" t="str">
        <f t="shared" ca="1" si="4"/>
        <v>черный</v>
      </c>
      <c r="X31" s="87" t="str">
        <f ca="1"/>
        <v>02-496-09-59</v>
      </c>
      <c r="Y31" s="89" t="str">
        <f ca="1">VLOOKUP(C31,Группа!A:B,2,FALSE)</f>
        <v>Кепка</v>
      </c>
      <c r="Z31" s="111" t="str">
        <f ca="1">IFERROR(VLOOKUP(P31,Размеры!A:C,3,FALSE),"")</f>
        <v>59 L</v>
      </c>
      <c r="AA31" s="111" t="str">
        <f ca="1">VLOOKUP(I31,ЦветПолный!A:B,2,FALSE)</f>
        <v>09</v>
      </c>
      <c r="AB31" s="111" t="str">
        <f ca="1">IFERROR(VLOOKUP(P31,Размеры!A:D,4,FALSE),"")</f>
        <v>59</v>
      </c>
      <c r="AC31" s="111">
        <f ca="1">IF(LEFT(IFERROR(VLOOKUP(LOOKUP(2,1/SEARCH(B31,Товары!A:A),Товары!A:A),Товары!A:B,2,0),""),6)=MID(X31,1,6),1,0)</f>
        <v>1</v>
      </c>
      <c r="AE31" s="111">
        <f ca="1">SUMIF(Группа!A:A,C31,Группа!C:C)</f>
        <v>1</v>
      </c>
      <c r="AF31" s="111">
        <f ca="1">SUMIF(Группа!B:B,Y31,Группа!C:C)</f>
        <v>1</v>
      </c>
      <c r="AG31" s="111">
        <f ca="1">SUMIF(Формы!A:A,D31,Формы!B:B)</f>
        <v>1</v>
      </c>
      <c r="AH31" s="111">
        <f ca="1">SUMIF(Материал!A:A,K31,Материал!B:B)</f>
        <v>1</v>
      </c>
      <c r="AI31" s="111">
        <f ca="1">SUMIF(Размеры!A:A,P31,Размеры!E:E)</f>
        <v>1</v>
      </c>
      <c r="AJ31" s="111">
        <f ca="1">SUMIF(Сезон!A:A,F31,Сезон!B:B)</f>
        <v>1</v>
      </c>
      <c r="AK31" s="111">
        <f ca="1">SUMIF(Состав!A:A,J31,Состав!B:B)</f>
        <v>0</v>
      </c>
      <c r="AL31" s="111">
        <f ca="1">SUMIF(ЦветПолный!A:A,I31,ЦветПолный!C:C)</f>
        <v>11</v>
      </c>
      <c r="AM31" s="111">
        <f ca="1">SUMIF(Цвет!A:A,W31,Цвет!B:B)</f>
        <v>1</v>
      </c>
      <c r="AN31" s="111">
        <f ca="1">SUMIF(Пол!B:B,L31,Пол!C:C)</f>
        <v>1</v>
      </c>
      <c r="AO31" s="111">
        <f ca="1">SUMIF(Марка!A:A,G31,Марка!B:B)</f>
        <v>1</v>
      </c>
      <c r="AP31" s="111">
        <f ca="1">SUMIF(Страна!A:A,M31,Страна!B:B)</f>
        <v>1</v>
      </c>
      <c r="AQ31" s="77" t="str">
        <f ca="1">IF(VLOOKUP(T31,Товары!A:B,2,FALSE)=A31,"Есть в 1С","ERR")</f>
        <v>Есть в 1С</v>
      </c>
      <c r="AR31" s="78" t="str">
        <f ca="1">IF(VLOOKUP(A31,Товары!B:B,1,FALSE)=A31,"Есть в 1С","ERR")</f>
        <v>Есть в 1С</v>
      </c>
      <c r="AS31" s="110" t="str">
        <f ca="1">VLOOKUP(T31,Товары!A:B,2,FALSE)</f>
        <v>02-496-09</v>
      </c>
      <c r="AT31" s="108" t="str">
        <f ca="1">VLOOKUP(T31,Товары!A:B,1,FALSE)</f>
        <v>Кепка STETSON арт. 7431101 ARMY CAP COTTON (черный) {1}</v>
      </c>
    </row>
    <row r="32" spans="1:46" x14ac:dyDescent="0.25">
      <c r="A32" s="124" t="str">
        <f t="shared" ca="1" si="5"/>
        <v>02-496-09</v>
      </c>
      <c r="B32" s="121" t="str">
        <f ca="1">UPPER(_xlfn.XLOOKUP($A32,Строчный!$A:$A,Строчный!B:B,"ERR",0))</f>
        <v>7431101 ARMY CAP COTTON</v>
      </c>
      <c r="C32" s="95" t="str">
        <f ca="1">PROPER(_xlfn.XLOOKUP($A32,Строчный!$A:$A,Строчный!C:C,"ERR",0))</f>
        <v>Кепки</v>
      </c>
      <c r="D32" s="95" t="str">
        <f ca="1">_xlfn.LET(_xlpm.DATA,(_xlfn.XLOOKUP($A32,Строчный!$A:$A,Строчный!D:D,"ERR",0)),UPPER(MID(_xlpm.DATA,1,1))&amp;LOWER(MID(_xlpm.DATA,2,LEN(_xlpm.DATA)-1)))</f>
        <v>Кепка кадетка</v>
      </c>
      <c r="E32" s="95" t="str">
        <f ca="1">PROPER(_xlfn.XLOOKUP($A32,Строчный!$A:$A,Строчный!E:E,"ERR",0))</f>
        <v>Stetson</v>
      </c>
      <c r="F32" s="95" t="str">
        <f ca="1">LOWER(_xlfn.XLOOKUP($A32,Строчный!$A:$A,Строчный!F:F,"ERR",0))</f>
        <v>всесезон</v>
      </c>
      <c r="G32" s="95" t="str">
        <f ca="1">UPPER(_xlfn.XLOOKUP($A32,Строчный!$A:$A,Строчный!G:G,"ERR",0))</f>
        <v>STETSON</v>
      </c>
      <c r="H32" s="95" t="str">
        <f ca="1">LOWER(_xlfn.XLOOKUP($A32,Строчный!$A:$A,Строчный!H:H,"ERR",0))</f>
        <v>1</v>
      </c>
      <c r="I32" s="95" t="str">
        <f ca="1">LOWER(_xlfn.XLOOKUP($A32,Строчный!$A:$A,Строчный!I:I,"ERR",0))</f>
        <v>черный</v>
      </c>
      <c r="J32" s="95" t="str">
        <f ca="1">SUBSTITUTE(LOWER(_xlfn.XLOOKUP($A32,Строчный!$A:$A,Строчный!J:J,"ERR",0)),"подклад","Подклад")</f>
        <v>100% хлопок / Подклад: 100% хлопок</v>
      </c>
      <c r="K32" s="95" t="str">
        <f ca="1">LOWER(_xlfn.XLOOKUP($A32,Строчный!$A:$A,Строчный!K:K,"ERR",0))</f>
        <v>хлопковые</v>
      </c>
      <c r="L32" s="95" t="str">
        <f ca="1">PROPER(_xlfn.XLOOKUP($A32,Строчный!$A:$A,Строчный!L:L,"ERR",0))</f>
        <v>Унисекс</v>
      </c>
      <c r="M32" s="95" t="str">
        <f ca="1">PROPER(_xlfn.XLOOKUP($A32,Строчный!$A:$A,Строчный!N:N,"ERR",0))</f>
        <v>Китай</v>
      </c>
      <c r="N32" s="104">
        <f ca="1">VALUE(_xlfn.XLOOKUP($A32,Строчный!$A:$A,Строчный!O:O,"ERR",0))</f>
        <v>1178.8879999999997</v>
      </c>
      <c r="O32" s="103" t="str">
        <f ca="1">_xlfn.XLOOKUP($A32,Строчный!$A:$A,Строчный!M:M,"ERR",0)</f>
        <v>Friedrich W. Schneider GmbH &amp; Co. KG; Oskar-Schindler-Str. 11, D 50769 Köln, Germany</v>
      </c>
      <c r="P32" s="94">
        <f ca="1">_xlfn.XLOOKUP(MID(X32,11,2),Размеры!D:D,Размеры!A:A,"ERR",0)</f>
        <v>57</v>
      </c>
      <c r="Q32" s="94">
        <f ca="1">VALUE(_xlfn.XLOOKUP($A32,Строчный!$A:$A,Строчный!R:R,"ERR",0))</f>
        <v>3</v>
      </c>
      <c r="R32" s="14" t="s">
        <v>283</v>
      </c>
      <c r="S32" s="115" t="str">
        <f t="shared" ca="1" si="0"/>
        <v>Кепка STETSON арт. 7431101 ARMY CAP COTTON (черный)</v>
      </c>
      <c r="T32" s="114" t="str">
        <f t="shared" ca="1" si="1"/>
        <v>Кепка STETSON арт. 7431101 ARMY CAP COTTON (черный) {1}</v>
      </c>
      <c r="U32" s="18" t="str">
        <f t="shared" ca="1" si="2"/>
        <v>черный</v>
      </c>
      <c r="V32" s="18" t="str">
        <f t="shared" ca="1" si="3"/>
        <v>черный</v>
      </c>
      <c r="W32" s="132" t="str">
        <f t="shared" ca="1" si="4"/>
        <v>черный</v>
      </c>
      <c r="X32" s="87" t="str">
        <f ca="1"/>
        <v>02-496-09-57</v>
      </c>
      <c r="Y32" s="89" t="str">
        <f ca="1">VLOOKUP(C32,Группа!A:B,2,FALSE)</f>
        <v>Кепка</v>
      </c>
      <c r="Z32" s="111" t="str">
        <f ca="1">IFERROR(VLOOKUP(P32,Размеры!A:C,3,FALSE),"")</f>
        <v>57 M</v>
      </c>
      <c r="AA32" s="111" t="str">
        <f ca="1">VLOOKUP(I32,ЦветПолный!A:B,2,FALSE)</f>
        <v>09</v>
      </c>
      <c r="AB32" s="111" t="str">
        <f ca="1">IFERROR(VLOOKUP(P32,Размеры!A:D,4,FALSE),"")</f>
        <v>57</v>
      </c>
      <c r="AC32" s="111">
        <f ca="1">IF(LEFT(IFERROR(VLOOKUP(LOOKUP(2,1/SEARCH(B32,Товары!A:A),Товары!A:A),Товары!A:B,2,0),""),6)=MID(X32,1,6),1,0)</f>
        <v>1</v>
      </c>
      <c r="AE32" s="111">
        <f ca="1">SUMIF(Группа!A:A,C32,Группа!C:C)</f>
        <v>1</v>
      </c>
      <c r="AF32" s="111">
        <f ca="1">SUMIF(Группа!B:B,Y32,Группа!C:C)</f>
        <v>1</v>
      </c>
      <c r="AG32" s="111">
        <f ca="1">SUMIF(Формы!A:A,D32,Формы!B:B)</f>
        <v>1</v>
      </c>
      <c r="AH32" s="111">
        <f ca="1">SUMIF(Материал!A:A,K32,Материал!B:B)</f>
        <v>1</v>
      </c>
      <c r="AI32" s="111">
        <f ca="1">SUMIF(Размеры!A:A,P32,Размеры!E:E)</f>
        <v>1</v>
      </c>
      <c r="AJ32" s="111">
        <f ca="1">SUMIF(Сезон!A:A,F32,Сезон!B:B)</f>
        <v>1</v>
      </c>
      <c r="AK32" s="111">
        <f ca="1">SUMIF(Состав!A:A,J32,Состав!B:B)</f>
        <v>0</v>
      </c>
      <c r="AL32" s="111">
        <f ca="1">SUMIF(ЦветПолный!A:A,I32,ЦветПолный!C:C)</f>
        <v>11</v>
      </c>
      <c r="AM32" s="111">
        <f ca="1">SUMIF(Цвет!A:A,W32,Цвет!B:B)</f>
        <v>1</v>
      </c>
      <c r="AN32" s="111">
        <f ca="1">SUMIF(Пол!B:B,L32,Пол!C:C)</f>
        <v>1</v>
      </c>
      <c r="AO32" s="111">
        <f ca="1">SUMIF(Марка!A:A,G32,Марка!B:B)</f>
        <v>1</v>
      </c>
      <c r="AP32" s="111">
        <f ca="1">SUMIF(Страна!A:A,M32,Страна!B:B)</f>
        <v>1</v>
      </c>
      <c r="AQ32" s="77" t="str">
        <f ca="1">IF(VLOOKUP(T32,Товары!A:B,2,FALSE)=A32,"Есть в 1С","ERR")</f>
        <v>Есть в 1С</v>
      </c>
      <c r="AR32" s="78" t="str">
        <f ca="1">IF(VLOOKUP(A32,Товары!B:B,1,FALSE)=A32,"Есть в 1С","ERR")</f>
        <v>Есть в 1С</v>
      </c>
      <c r="AS32" s="110" t="str">
        <f ca="1">VLOOKUP(T32,Товары!A:B,2,FALSE)</f>
        <v>02-496-09</v>
      </c>
      <c r="AT32" s="108" t="str">
        <f ca="1">VLOOKUP(T32,Товары!A:B,1,FALSE)</f>
        <v>Кепка STETSON арт. 7431101 ARMY CAP COTTON (черный) {1}</v>
      </c>
    </row>
    <row r="33" spans="1:46" x14ac:dyDescent="0.25">
      <c r="A33" s="124" t="str">
        <f t="shared" ca="1" si="5"/>
        <v>02-490-08</v>
      </c>
      <c r="B33" s="121" t="str">
        <f ca="1">UPPER(_xlfn.XLOOKUP($A33,Строчный!$A:$A,Строчный!B:B,"ERR",0))</f>
        <v>7781120 BASEBALL CAP COTTON</v>
      </c>
      <c r="C33" s="95" t="str">
        <f ca="1">PROPER(_xlfn.XLOOKUP($A33,Строчный!$A:$A,Строчный!C:C,"ERR",0))</f>
        <v>Бейсболки</v>
      </c>
      <c r="D33" s="95" t="str">
        <f ca="1">_xlfn.LET(_xlpm.DATA,(_xlfn.XLOOKUP($A33,Строчный!$A:$A,Строчный!D:D,"ERR",0)),UPPER(MID(_xlpm.DATA,1,1))&amp;LOWER(MID(_xlpm.DATA,2,LEN(_xlpm.DATA)-1)))</f>
        <v>Бейсболка с прямым козырьком</v>
      </c>
      <c r="E33" s="95" t="str">
        <f ca="1">PROPER(_xlfn.XLOOKUP($A33,Строчный!$A:$A,Строчный!E:E,"ERR",0))</f>
        <v>Stetson</v>
      </c>
      <c r="F33" s="95" t="str">
        <f ca="1">LOWER(_xlfn.XLOOKUP($A33,Строчный!$A:$A,Строчный!F:F,"ERR",0))</f>
        <v>всесезон</v>
      </c>
      <c r="G33" s="95" t="str">
        <f ca="1">UPPER(_xlfn.XLOOKUP($A33,Строчный!$A:$A,Строчный!G:G,"ERR",0))</f>
        <v>STETSON</v>
      </c>
      <c r="H33" s="95" t="str">
        <f ca="1">LOWER(_xlfn.XLOOKUP($A33,Строчный!$A:$A,Строчный!H:H,"ERR",0))</f>
        <v>31</v>
      </c>
      <c r="I33" s="95" t="str">
        <f ca="1">LOWER(_xlfn.XLOOKUP($A33,Строчный!$A:$A,Строчный!I:I,"ERR",0))</f>
        <v>серый</v>
      </c>
      <c r="J33" s="95" t="str">
        <f ca="1">SUBSTITUTE(LOWER(_xlfn.XLOOKUP($A33,Строчный!$A:$A,Строчный!J:J,"ERR",0)),"подклад","Подклад")</f>
        <v>100% хлопок / Подклад: 100% хлопок</v>
      </c>
      <c r="K33" s="95" t="str">
        <f ca="1">LOWER(_xlfn.XLOOKUP($A33,Строчный!$A:$A,Строчный!K:K,"ERR",0))</f>
        <v>хлопковые</v>
      </c>
      <c r="L33" s="95" t="str">
        <f ca="1">PROPER(_xlfn.XLOOKUP($A33,Строчный!$A:$A,Строчный!L:L,"ERR",0))</f>
        <v>Унисекс</v>
      </c>
      <c r="M33" s="95" t="str">
        <f ca="1">PROPER(_xlfn.XLOOKUP($A33,Строчный!$A:$A,Строчный!N:N,"ERR",0))</f>
        <v>Китай</v>
      </c>
      <c r="N33" s="104">
        <f ca="1">VALUE(_xlfn.XLOOKUP($A33,Строчный!$A:$A,Строчный!O:O,"ERR",0))</f>
        <v>1178.8879999999997</v>
      </c>
      <c r="O33" s="103" t="str">
        <f ca="1">_xlfn.XLOOKUP($A33,Строчный!$A:$A,Строчный!M:M,"ERR",0)</f>
        <v>Friedrich W. Schneider GmbH &amp; Co. KG; Oskar-Schindler-Str. 11, D 50769 Köln, Germany</v>
      </c>
      <c r="P33" s="94" t="str">
        <f ca="1">_xlfn.XLOOKUP(MID(X33,11,2),Размеры!D:D,Размеры!A:A,"ERR",0)</f>
        <v>ONE</v>
      </c>
      <c r="Q33" s="94">
        <f ca="1">VALUE(_xlfn.XLOOKUP($A33,Строчный!$A:$A,Строчный!R:R,"ERR",0))</f>
        <v>6</v>
      </c>
      <c r="R33" s="14" t="s">
        <v>283</v>
      </c>
      <c r="S33" s="115" t="str">
        <f t="shared" ca="1" si="0"/>
        <v>Бейсболка STETSON арт. 7781120 BASEBALL CAP COTTON (серый)</v>
      </c>
      <c r="T33" s="114" t="str">
        <f t="shared" ca="1" si="1"/>
        <v>Бейсболка STETSON арт. 7781120 BASEBALL CAP COTTON (серый) {31}</v>
      </c>
      <c r="U33" s="18" t="str">
        <f t="shared" ca="1" si="2"/>
        <v>серый</v>
      </c>
      <c r="V33" s="18" t="str">
        <f t="shared" ca="1" si="3"/>
        <v>серый</v>
      </c>
      <c r="W33" s="132" t="str">
        <f t="shared" ca="1" si="4"/>
        <v>серый</v>
      </c>
      <c r="X33" s="87" t="str">
        <f ca="1"/>
        <v>02-490-08-00</v>
      </c>
      <c r="Y33" s="89" t="str">
        <f ca="1">VLOOKUP(C33,Группа!A:B,2,FALSE)</f>
        <v>Бейсболка</v>
      </c>
      <c r="Z33" s="111" t="str">
        <f ca="1">IFERROR(VLOOKUP(P33,Размеры!A:C,3,FALSE),"")</f>
        <v>ONE</v>
      </c>
      <c r="AA33" s="111" t="str">
        <f ca="1">VLOOKUP(I33,ЦветПолный!A:B,2,FALSE)</f>
        <v>08</v>
      </c>
      <c r="AB33" s="111" t="str">
        <f ca="1">IFERROR(VLOOKUP(P33,Размеры!A:D,4,FALSE),"")</f>
        <v>00</v>
      </c>
      <c r="AC33" s="111">
        <f ca="1">IF(LEFT(IFERROR(VLOOKUP(LOOKUP(2,1/SEARCH(B33,Товары!A:A),Товары!A:A),Товары!A:B,2,0),""),6)=MID(X33,1,6),1,0)</f>
        <v>1</v>
      </c>
      <c r="AE33" s="111">
        <f ca="1">SUMIF(Группа!A:A,C33,Группа!C:C)</f>
        <v>1</v>
      </c>
      <c r="AF33" s="111">
        <f ca="1">SUMIF(Группа!B:B,Y33,Группа!C:C)</f>
        <v>1</v>
      </c>
      <c r="AG33" s="111">
        <f ca="1">SUMIF(Формы!A:A,D33,Формы!B:B)</f>
        <v>1</v>
      </c>
      <c r="AH33" s="111">
        <f ca="1">SUMIF(Материал!A:A,K33,Материал!B:B)</f>
        <v>1</v>
      </c>
      <c r="AI33" s="111">
        <f ca="1">SUMIF(Размеры!A:A,P33,Размеры!E:E)</f>
        <v>1</v>
      </c>
      <c r="AJ33" s="111">
        <f ca="1">SUMIF(Сезон!A:A,F33,Сезон!B:B)</f>
        <v>1</v>
      </c>
      <c r="AK33" s="111">
        <f ca="1">SUMIF(Состав!A:A,J33,Состав!B:B)</f>
        <v>0</v>
      </c>
      <c r="AL33" s="111">
        <f ca="1">SUMIF(ЦветПолный!A:A,I33,ЦветПолный!C:C)</f>
        <v>11</v>
      </c>
      <c r="AM33" s="111">
        <f ca="1">SUMIF(Цвет!A:A,W33,Цвет!B:B)</f>
        <v>1</v>
      </c>
      <c r="AN33" s="111">
        <f ca="1">SUMIF(Пол!B:B,L33,Пол!C:C)</f>
        <v>1</v>
      </c>
      <c r="AO33" s="111">
        <f ca="1">SUMIF(Марка!A:A,G33,Марка!B:B)</f>
        <v>1</v>
      </c>
      <c r="AP33" s="111">
        <f ca="1">SUMIF(Страна!A:A,M33,Страна!B:B)</f>
        <v>1</v>
      </c>
      <c r="AQ33" s="77" t="str">
        <f ca="1">IF(VLOOKUP(T33,Товары!A:B,2,FALSE)=A33,"Есть в 1С","ERR")</f>
        <v>Есть в 1С</v>
      </c>
      <c r="AR33" s="78" t="str">
        <f ca="1">IF(VLOOKUP(A33,Товары!B:B,1,FALSE)=A33,"Есть в 1С","ERR")</f>
        <v>Есть в 1С</v>
      </c>
      <c r="AS33" s="110" t="str">
        <f ca="1">VLOOKUP(T33,Товары!A:B,2,FALSE)</f>
        <v>02-490-08</v>
      </c>
      <c r="AT33" s="108" t="str">
        <f ca="1">VLOOKUP(T33,Товары!A:B,1,FALSE)</f>
        <v>Бейсболка STETSON арт. 7781120 BASEBALL CAP COTTON (серый) {31}</v>
      </c>
    </row>
    <row r="34" spans="1:46" x14ac:dyDescent="0.25">
      <c r="A34" s="124" t="str">
        <f t="shared" ca="1" si="5"/>
        <v>02-489-36</v>
      </c>
      <c r="B34" s="121" t="str">
        <f ca="1">UPPER(_xlfn.XLOOKUP($A34,Строчный!$A:$A,Строчный!B:B,"ERR",0))</f>
        <v>7781118 BASEBALL CAP CAMO COTTON</v>
      </c>
      <c r="C34" s="95" t="str">
        <f ca="1">PROPER(_xlfn.XLOOKUP($A34,Строчный!$A:$A,Строчный!C:C,"ERR",0))</f>
        <v>Бейсболки</v>
      </c>
      <c r="D34" s="95" t="str">
        <f ca="1">_xlfn.LET(_xlpm.DATA,(_xlfn.XLOOKUP($A34,Строчный!$A:$A,Строчный!D:D,"ERR",0)),UPPER(MID(_xlpm.DATA,1,1))&amp;LOWER(MID(_xlpm.DATA,2,LEN(_xlpm.DATA)-1)))</f>
        <v>Бейсболка с прямым козырьком</v>
      </c>
      <c r="E34" s="95" t="str">
        <f ca="1">PROPER(_xlfn.XLOOKUP($A34,Строчный!$A:$A,Строчный!E:E,"ERR",0))</f>
        <v>Stetson</v>
      </c>
      <c r="F34" s="95" t="str">
        <f ca="1">LOWER(_xlfn.XLOOKUP($A34,Строчный!$A:$A,Строчный!F:F,"ERR",0))</f>
        <v>всесезон</v>
      </c>
      <c r="G34" s="95" t="str">
        <f ca="1">UPPER(_xlfn.XLOOKUP($A34,Строчный!$A:$A,Строчный!G:G,"ERR",0))</f>
        <v>STETSON</v>
      </c>
      <c r="H34" s="95" t="str">
        <f ca="1">LOWER(_xlfn.XLOOKUP($A34,Строчный!$A:$A,Строчный!H:H,"ERR",0))</f>
        <v>75</v>
      </c>
      <c r="I34" s="95" t="str">
        <f ca="1">LOWER(_xlfn.XLOOKUP($A34,Строчный!$A:$A,Строчный!I:I,"ERR",0))</f>
        <v>кремовый</v>
      </c>
      <c r="J34" s="95" t="str">
        <f ca="1">SUBSTITUTE(LOWER(_xlfn.XLOOKUP($A34,Строчный!$A:$A,Строчный!J:J,"ERR",0)),"подклад","Подклад")</f>
        <v>100% хлопок / Подклад: 100% хлопок</v>
      </c>
      <c r="K34" s="95" t="str">
        <f ca="1">LOWER(_xlfn.XLOOKUP($A34,Строчный!$A:$A,Строчный!K:K,"ERR",0))</f>
        <v>хлопковые</v>
      </c>
      <c r="L34" s="95" t="str">
        <f ca="1">PROPER(_xlfn.XLOOKUP($A34,Строчный!$A:$A,Строчный!L:L,"ERR",0))</f>
        <v>Унисекс</v>
      </c>
      <c r="M34" s="95" t="str">
        <f ca="1">PROPER(_xlfn.XLOOKUP($A34,Строчный!$A:$A,Строчный!N:N,"ERR",0))</f>
        <v>Китай</v>
      </c>
      <c r="N34" s="104">
        <f ca="1">VALUE(_xlfn.XLOOKUP($A34,Строчный!$A:$A,Строчный!O:O,"ERR",0))</f>
        <v>1178.8879999999997</v>
      </c>
      <c r="O34" s="103" t="str">
        <f ca="1">_xlfn.XLOOKUP($A34,Строчный!$A:$A,Строчный!M:M,"ERR",0)</f>
        <v>Friedrich W. Schneider GmbH &amp; Co. KG; Oskar-Schindler-Str. 11, D 50769 Köln, Germany</v>
      </c>
      <c r="P34" s="94" t="str">
        <f ca="1">_xlfn.XLOOKUP(MID(X34,11,2),Размеры!D:D,Размеры!A:A,"ERR",0)</f>
        <v>ONE</v>
      </c>
      <c r="Q34" s="94">
        <f ca="1">VALUE(_xlfn.XLOOKUP($A34,Строчный!$A:$A,Строчный!R:R,"ERR",0))</f>
        <v>6</v>
      </c>
      <c r="R34" s="14" t="s">
        <v>283</v>
      </c>
      <c r="S34" s="115" t="str">
        <f t="shared" ref="S34:S59" ca="1" si="6">CONCATENATE(Y34," ",G34," арт. ",B34," (",I34,")")</f>
        <v>Бейсболка STETSON арт. 7781118 BASEBALL CAP CAMO COTTON (кремовый)</v>
      </c>
      <c r="T34" s="114" t="str">
        <f t="shared" ref="T34:T59" ca="1" si="7">CONCATENATE(Y34," ",G34," арт. ",B34," (",I34,") {",H34,"}")</f>
        <v>Бейсболка STETSON арт. 7781118 BASEBALL CAP CAMO COTTON (кремовый) {75}</v>
      </c>
      <c r="U34" s="18" t="str">
        <f t="shared" ref="U34:U59" ca="1" si="8">IFERROR(MID(I34,FIND("-",I34)+1,LEN(I34)),IFERROR(MID(I34,1,FIND("/",I34)-2),I34))</f>
        <v>кремовый</v>
      </c>
      <c r="V34" s="18" t="str">
        <f t="shared" ref="V34:V59" ca="1" si="9">IFERROR(MID(I34,FIND("-",I34)+1,LEN(I34)),IFERROR(MID(I34,FIND("/",I34)+2,LEN(I34)),I34))</f>
        <v>кремовый</v>
      </c>
      <c r="W34" s="132" t="s">
        <v>52</v>
      </c>
      <c r="X34" s="87" t="str">
        <f ca="1"/>
        <v>02-489-36-00</v>
      </c>
      <c r="Y34" s="89" t="str">
        <f ca="1">VLOOKUP(C34,Группа!A:B,2,FALSE)</f>
        <v>Бейсболка</v>
      </c>
      <c r="Z34" s="111" t="str">
        <f ca="1">IFERROR(VLOOKUP(P34,Размеры!A:C,3,FALSE),"")</f>
        <v>ONE</v>
      </c>
      <c r="AA34" s="111" t="str">
        <f ca="1">VLOOKUP(I34,ЦветПолный!A:B,2,FALSE)</f>
        <v>36</v>
      </c>
      <c r="AB34" s="111" t="str">
        <f ca="1">IFERROR(VLOOKUP(P34,Размеры!A:D,4,FALSE),"")</f>
        <v>00</v>
      </c>
      <c r="AC34" s="111">
        <f ca="1">IF(LEFT(IFERROR(VLOOKUP(LOOKUP(2,1/SEARCH(B34,Товары!A:A),Товары!A:A),Товары!A:B,2,0),""),6)=MID(X34,1,6),1,0)</f>
        <v>1</v>
      </c>
      <c r="AE34" s="111">
        <f ca="1">SUMIF(Группа!A:A,C34,Группа!C:C)</f>
        <v>1</v>
      </c>
      <c r="AF34" s="111">
        <f ca="1">SUMIF(Группа!B:B,Y34,Группа!C:C)</f>
        <v>1</v>
      </c>
      <c r="AG34" s="111">
        <f ca="1">SUMIF(Формы!A:A,D34,Формы!B:B)</f>
        <v>1</v>
      </c>
      <c r="AH34" s="111">
        <f ca="1">SUMIF(Материал!A:A,K34,Материал!B:B)</f>
        <v>1</v>
      </c>
      <c r="AI34" s="111">
        <f ca="1">SUMIF(Размеры!A:A,P34,Размеры!E:E)</f>
        <v>1</v>
      </c>
      <c r="AJ34" s="111">
        <f ca="1">SUMIF(Сезон!A:A,F34,Сезон!B:B)</f>
        <v>1</v>
      </c>
      <c r="AK34" s="111">
        <f ca="1">SUMIF(Состав!A:A,J34,Состав!B:B)</f>
        <v>0</v>
      </c>
      <c r="AL34" s="111">
        <f ca="1">SUMIF(ЦветПолный!A:A,I34,ЦветПолный!C:C)</f>
        <v>5</v>
      </c>
      <c r="AM34" s="111">
        <f>SUMIF(Цвет!A:A,W34,Цвет!B:B)</f>
        <v>1</v>
      </c>
      <c r="AN34" s="111">
        <f ca="1">SUMIF(Пол!B:B,L34,Пол!C:C)</f>
        <v>1</v>
      </c>
      <c r="AO34" s="111">
        <f ca="1">SUMIF(Марка!A:A,G34,Марка!B:B)</f>
        <v>1</v>
      </c>
      <c r="AP34" s="111">
        <f ca="1">SUMIF(Страна!A:A,M34,Страна!B:B)</f>
        <v>1</v>
      </c>
      <c r="AQ34" s="77" t="str">
        <f ca="1">IF(VLOOKUP(T34,Товары!A:B,2,FALSE)=A34,"Есть в 1С","ERR")</f>
        <v>Есть в 1С</v>
      </c>
      <c r="AR34" s="78" t="str">
        <f ca="1">IF(VLOOKUP(A34,Товары!B:B,1,FALSE)=A34,"Есть в 1С","ERR")</f>
        <v>Есть в 1С</v>
      </c>
      <c r="AS34" s="110" t="str">
        <f ca="1">VLOOKUP(T34,Товары!A:B,2,FALSE)</f>
        <v>02-489-36</v>
      </c>
      <c r="AT34" s="108" t="str">
        <f ca="1">VLOOKUP(T34,Товары!A:B,1,FALSE)</f>
        <v>Бейсболка STETSON арт. 7781118 BASEBALL CAP CAMO COTTON (кремовый) {75}</v>
      </c>
    </row>
    <row r="35" spans="1:46" x14ac:dyDescent="0.25">
      <c r="A35" s="124" t="str">
        <f t="shared" ca="1" si="5"/>
        <v>02-486-18</v>
      </c>
      <c r="B35" s="121" t="str">
        <f ca="1">UPPER(_xlfn.XLOOKUP($A35,Строчный!$A:$A,Строчный!B:B,"ERR",0))</f>
        <v>7781115 BASEBALL CAP SHAKA COTTON</v>
      </c>
      <c r="C35" s="95" t="str">
        <f ca="1">PROPER(_xlfn.XLOOKUP($A35,Строчный!$A:$A,Строчный!C:C,"ERR",0))</f>
        <v>Бейсболки</v>
      </c>
      <c r="D35" s="95" t="str">
        <f ca="1">_xlfn.LET(_xlpm.DATA,(_xlfn.XLOOKUP($A35,Строчный!$A:$A,Строчный!D:D,"ERR",0)),UPPER(MID(_xlpm.DATA,1,1))&amp;LOWER(MID(_xlpm.DATA,2,LEN(_xlpm.DATA)-1)))</f>
        <v>Бейсболка с прямым козырьком</v>
      </c>
      <c r="E35" s="95" t="str">
        <f ca="1">PROPER(_xlfn.XLOOKUP($A35,Строчный!$A:$A,Строчный!E:E,"ERR",0))</f>
        <v>Stetson</v>
      </c>
      <c r="F35" s="95" t="str">
        <f ca="1">LOWER(_xlfn.XLOOKUP($A35,Строчный!$A:$A,Строчный!F:F,"ERR",0))</f>
        <v>всесезон</v>
      </c>
      <c r="G35" s="95" t="str">
        <f ca="1">UPPER(_xlfn.XLOOKUP($A35,Строчный!$A:$A,Строчный!G:G,"ERR",0))</f>
        <v>STETSON</v>
      </c>
      <c r="H35" s="95" t="str">
        <f ca="1">LOWER(_xlfn.XLOOKUP($A35,Строчный!$A:$A,Строчный!H:H,"ERR",0))</f>
        <v>8</v>
      </c>
      <c r="I35" s="95" t="str">
        <f ca="1">LOWER(_xlfn.XLOOKUP($A35,Строчный!$A:$A,Строчный!I:I,"ERR",0))</f>
        <v>черный / красный</v>
      </c>
      <c r="J35" s="95" t="str">
        <f ca="1">SUBSTITUTE(LOWER(_xlfn.XLOOKUP($A35,Строчный!$A:$A,Строчный!J:J,"ERR",0)),"подклад","Подклад")</f>
        <v>100% хлопок / Подклад: 100% хлопок</v>
      </c>
      <c r="K35" s="95" t="str">
        <f ca="1">LOWER(_xlfn.XLOOKUP($A35,Строчный!$A:$A,Строчный!K:K,"ERR",0))</f>
        <v>хлопковые</v>
      </c>
      <c r="L35" s="95" t="str">
        <f ca="1">PROPER(_xlfn.XLOOKUP($A35,Строчный!$A:$A,Строчный!L:L,"ERR",0))</f>
        <v>Унисекс</v>
      </c>
      <c r="M35" s="95" t="str">
        <f ca="1">PROPER(_xlfn.XLOOKUP($A35,Строчный!$A:$A,Строчный!N:N,"ERR",0))</f>
        <v>Китай</v>
      </c>
      <c r="N35" s="104">
        <f ca="1">VALUE(_xlfn.XLOOKUP($A35,Строчный!$A:$A,Строчный!O:O,"ERR",0))</f>
        <v>1178.8879999999997</v>
      </c>
      <c r="O35" s="103" t="str">
        <f ca="1">_xlfn.XLOOKUP($A35,Строчный!$A:$A,Строчный!M:M,"ERR",0)</f>
        <v>Friedrich W. Schneider GmbH &amp; Co. KG; Oskar-Schindler-Str. 11, D 50769 Köln, Germany</v>
      </c>
      <c r="P35" s="94" t="str">
        <f ca="1">_xlfn.XLOOKUP(MID(X35,11,2),Размеры!D:D,Размеры!A:A,"ERR",0)</f>
        <v>ONE</v>
      </c>
      <c r="Q35" s="94">
        <f ca="1">VALUE(_xlfn.XLOOKUP($A35,Строчный!$A:$A,Строчный!R:R,"ERR",0))</f>
        <v>6</v>
      </c>
      <c r="R35" s="14" t="s">
        <v>283</v>
      </c>
      <c r="S35" s="115" t="str">
        <f t="shared" ca="1" si="6"/>
        <v>Бейсболка STETSON арт. 7781115 BASEBALL CAP SHAKA COTTON (черный / красный)</v>
      </c>
      <c r="T35" s="114" t="str">
        <f t="shared" ca="1" si="7"/>
        <v>Бейсболка STETSON арт. 7781115 BASEBALL CAP SHAKA COTTON (черный / красный) {8}</v>
      </c>
      <c r="U35" s="18" t="str">
        <f t="shared" ca="1" si="8"/>
        <v>черный</v>
      </c>
      <c r="V35" s="18" t="str">
        <f t="shared" ca="1" si="9"/>
        <v>красный</v>
      </c>
      <c r="W35" s="132" t="str">
        <f t="shared" ref="W34:W59" ca="1" si="10">IFERROR(MID(I35,FIND("-",I35)+1,LEN(I35)),IFERROR(MID(I35,1,FIND("/",I35)-2),I35))</f>
        <v>черный</v>
      </c>
      <c r="X35" s="87" t="str">
        <f ca="1"/>
        <v>02-486-18-00</v>
      </c>
      <c r="Y35" s="89" t="str">
        <f ca="1">VLOOKUP(C35,Группа!A:B,2,FALSE)</f>
        <v>Бейсболка</v>
      </c>
      <c r="Z35" s="111" t="str">
        <f ca="1">IFERROR(VLOOKUP(P35,Размеры!A:C,3,FALSE),"")</f>
        <v>ONE</v>
      </c>
      <c r="AA35" s="111" t="str">
        <f ca="1">VLOOKUP(I35,ЦветПолный!A:B,2,FALSE)</f>
        <v>72</v>
      </c>
      <c r="AB35" s="111" t="str">
        <f ca="1">IFERROR(VLOOKUP(P35,Размеры!A:D,4,FALSE),"")</f>
        <v>00</v>
      </c>
      <c r="AC35" s="111">
        <f ca="1">IF(LEFT(IFERROR(VLOOKUP(LOOKUP(2,1/SEARCH(B35,Товары!A:A),Товары!A:A),Товары!A:B,2,0),""),6)=MID(X35,1,6),1,0)</f>
        <v>1</v>
      </c>
      <c r="AE35" s="111">
        <f ca="1">SUMIF(Группа!A:A,C35,Группа!C:C)</f>
        <v>1</v>
      </c>
      <c r="AF35" s="111">
        <f ca="1">SUMIF(Группа!B:B,Y35,Группа!C:C)</f>
        <v>1</v>
      </c>
      <c r="AG35" s="111">
        <f ca="1">SUMIF(Формы!A:A,D35,Формы!B:B)</f>
        <v>1</v>
      </c>
      <c r="AH35" s="111">
        <f ca="1">SUMIF(Материал!A:A,K35,Материал!B:B)</f>
        <v>1</v>
      </c>
      <c r="AI35" s="111">
        <f ca="1">SUMIF(Размеры!A:A,P35,Размеры!E:E)</f>
        <v>1</v>
      </c>
      <c r="AJ35" s="111">
        <f ca="1">SUMIF(Сезон!A:A,F35,Сезон!B:B)</f>
        <v>1</v>
      </c>
      <c r="AK35" s="111">
        <f ca="1">SUMIF(Состав!A:A,J35,Состав!B:B)</f>
        <v>0</v>
      </c>
      <c r="AL35" s="111">
        <f ca="1">SUMIF(ЦветПолный!A:A,I35,ЦветПолный!C:C)</f>
        <v>3</v>
      </c>
      <c r="AM35" s="111">
        <f ca="1">SUMIF(Цвет!A:A,W35,Цвет!B:B)</f>
        <v>1</v>
      </c>
      <c r="AN35" s="111">
        <f ca="1">SUMIF(Пол!B:B,L35,Пол!C:C)</f>
        <v>1</v>
      </c>
      <c r="AO35" s="111">
        <f ca="1">SUMIF(Марка!A:A,G35,Марка!B:B)</f>
        <v>1</v>
      </c>
      <c r="AP35" s="111">
        <f ca="1">SUMIF(Страна!A:A,M35,Страна!B:B)</f>
        <v>1</v>
      </c>
      <c r="AQ35" s="77" t="str">
        <f ca="1">IF(VLOOKUP(T35,Товары!A:B,2,FALSE)=A35,"Есть в 1С","ERR")</f>
        <v>Есть в 1С</v>
      </c>
      <c r="AR35" s="78" t="str">
        <f ca="1">IF(VLOOKUP(A35,Товары!B:B,1,FALSE)=A35,"Есть в 1С","ERR")</f>
        <v>Есть в 1С</v>
      </c>
      <c r="AS35" s="110" t="str">
        <f ca="1">VLOOKUP(T35,Товары!A:B,2,FALSE)</f>
        <v>02-486-18</v>
      </c>
      <c r="AT35" s="108" t="str">
        <f ca="1">VLOOKUP(T35,Товары!A:B,1,FALSE)</f>
        <v>Бейсболка STETSON арт. 7781115 BASEBALL CAP SHAKA COTTON (черный / красный) {8}</v>
      </c>
    </row>
    <row r="36" spans="1:46" x14ac:dyDescent="0.25">
      <c r="A36" s="124" t="str">
        <f t="shared" ca="1" si="5"/>
        <v>02-486-17</v>
      </c>
      <c r="B36" s="121" t="str">
        <f ca="1">UPPER(_xlfn.XLOOKUP($A36,Строчный!$A:$A,Строчный!B:B,"ERR",0))</f>
        <v>7781115 BASEBALL CAP SHAKA COTTON</v>
      </c>
      <c r="C36" s="95" t="str">
        <f ca="1">PROPER(_xlfn.XLOOKUP($A36,Строчный!$A:$A,Строчный!C:C,"ERR",0))</f>
        <v>Бейсболки</v>
      </c>
      <c r="D36" s="95" t="str">
        <f ca="1">_xlfn.LET(_xlpm.DATA,(_xlfn.XLOOKUP($A36,Строчный!$A:$A,Строчный!D:D,"ERR",0)),UPPER(MID(_xlpm.DATA,1,1))&amp;LOWER(MID(_xlpm.DATA,2,LEN(_xlpm.DATA)-1)))</f>
        <v>Бейсболка с прямым козырьком</v>
      </c>
      <c r="E36" s="95" t="str">
        <f ca="1">PROPER(_xlfn.XLOOKUP($A36,Строчный!$A:$A,Строчный!E:E,"ERR",0))</f>
        <v>Stetson</v>
      </c>
      <c r="F36" s="95" t="str">
        <f ca="1">LOWER(_xlfn.XLOOKUP($A36,Строчный!$A:$A,Строчный!F:F,"ERR",0))</f>
        <v>всесезон</v>
      </c>
      <c r="G36" s="95" t="str">
        <f ca="1">UPPER(_xlfn.XLOOKUP($A36,Строчный!$A:$A,Строчный!G:G,"ERR",0))</f>
        <v>STETSON</v>
      </c>
      <c r="H36" s="95" t="str">
        <f ca="1">LOWER(_xlfn.XLOOKUP($A36,Строчный!$A:$A,Строчный!H:H,"ERR",0))</f>
        <v>3</v>
      </c>
      <c r="I36" s="95" t="str">
        <f ca="1">LOWER(_xlfn.XLOOKUP($A36,Строчный!$A:$A,Строчный!I:I,"ERR",0))</f>
        <v>черный / серый</v>
      </c>
      <c r="J36" s="95" t="str">
        <f ca="1">SUBSTITUTE(LOWER(_xlfn.XLOOKUP($A36,Строчный!$A:$A,Строчный!J:J,"ERR",0)),"подклад","Подклад")</f>
        <v>100% хлопок / Подклад: 100% хлопок</v>
      </c>
      <c r="K36" s="95" t="str">
        <f ca="1">LOWER(_xlfn.XLOOKUP($A36,Строчный!$A:$A,Строчный!K:K,"ERR",0))</f>
        <v>хлопковые</v>
      </c>
      <c r="L36" s="95" t="str">
        <f ca="1">PROPER(_xlfn.XLOOKUP($A36,Строчный!$A:$A,Строчный!L:L,"ERR",0))</f>
        <v>Унисекс</v>
      </c>
      <c r="M36" s="95" t="str">
        <f ca="1">PROPER(_xlfn.XLOOKUP($A36,Строчный!$A:$A,Строчный!N:N,"ERR",0))</f>
        <v>Китай</v>
      </c>
      <c r="N36" s="104">
        <f ca="1">VALUE(_xlfn.XLOOKUP($A36,Строчный!$A:$A,Строчный!O:O,"ERR",0))</f>
        <v>1178.8879999999997</v>
      </c>
      <c r="O36" s="103" t="str">
        <f ca="1">_xlfn.XLOOKUP($A36,Строчный!$A:$A,Строчный!M:M,"ERR",0)</f>
        <v>Friedrich W. Schneider GmbH &amp; Co. KG; Oskar-Schindler-Str. 11, D 50769 Köln, Germany</v>
      </c>
      <c r="P36" s="94" t="str">
        <f ca="1">_xlfn.XLOOKUP(MID(X36,11,2),Размеры!D:D,Размеры!A:A,"ERR",0)</f>
        <v>ONE</v>
      </c>
      <c r="Q36" s="94">
        <f ca="1">VALUE(_xlfn.XLOOKUP($A36,Строчный!$A:$A,Строчный!R:R,"ERR",0))</f>
        <v>12</v>
      </c>
      <c r="R36" s="14" t="s">
        <v>283</v>
      </c>
      <c r="S36" s="115" t="str">
        <f t="shared" ca="1" si="6"/>
        <v>Бейсболка STETSON арт. 7781115 BASEBALL CAP SHAKA COTTON (черный / серый)</v>
      </c>
      <c r="T36" s="114" t="str">
        <f t="shared" ca="1" si="7"/>
        <v>Бейсболка STETSON арт. 7781115 BASEBALL CAP SHAKA COTTON (черный / серый) {3}</v>
      </c>
      <c r="U36" s="18" t="str">
        <f t="shared" ca="1" si="8"/>
        <v>черный</v>
      </c>
      <c r="V36" s="18" t="str">
        <f t="shared" ca="1" si="9"/>
        <v>серый</v>
      </c>
      <c r="W36" s="132" t="str">
        <f t="shared" ca="1" si="10"/>
        <v>черный</v>
      </c>
      <c r="X36" s="87" t="str">
        <f ca="1"/>
        <v>02-486-17-00</v>
      </c>
      <c r="Y36" s="89" t="str">
        <f ca="1">VLOOKUP(C36,Группа!A:B,2,FALSE)</f>
        <v>Бейсболка</v>
      </c>
      <c r="Z36" s="111" t="str">
        <f ca="1">IFERROR(VLOOKUP(P36,Размеры!A:C,3,FALSE),"")</f>
        <v>ONE</v>
      </c>
      <c r="AA36" s="111" t="str">
        <f ca="1">VLOOKUP(I36,ЦветПолный!A:B,2,FALSE)</f>
        <v>10</v>
      </c>
      <c r="AB36" s="111" t="str">
        <f ca="1">IFERROR(VLOOKUP(P36,Размеры!A:D,4,FALSE),"")</f>
        <v>00</v>
      </c>
      <c r="AC36" s="111">
        <f ca="1">IF(LEFT(IFERROR(VLOOKUP(LOOKUP(2,1/SEARCH(B36,Товары!A:A),Товары!A:A),Товары!A:B,2,0),""),6)=MID(X36,1,6),1,0)</f>
        <v>1</v>
      </c>
      <c r="AE36" s="111">
        <f ca="1">SUMIF(Группа!A:A,C36,Группа!C:C)</f>
        <v>1</v>
      </c>
      <c r="AF36" s="111">
        <f ca="1">SUMIF(Группа!B:B,Y36,Группа!C:C)</f>
        <v>1</v>
      </c>
      <c r="AG36" s="111">
        <f ca="1">SUMIF(Формы!A:A,D36,Формы!B:B)</f>
        <v>1</v>
      </c>
      <c r="AH36" s="111">
        <f ca="1">SUMIF(Материал!A:A,K36,Материал!B:B)</f>
        <v>1</v>
      </c>
      <c r="AI36" s="111">
        <f ca="1">SUMIF(Размеры!A:A,P36,Размеры!E:E)</f>
        <v>1</v>
      </c>
      <c r="AJ36" s="111">
        <f ca="1">SUMIF(Сезон!A:A,F36,Сезон!B:B)</f>
        <v>1</v>
      </c>
      <c r="AK36" s="111">
        <f ca="1">SUMIF(Состав!A:A,J36,Состав!B:B)</f>
        <v>0</v>
      </c>
      <c r="AL36" s="111">
        <f ca="1">SUMIF(ЦветПолный!A:A,I36,ЦветПолный!C:C)</f>
        <v>4</v>
      </c>
      <c r="AM36" s="111">
        <f ca="1">SUMIF(Цвет!A:A,W36,Цвет!B:B)</f>
        <v>1</v>
      </c>
      <c r="AN36" s="111">
        <f ca="1">SUMIF(Пол!B:B,L36,Пол!C:C)</f>
        <v>1</v>
      </c>
      <c r="AO36" s="111">
        <f ca="1">SUMIF(Марка!A:A,G36,Марка!B:B)</f>
        <v>1</v>
      </c>
      <c r="AP36" s="111">
        <f ca="1">SUMIF(Страна!A:A,M36,Страна!B:B)</f>
        <v>1</v>
      </c>
      <c r="AQ36" s="77" t="str">
        <f ca="1">IF(VLOOKUP(T36,Товары!A:B,2,FALSE)=A36,"Есть в 1С","ERR")</f>
        <v>Есть в 1С</v>
      </c>
      <c r="AR36" s="78" t="str">
        <f ca="1">IF(VLOOKUP(A36,Товары!B:B,1,FALSE)=A36,"Есть в 1С","ERR")</f>
        <v>Есть в 1С</v>
      </c>
      <c r="AS36" s="110" t="str">
        <f ca="1">VLOOKUP(T36,Товары!A:B,2,FALSE)</f>
        <v>02-486-17</v>
      </c>
      <c r="AT36" s="108" t="str">
        <f ca="1">VLOOKUP(T36,Товары!A:B,1,FALSE)</f>
        <v>Бейсболка STETSON арт. 7781115 BASEBALL CAP SHAKA COTTON (черный / серый) {3}</v>
      </c>
    </row>
    <row r="37" spans="1:46" x14ac:dyDescent="0.25">
      <c r="A37" s="124" t="str">
        <f t="shared" ca="1" si="5"/>
        <v>02-483-13</v>
      </c>
      <c r="B37" s="121" t="str">
        <f ca="1">UPPER(_xlfn.XLOOKUP($A37,Строчный!$A:$A,Строчный!B:B,"ERR",0))</f>
        <v>7756106 TRUCKER CAP FISHERMENS BAY</v>
      </c>
      <c r="C37" s="95" t="str">
        <f ca="1">PROPER(_xlfn.XLOOKUP($A37,Строчный!$A:$A,Строчный!C:C,"ERR",0))</f>
        <v>Бейсболки</v>
      </c>
      <c r="D37" s="95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95" t="str">
        <f ca="1">PROPER(_xlfn.XLOOKUP($A37,Строчный!$A:$A,Строчный!E:E,"ERR",0))</f>
        <v>Stetson</v>
      </c>
      <c r="F37" s="95" t="str">
        <f ca="1">LOWER(_xlfn.XLOOKUP($A37,Строчный!$A:$A,Строчный!F:F,"ERR",0))</f>
        <v>всесезон</v>
      </c>
      <c r="G37" s="95" t="str">
        <f ca="1">UPPER(_xlfn.XLOOKUP($A37,Строчный!$A:$A,Строчный!G:G,"ERR",0))</f>
        <v>STETSON</v>
      </c>
      <c r="H37" s="95" t="str">
        <f ca="1">LOWER(_xlfn.XLOOKUP($A37,Строчный!$A:$A,Строчный!H:H,"ERR",0))</f>
        <v>28</v>
      </c>
      <c r="I37" s="95" t="str">
        <f ca="1">LOWER(_xlfn.XLOOKUP($A37,Строчный!$A:$A,Строчный!I:I,"ERR",0))</f>
        <v>оранжевый / синий</v>
      </c>
      <c r="J37" s="95" t="str">
        <f ca="1">SUBSTITUTE(LOWER(_xlfn.XLOOKUP($A37,Строчный!$A:$A,Строчный!J:J,"ERR",0)),"подклад","Подклад")</f>
        <v>100% хлопок / Подклад: 100% хлопок</v>
      </c>
      <c r="K37" s="95" t="str">
        <f ca="1">LOWER(_xlfn.XLOOKUP($A37,Строчный!$A:$A,Строчный!K:K,"ERR",0))</f>
        <v>хлопковые</v>
      </c>
      <c r="L37" s="95" t="str">
        <f ca="1">PROPER(_xlfn.XLOOKUP($A37,Строчный!$A:$A,Строчный!L:L,"ERR",0))</f>
        <v>Унисекс</v>
      </c>
      <c r="M37" s="95" t="str">
        <f ca="1">PROPER(_xlfn.XLOOKUP($A37,Строчный!$A:$A,Строчный!N:N,"ERR",0))</f>
        <v>Китай</v>
      </c>
      <c r="N37" s="104">
        <f ca="1">VALUE(_xlfn.XLOOKUP($A37,Строчный!$A:$A,Строчный!O:O,"ERR",0))</f>
        <v>1178.8879999999997</v>
      </c>
      <c r="O37" s="103" t="str">
        <f ca="1">_xlfn.XLOOKUP($A37,Строчный!$A:$A,Строчный!M:M,"ERR",0)</f>
        <v>Friedrich W. Schneider GmbH &amp; Co. KG; Oskar-Schindler-Str. 11, D 50769 Köln, Germany</v>
      </c>
      <c r="P37" s="94" t="str">
        <f ca="1">_xlfn.XLOOKUP(MID(X37,11,2),Размеры!D:D,Размеры!A:A,"ERR",0)</f>
        <v>ONE</v>
      </c>
      <c r="Q37" s="94">
        <f ca="1">VALUE(_xlfn.XLOOKUP($A37,Строчный!$A:$A,Строчный!R:R,"ERR",0))</f>
        <v>105</v>
      </c>
      <c r="R37" s="14" t="s">
        <v>283</v>
      </c>
      <c r="S37" s="115" t="str">
        <f t="shared" ca="1" si="6"/>
        <v>Бейсболка STETSON арт. 7756106 TRUCKER CAP FISHERMENS BAY (оранжевый / синий)</v>
      </c>
      <c r="T37" s="114" t="str">
        <f t="shared" ca="1" si="7"/>
        <v>Бейсболка STETSON арт. 7756106 TRUCKER CAP FISHERMENS BAY (оранжевый / синий) {28}</v>
      </c>
      <c r="U37" s="18" t="str">
        <f t="shared" ca="1" si="8"/>
        <v>оранжевый</v>
      </c>
      <c r="V37" s="18" t="str">
        <f t="shared" ca="1" si="9"/>
        <v>синий</v>
      </c>
      <c r="W37" s="132" t="str">
        <f t="shared" ca="1" si="10"/>
        <v>оранжевый</v>
      </c>
      <c r="X37" s="87" t="str">
        <f ca="1"/>
        <v>02-483-13-00</v>
      </c>
      <c r="Y37" s="89" t="str">
        <f ca="1">VLOOKUP(C37,Группа!A:B,2,FALSE)</f>
        <v>Бейсболка</v>
      </c>
      <c r="Z37" s="111" t="str">
        <f ca="1">IFERROR(VLOOKUP(P37,Размеры!A:C,3,FALSE),"")</f>
        <v>ONE</v>
      </c>
      <c r="AA37" s="111" t="str">
        <f ca="1">VLOOKUP(I37,ЦветПолный!A:B,2,FALSE)</f>
        <v>13</v>
      </c>
      <c r="AB37" s="111" t="str">
        <f ca="1">IFERROR(VLOOKUP(P37,Размеры!A:D,4,FALSE),"")</f>
        <v>00</v>
      </c>
      <c r="AC37" s="111">
        <f ca="1">IF(LEFT(IFERROR(VLOOKUP(LOOKUP(2,1/SEARCH(B37,Товары!A:A),Товары!A:A),Товары!A:B,2,0),""),6)=MID(X37,1,6),1,0)</f>
        <v>1</v>
      </c>
      <c r="AE37" s="111">
        <f ca="1">SUMIF(Группа!A:A,C37,Группа!C:C)</f>
        <v>1</v>
      </c>
      <c r="AF37" s="111">
        <f ca="1">SUMIF(Группа!B:B,Y37,Группа!C:C)</f>
        <v>1</v>
      </c>
      <c r="AG37" s="111">
        <f ca="1">SUMIF(Формы!A:A,D37,Формы!B:B)</f>
        <v>1</v>
      </c>
      <c r="AH37" s="111">
        <f ca="1">SUMIF(Материал!A:A,K37,Материал!B:B)</f>
        <v>1</v>
      </c>
      <c r="AI37" s="111">
        <f ca="1">SUMIF(Размеры!A:A,P37,Размеры!E:E)</f>
        <v>1</v>
      </c>
      <c r="AJ37" s="111">
        <f ca="1">SUMIF(Сезон!A:A,F37,Сезон!B:B)</f>
        <v>1</v>
      </c>
      <c r="AK37" s="111">
        <f ca="1">SUMIF(Состав!A:A,J37,Состав!B:B)</f>
        <v>0</v>
      </c>
      <c r="AL37" s="111">
        <f ca="1">SUMIF(ЦветПолный!A:A,I37,ЦветПолный!C:C)</f>
        <v>2</v>
      </c>
      <c r="AM37" s="111">
        <f ca="1">SUMIF(Цвет!A:A,W37,Цвет!B:B)</f>
        <v>1</v>
      </c>
      <c r="AN37" s="111">
        <f ca="1">SUMIF(Пол!B:B,L37,Пол!C:C)</f>
        <v>1</v>
      </c>
      <c r="AO37" s="111">
        <f ca="1">SUMIF(Марка!A:A,G37,Марка!B:B)</f>
        <v>1</v>
      </c>
      <c r="AP37" s="111">
        <f ca="1">SUMIF(Страна!A:A,M37,Страна!B:B)</f>
        <v>1</v>
      </c>
      <c r="AQ37" s="77" t="str">
        <f ca="1">IF(VLOOKUP(T37,Товары!A:B,2,FALSE)=A37,"Есть в 1С","ERR")</f>
        <v>Есть в 1С</v>
      </c>
      <c r="AR37" s="78" t="str">
        <f ca="1">IF(VLOOKUP(A37,Товары!B:B,1,FALSE)=A37,"Есть в 1С","ERR")</f>
        <v>Есть в 1С</v>
      </c>
      <c r="AS37" s="110" t="str">
        <f ca="1">VLOOKUP(T37,Товары!A:B,2,FALSE)</f>
        <v>02-483-13</v>
      </c>
      <c r="AT37" s="108" t="str">
        <f ca="1">VLOOKUP(T37,Товары!A:B,1,FALSE)</f>
        <v>Бейсболка STETSON арт. 7756106 TRUCKER CAP FISHERMENS BAY (оранжевый / синий) {28}</v>
      </c>
    </row>
    <row r="38" spans="1:46" x14ac:dyDescent="0.25">
      <c r="A38" s="124" t="str">
        <f t="shared" ca="1" si="5"/>
        <v>02-361-14</v>
      </c>
      <c r="B38" s="121" t="str">
        <f ca="1">UPPER(_xlfn.XLOOKUP($A38,Строчный!$A:$A,Строчный!B:B,"ERR",0))</f>
        <v>2541104 TRAVELLER WAXED COTTON</v>
      </c>
      <c r="C38" s="95" t="str">
        <f ca="1">PROPER(_xlfn.XLOOKUP($A38,Строчный!$A:$A,Строчный!C:C,"ERR",0))</f>
        <v>Шляпы</v>
      </c>
      <c r="D38" s="95" t="str">
        <f ca="1">_xlfn.LET(_xlpm.DATA,(_xlfn.XLOOKUP($A38,Строчный!$A:$A,Строчный!D:D,"ERR",0)),UPPER(MID(_xlpm.DATA,1,1))&amp;LOWER(MID(_xlpm.DATA,2,LEN(_xlpm.DATA)-1)))</f>
        <v>Шляпа федора</v>
      </c>
      <c r="E38" s="95" t="str">
        <f ca="1">PROPER(_xlfn.XLOOKUP($A38,Строчный!$A:$A,Строчный!E:E,"ERR",0))</f>
        <v>Stetson</v>
      </c>
      <c r="F38" s="95" t="str">
        <f ca="1">LOWER(_xlfn.XLOOKUP($A38,Строчный!$A:$A,Строчный!F:F,"ERR",0))</f>
        <v>всесезон</v>
      </c>
      <c r="G38" s="95" t="str">
        <f ca="1">UPPER(_xlfn.XLOOKUP($A38,Строчный!$A:$A,Строчный!G:G,"ERR",0))</f>
        <v>STETSON</v>
      </c>
      <c r="H38" s="95" t="str">
        <f ca="1">LOWER(_xlfn.XLOOKUP($A38,Строчный!$A:$A,Строчный!H:H,"ERR",0))</f>
        <v>6</v>
      </c>
      <c r="I38" s="95" t="str">
        <f ca="1">LOWER(_xlfn.XLOOKUP($A38,Строчный!$A:$A,Строчный!I:I,"ERR",0))</f>
        <v>коричневый</v>
      </c>
      <c r="J38" s="95" t="str">
        <f ca="1">SUBSTITUTE(LOWER(_xlfn.XLOOKUP($A38,Строчный!$A:$A,Строчный!J:J,"ERR",0)),"подклад","Подклад")</f>
        <v>100% хлопок / Подклад: 55% хлопок - 45% полиэстер</v>
      </c>
      <c r="K38" s="95" t="str">
        <f ca="1">LOWER(_xlfn.XLOOKUP($A38,Строчный!$A:$A,Строчный!K:K,"ERR",0))</f>
        <v>хлопковые</v>
      </c>
      <c r="L38" s="95" t="str">
        <f ca="1">PROPER(_xlfn.XLOOKUP($A38,Строчный!$A:$A,Строчный!L:L,"ERR",0))</f>
        <v>Унисекс</v>
      </c>
      <c r="M38" s="95" t="str">
        <f ca="1">PROPER(_xlfn.XLOOKUP($A38,Строчный!$A:$A,Строчный!N:N,"ERR",0))</f>
        <v>Шри-Ланка</v>
      </c>
      <c r="N38" s="104">
        <f ca="1">VALUE(_xlfn.XLOOKUP($A38,Строчный!$A:$A,Строчный!O:O,"ERR",0))</f>
        <v>2128.328</v>
      </c>
      <c r="O38" s="103" t="str">
        <f ca="1">_xlfn.XLOOKUP($A38,Строчный!$A:$A,Строчный!M:M,"ERR",0)</f>
        <v>Friedrich W. Schneider GmbH &amp; Co. KG; Oskar-Schindler-Str. 11, D 50769 Köln, Germany</v>
      </c>
      <c r="P38" s="94">
        <f ca="1">_xlfn.XLOOKUP(MID(X38,11,2),Размеры!D:D,Размеры!A:A,"ERR",0)</f>
        <v>61</v>
      </c>
      <c r="Q38" s="94">
        <f ca="1">VALUE(_xlfn.XLOOKUP($A38,Строчный!$A:$A,Строчный!R:R,"ERR",0))</f>
        <v>8</v>
      </c>
      <c r="R38" s="14" t="s">
        <v>283</v>
      </c>
      <c r="S38" s="115" t="str">
        <f t="shared" ca="1" si="6"/>
        <v>Шляпа STETSON арт. 2541104 TRAVELLER WAXED COTTON (коричневый)</v>
      </c>
      <c r="T38" s="114" t="str">
        <f t="shared" ca="1" si="7"/>
        <v>Шляпа STETSON арт. 2541104 TRAVELLER WAXED COTTON (коричневый) {6}</v>
      </c>
      <c r="U38" s="18" t="str">
        <f t="shared" ca="1" si="8"/>
        <v>коричневый</v>
      </c>
      <c r="V38" s="18" t="str">
        <f t="shared" ca="1" si="9"/>
        <v>коричневый</v>
      </c>
      <c r="W38" s="132" t="str">
        <f t="shared" ca="1" si="10"/>
        <v>коричневый</v>
      </c>
      <c r="X38" s="87" t="str">
        <f ca="1"/>
        <v>02-361-14-61</v>
      </c>
      <c r="Y38" s="89" t="str">
        <f ca="1">VLOOKUP(C38,Группа!A:B,2,FALSE)</f>
        <v>Шляпа</v>
      </c>
      <c r="Z38" s="111" t="str">
        <f ca="1">IFERROR(VLOOKUP(P38,Размеры!A:C,3,FALSE),"")</f>
        <v>61 XL</v>
      </c>
      <c r="AA38" s="111" t="str">
        <f ca="1">VLOOKUP(I38,ЦветПолный!A:B,2,FALSE)</f>
        <v>14</v>
      </c>
      <c r="AB38" s="111" t="str">
        <f ca="1">IFERROR(VLOOKUP(P38,Размеры!A:D,4,FALSE),"")</f>
        <v>61</v>
      </c>
      <c r="AC38" s="111">
        <f ca="1">IF(LEFT(IFERROR(VLOOKUP(LOOKUP(2,1/SEARCH(B38,Товары!A:A),Товары!A:A),Товары!A:B,2,0),""),6)=MID(X38,1,6),1,0)</f>
        <v>1</v>
      </c>
      <c r="AE38" s="111">
        <f ca="1">SUMIF(Группа!A:A,C38,Группа!C:C)</f>
        <v>1</v>
      </c>
      <c r="AF38" s="111">
        <f ca="1">SUMIF(Группа!B:B,Y38,Группа!C:C)</f>
        <v>1</v>
      </c>
      <c r="AG38" s="111">
        <f ca="1">SUMIF(Формы!A:A,D38,Формы!B:B)</f>
        <v>1</v>
      </c>
      <c r="AH38" s="111">
        <f ca="1">SUMIF(Материал!A:A,K38,Материал!B:B)</f>
        <v>1</v>
      </c>
      <c r="AI38" s="111">
        <f ca="1">SUMIF(Размеры!A:A,P38,Размеры!E:E)</f>
        <v>1</v>
      </c>
      <c r="AJ38" s="111">
        <f ca="1">SUMIF(Сезон!A:A,F38,Сезон!B:B)</f>
        <v>1</v>
      </c>
      <c r="AK38" s="111">
        <f ca="1">SUMIF(Состав!A:A,J38,Состав!B:B)</f>
        <v>0</v>
      </c>
      <c r="AL38" s="111">
        <f ca="1">SUMIF(ЦветПолный!A:A,I38,ЦветПолный!C:C)</f>
        <v>14</v>
      </c>
      <c r="AM38" s="111">
        <f ca="1">SUMIF(Цвет!A:A,W38,Цвет!B:B)</f>
        <v>1</v>
      </c>
      <c r="AN38" s="111">
        <f ca="1">SUMIF(Пол!B:B,L38,Пол!C:C)</f>
        <v>1</v>
      </c>
      <c r="AO38" s="111">
        <f ca="1">SUMIF(Марка!A:A,G38,Марка!B:B)</f>
        <v>1</v>
      </c>
      <c r="AP38" s="111">
        <f ca="1">SUMIF(Страна!A:A,M38,Страна!B:B)</f>
        <v>1</v>
      </c>
      <c r="AQ38" s="77" t="str">
        <f ca="1">IF(VLOOKUP(T38,Товары!A:B,2,FALSE)=A38,"Есть в 1С","ERR")</f>
        <v>Есть в 1С</v>
      </c>
      <c r="AR38" s="78" t="str">
        <f ca="1">IF(VLOOKUP(A38,Товары!B:B,1,FALSE)=A38,"Есть в 1С","ERR")</f>
        <v>Есть в 1С</v>
      </c>
      <c r="AS38" s="110" t="str">
        <f ca="1">VLOOKUP(T38,Товары!A:B,2,FALSE)</f>
        <v>02-361-14</v>
      </c>
      <c r="AT38" s="108" t="str">
        <f ca="1">VLOOKUP(T38,Товары!A:B,1,FALSE)</f>
        <v>Шляпа STETSON арт. 2541104 TRAVELLER WAXED COTTON (коричневый) {6}</v>
      </c>
    </row>
    <row r="39" spans="1:46" x14ac:dyDescent="0.25">
      <c r="A39" s="124" t="str">
        <f t="shared" ca="1" si="5"/>
        <v>02-361-14</v>
      </c>
      <c r="B39" s="121" t="str">
        <f ca="1">UPPER(_xlfn.XLOOKUP($A39,Строчный!$A:$A,Строчный!B:B,"ERR",0))</f>
        <v>2541104 TRAVELLER WAXED COTTON</v>
      </c>
      <c r="C39" s="95" t="str">
        <f ca="1">PROPER(_xlfn.XLOOKUP($A39,Строчный!$A:$A,Строчный!C:C,"ERR",0))</f>
        <v>Шляпы</v>
      </c>
      <c r="D39" s="95" t="str">
        <f ca="1">_xlfn.LET(_xlpm.DATA,(_xlfn.XLOOKUP($A39,Строчный!$A:$A,Строчный!D:D,"ERR",0)),UPPER(MID(_xlpm.DATA,1,1))&amp;LOWER(MID(_xlpm.DATA,2,LEN(_xlpm.DATA)-1)))</f>
        <v>Шляпа федора</v>
      </c>
      <c r="E39" s="95" t="str">
        <f ca="1">PROPER(_xlfn.XLOOKUP($A39,Строчный!$A:$A,Строчный!E:E,"ERR",0))</f>
        <v>Stetson</v>
      </c>
      <c r="F39" s="95" t="str">
        <f ca="1">LOWER(_xlfn.XLOOKUP($A39,Строчный!$A:$A,Строчный!F:F,"ERR",0))</f>
        <v>всесезон</v>
      </c>
      <c r="G39" s="95" t="str">
        <f ca="1">UPPER(_xlfn.XLOOKUP($A39,Строчный!$A:$A,Строчный!G:G,"ERR",0))</f>
        <v>STETSON</v>
      </c>
      <c r="H39" s="95" t="str">
        <f ca="1">LOWER(_xlfn.XLOOKUP($A39,Строчный!$A:$A,Строчный!H:H,"ERR",0))</f>
        <v>6</v>
      </c>
      <c r="I39" s="95" t="str">
        <f ca="1">LOWER(_xlfn.XLOOKUP($A39,Строчный!$A:$A,Строчный!I:I,"ERR",0))</f>
        <v>коричневый</v>
      </c>
      <c r="J39" s="95" t="str">
        <f ca="1">SUBSTITUTE(LOWER(_xlfn.XLOOKUP($A39,Строчный!$A:$A,Строчный!J:J,"ERR",0)),"подклад","Подклад")</f>
        <v>100% хлопок / Подклад: 55% хлопок - 45% полиэстер</v>
      </c>
      <c r="K39" s="95" t="str">
        <f ca="1">LOWER(_xlfn.XLOOKUP($A39,Строчный!$A:$A,Строчный!K:K,"ERR",0))</f>
        <v>хлопковые</v>
      </c>
      <c r="L39" s="95" t="str">
        <f ca="1">PROPER(_xlfn.XLOOKUP($A39,Строчный!$A:$A,Строчный!L:L,"ERR",0))</f>
        <v>Унисекс</v>
      </c>
      <c r="M39" s="95" t="str">
        <f ca="1">PROPER(_xlfn.XLOOKUP($A39,Строчный!$A:$A,Строчный!N:N,"ERR",0))</f>
        <v>Шри-Ланка</v>
      </c>
      <c r="N39" s="104">
        <f ca="1">VALUE(_xlfn.XLOOKUP($A39,Строчный!$A:$A,Строчный!O:O,"ERR",0))</f>
        <v>2128.328</v>
      </c>
      <c r="O39" s="103" t="str">
        <f ca="1">_xlfn.XLOOKUP($A39,Строчный!$A:$A,Строчный!M:M,"ERR",0)</f>
        <v>Friedrich W. Schneider GmbH &amp; Co. KG; Oskar-Schindler-Str. 11, D 50769 Köln, Germany</v>
      </c>
      <c r="P39" s="94">
        <f ca="1">_xlfn.XLOOKUP(MID(X39,11,2),Размеры!D:D,Размеры!A:A,"ERR",0)</f>
        <v>59</v>
      </c>
      <c r="Q39" s="94">
        <f ca="1">VALUE(_xlfn.XLOOKUP($A39,Строчный!$A:$A,Строчный!R:R,"ERR",0))</f>
        <v>8</v>
      </c>
      <c r="R39" s="14" t="s">
        <v>283</v>
      </c>
      <c r="S39" s="115" t="str">
        <f t="shared" ca="1" si="6"/>
        <v>Шляпа STETSON арт. 2541104 TRAVELLER WAXED COTTON (коричневый)</v>
      </c>
      <c r="T39" s="114" t="str">
        <f t="shared" ca="1" si="7"/>
        <v>Шляпа STETSON арт. 2541104 TRAVELLER WAXED COTTON (коричневый) {6}</v>
      </c>
      <c r="U39" s="18" t="str">
        <f t="shared" ca="1" si="8"/>
        <v>коричневый</v>
      </c>
      <c r="V39" s="18" t="str">
        <f t="shared" ca="1" si="9"/>
        <v>коричневый</v>
      </c>
      <c r="W39" s="132" t="str">
        <f t="shared" ca="1" si="10"/>
        <v>коричневый</v>
      </c>
      <c r="X39" s="87" t="str">
        <f ca="1"/>
        <v>02-361-14-59</v>
      </c>
      <c r="Y39" s="89" t="str">
        <f ca="1">VLOOKUP(C39,Группа!A:B,2,FALSE)</f>
        <v>Шляпа</v>
      </c>
      <c r="Z39" s="111" t="str">
        <f ca="1">IFERROR(VLOOKUP(P39,Размеры!A:C,3,FALSE),"")</f>
        <v>59 L</v>
      </c>
      <c r="AA39" s="111" t="str">
        <f ca="1">VLOOKUP(I39,ЦветПолный!A:B,2,FALSE)</f>
        <v>14</v>
      </c>
      <c r="AB39" s="111" t="str">
        <f ca="1">IFERROR(VLOOKUP(P39,Размеры!A:D,4,FALSE),"")</f>
        <v>59</v>
      </c>
      <c r="AC39" s="111">
        <f ca="1">IF(LEFT(IFERROR(VLOOKUP(LOOKUP(2,1/SEARCH(B39,Товары!A:A),Товары!A:A),Товары!A:B,2,0),""),6)=MID(X39,1,6),1,0)</f>
        <v>1</v>
      </c>
      <c r="AE39" s="111">
        <f ca="1">SUMIF(Группа!A:A,C39,Группа!C:C)</f>
        <v>1</v>
      </c>
      <c r="AF39" s="111">
        <f ca="1">SUMIF(Группа!B:B,Y39,Группа!C:C)</f>
        <v>1</v>
      </c>
      <c r="AG39" s="111">
        <f ca="1">SUMIF(Формы!A:A,D39,Формы!B:B)</f>
        <v>1</v>
      </c>
      <c r="AH39" s="111">
        <f ca="1">SUMIF(Материал!A:A,K39,Материал!B:B)</f>
        <v>1</v>
      </c>
      <c r="AI39" s="111">
        <f ca="1">SUMIF(Размеры!A:A,P39,Размеры!E:E)</f>
        <v>1</v>
      </c>
      <c r="AJ39" s="111">
        <f ca="1">SUMIF(Сезон!A:A,F39,Сезон!B:B)</f>
        <v>1</v>
      </c>
      <c r="AK39" s="111">
        <f ca="1">SUMIF(Состав!A:A,J39,Состав!B:B)</f>
        <v>0</v>
      </c>
      <c r="AL39" s="111">
        <f ca="1">SUMIF(ЦветПолный!A:A,I39,ЦветПолный!C:C)</f>
        <v>14</v>
      </c>
      <c r="AM39" s="111">
        <f ca="1">SUMIF(Цвет!A:A,W39,Цвет!B:B)</f>
        <v>1</v>
      </c>
      <c r="AN39" s="111">
        <f ca="1">SUMIF(Пол!B:B,L39,Пол!C:C)</f>
        <v>1</v>
      </c>
      <c r="AO39" s="111">
        <f ca="1">SUMIF(Марка!A:A,G39,Марка!B:B)</f>
        <v>1</v>
      </c>
      <c r="AP39" s="111">
        <f ca="1">SUMIF(Страна!A:A,M39,Страна!B:B)</f>
        <v>1</v>
      </c>
      <c r="AQ39" s="77" t="str">
        <f ca="1">IF(VLOOKUP(T39,Товары!A:B,2,FALSE)=A39,"Есть в 1С","ERR")</f>
        <v>Есть в 1С</v>
      </c>
      <c r="AR39" s="78" t="str">
        <f ca="1">IF(VLOOKUP(A39,Товары!B:B,1,FALSE)=A39,"Есть в 1С","ERR")</f>
        <v>Есть в 1С</v>
      </c>
      <c r="AS39" s="110" t="str">
        <f ca="1">VLOOKUP(T39,Товары!A:B,2,FALSE)</f>
        <v>02-361-14</v>
      </c>
      <c r="AT39" s="108" t="str">
        <f ca="1">VLOOKUP(T39,Товары!A:B,1,FALSE)</f>
        <v>Шляпа STETSON арт. 2541104 TRAVELLER WAXED COTTON (коричневый) {6}</v>
      </c>
    </row>
    <row r="40" spans="1:46" x14ac:dyDescent="0.25">
      <c r="A40" s="124" t="str">
        <f t="shared" ca="1" si="5"/>
        <v>02-361-14</v>
      </c>
      <c r="B40" s="121" t="str">
        <f ca="1">UPPER(_xlfn.XLOOKUP($A40,Строчный!$A:$A,Строчный!B:B,"ERR",0))</f>
        <v>2541104 TRAVELLER WAXED COTTON</v>
      </c>
      <c r="C40" s="95" t="str">
        <f ca="1">PROPER(_xlfn.XLOOKUP($A40,Строчный!$A:$A,Строчный!C:C,"ERR",0))</f>
        <v>Шляпы</v>
      </c>
      <c r="D40" s="95" t="str">
        <f ca="1">_xlfn.LET(_xlpm.DATA,(_xlfn.XLOOKUP($A40,Строчный!$A:$A,Строчный!D:D,"ERR",0)),UPPER(MID(_xlpm.DATA,1,1))&amp;LOWER(MID(_xlpm.DATA,2,LEN(_xlpm.DATA)-1)))</f>
        <v>Шляпа федора</v>
      </c>
      <c r="E40" s="95" t="str">
        <f ca="1">PROPER(_xlfn.XLOOKUP($A40,Строчный!$A:$A,Строчный!E:E,"ERR",0))</f>
        <v>Stetson</v>
      </c>
      <c r="F40" s="95" t="str">
        <f ca="1">LOWER(_xlfn.XLOOKUP($A40,Строчный!$A:$A,Строчный!F:F,"ERR",0))</f>
        <v>всесезон</v>
      </c>
      <c r="G40" s="95" t="str">
        <f ca="1">UPPER(_xlfn.XLOOKUP($A40,Строчный!$A:$A,Строчный!G:G,"ERR",0))</f>
        <v>STETSON</v>
      </c>
      <c r="H40" s="95" t="str">
        <f ca="1">LOWER(_xlfn.XLOOKUP($A40,Строчный!$A:$A,Строчный!H:H,"ERR",0))</f>
        <v>6</v>
      </c>
      <c r="I40" s="95" t="str">
        <f ca="1">LOWER(_xlfn.XLOOKUP($A40,Строчный!$A:$A,Строчный!I:I,"ERR",0))</f>
        <v>коричневый</v>
      </c>
      <c r="J40" s="95" t="str">
        <f ca="1">SUBSTITUTE(LOWER(_xlfn.XLOOKUP($A40,Строчный!$A:$A,Строчный!J:J,"ERR",0)),"подклад","Подклад")</f>
        <v>100% хлопок / Подклад: 55% хлопок - 45% полиэстер</v>
      </c>
      <c r="K40" s="95" t="str">
        <f ca="1">LOWER(_xlfn.XLOOKUP($A40,Строчный!$A:$A,Строчный!K:K,"ERR",0))</f>
        <v>хлопковые</v>
      </c>
      <c r="L40" s="95" t="str">
        <f ca="1">PROPER(_xlfn.XLOOKUP($A40,Строчный!$A:$A,Строчный!L:L,"ERR",0))</f>
        <v>Унисекс</v>
      </c>
      <c r="M40" s="95" t="str">
        <f ca="1">PROPER(_xlfn.XLOOKUP($A40,Строчный!$A:$A,Строчный!N:N,"ERR",0))</f>
        <v>Шри-Ланка</v>
      </c>
      <c r="N40" s="104">
        <f ca="1">VALUE(_xlfn.XLOOKUP($A40,Строчный!$A:$A,Строчный!O:O,"ERR",0))</f>
        <v>2128.328</v>
      </c>
      <c r="O40" s="103" t="str">
        <f ca="1">_xlfn.XLOOKUP($A40,Строчный!$A:$A,Строчный!M:M,"ERR",0)</f>
        <v>Friedrich W. Schneider GmbH &amp; Co. KG; Oskar-Schindler-Str. 11, D 50769 Köln, Germany</v>
      </c>
      <c r="P40" s="94">
        <f ca="1">_xlfn.XLOOKUP(MID(X40,11,2),Размеры!D:D,Размеры!A:A,"ERR",0)</f>
        <v>57</v>
      </c>
      <c r="Q40" s="94">
        <f ca="1">VALUE(_xlfn.XLOOKUP($A40,Строчный!$A:$A,Строчный!R:R,"ERR",0))</f>
        <v>8</v>
      </c>
      <c r="R40" s="14" t="s">
        <v>283</v>
      </c>
      <c r="S40" s="115" t="str">
        <f t="shared" ca="1" si="6"/>
        <v>Шляпа STETSON арт. 2541104 TRAVELLER WAXED COTTON (коричневый)</v>
      </c>
      <c r="T40" s="114" t="str">
        <f t="shared" ca="1" si="7"/>
        <v>Шляпа STETSON арт. 2541104 TRAVELLER WAXED COTTON (коричневый) {6}</v>
      </c>
      <c r="U40" s="18" t="str">
        <f t="shared" ca="1" si="8"/>
        <v>коричневый</v>
      </c>
      <c r="V40" s="18" t="str">
        <f t="shared" ca="1" si="9"/>
        <v>коричневый</v>
      </c>
      <c r="W40" s="132" t="str">
        <f t="shared" ca="1" si="10"/>
        <v>коричневый</v>
      </c>
      <c r="X40" s="87" t="str">
        <f ca="1"/>
        <v>02-361-14-57</v>
      </c>
      <c r="Y40" s="89" t="str">
        <f ca="1">VLOOKUP(C40,Группа!A:B,2,FALSE)</f>
        <v>Шляпа</v>
      </c>
      <c r="Z40" s="111" t="str">
        <f ca="1">IFERROR(VLOOKUP(P40,Размеры!A:C,3,FALSE),"")</f>
        <v>57 M</v>
      </c>
      <c r="AA40" s="111" t="str">
        <f ca="1">VLOOKUP(I40,ЦветПолный!A:B,2,FALSE)</f>
        <v>14</v>
      </c>
      <c r="AB40" s="111" t="str">
        <f ca="1">IFERROR(VLOOKUP(P40,Размеры!A:D,4,FALSE),"")</f>
        <v>57</v>
      </c>
      <c r="AC40" s="111">
        <f ca="1">IF(LEFT(IFERROR(VLOOKUP(LOOKUP(2,1/SEARCH(B40,Товары!A:A),Товары!A:A),Товары!A:B,2,0),""),6)=MID(X40,1,6),1,0)</f>
        <v>1</v>
      </c>
      <c r="AE40" s="111">
        <f ca="1">SUMIF(Группа!A:A,C40,Группа!C:C)</f>
        <v>1</v>
      </c>
      <c r="AF40" s="111">
        <f ca="1">SUMIF(Группа!B:B,Y40,Группа!C:C)</f>
        <v>1</v>
      </c>
      <c r="AG40" s="111">
        <f ca="1">SUMIF(Формы!A:A,D40,Формы!B:B)</f>
        <v>1</v>
      </c>
      <c r="AH40" s="111">
        <f ca="1">SUMIF(Материал!A:A,K40,Материал!B:B)</f>
        <v>1</v>
      </c>
      <c r="AI40" s="111">
        <f ca="1">SUMIF(Размеры!A:A,P40,Размеры!E:E)</f>
        <v>1</v>
      </c>
      <c r="AJ40" s="111">
        <f ca="1">SUMIF(Сезон!A:A,F40,Сезон!B:B)</f>
        <v>1</v>
      </c>
      <c r="AK40" s="111">
        <f ca="1">SUMIF(Состав!A:A,J40,Состав!B:B)</f>
        <v>0</v>
      </c>
      <c r="AL40" s="111">
        <f ca="1">SUMIF(ЦветПолный!A:A,I40,ЦветПолный!C:C)</f>
        <v>14</v>
      </c>
      <c r="AM40" s="111">
        <f ca="1">SUMIF(Цвет!A:A,W40,Цвет!B:B)</f>
        <v>1</v>
      </c>
      <c r="AN40" s="111">
        <f ca="1">SUMIF(Пол!B:B,L40,Пол!C:C)</f>
        <v>1</v>
      </c>
      <c r="AO40" s="111">
        <f ca="1">SUMIF(Марка!A:A,G40,Марка!B:B)</f>
        <v>1</v>
      </c>
      <c r="AP40" s="111">
        <f ca="1">SUMIF(Страна!A:A,M40,Страна!B:B)</f>
        <v>1</v>
      </c>
      <c r="AQ40" s="77" t="str">
        <f ca="1">IF(VLOOKUP(T40,Товары!A:B,2,FALSE)=A40,"Есть в 1С","ERR")</f>
        <v>Есть в 1С</v>
      </c>
      <c r="AR40" s="78" t="str">
        <f ca="1">IF(VLOOKUP(A40,Товары!B:B,1,FALSE)=A40,"Есть в 1С","ERR")</f>
        <v>Есть в 1С</v>
      </c>
      <c r="AS40" s="110" t="str">
        <f ca="1">VLOOKUP(T40,Товары!A:B,2,FALSE)</f>
        <v>02-361-14</v>
      </c>
      <c r="AT40" s="108" t="str">
        <f ca="1">VLOOKUP(T40,Товары!A:B,1,FALSE)</f>
        <v>Шляпа STETSON арт. 2541104 TRAVELLER WAXED COTTON (коричневый) {6}</v>
      </c>
    </row>
    <row r="41" spans="1:46" x14ac:dyDescent="0.25">
      <c r="A41" s="124" t="str">
        <f t="shared" ca="1" si="5"/>
        <v>02-233-91</v>
      </c>
      <c r="B41" s="121" t="str">
        <f ca="1">UPPER(_xlfn.XLOOKUP($A41,Строчный!$A:$A,Строчный!B:B,"ERR",0))</f>
        <v>1187101 PLAYER PIGSKIN</v>
      </c>
      <c r="C41" s="95" t="str">
        <f ca="1">PROPER(_xlfn.XLOOKUP($A41,Строчный!$A:$A,Строчный!C:C,"ERR",0))</f>
        <v>Шляпы</v>
      </c>
      <c r="D41" s="95" t="str">
        <f ca="1">_xlfn.LET(_xlpm.DATA,(_xlfn.XLOOKUP($A41,Строчный!$A:$A,Строчный!D:D,"ERR",0)),UPPER(MID(_xlpm.DATA,1,1))&amp;LOWER(MID(_xlpm.DATA,2,LEN(_xlpm.DATA)-1)))</f>
        <v>Шляпа хомбург</v>
      </c>
      <c r="E41" s="95" t="str">
        <f ca="1">PROPER(_xlfn.XLOOKUP($A41,Строчный!$A:$A,Строчный!E:E,"ERR",0))</f>
        <v>Stetson</v>
      </c>
      <c r="F41" s="95" t="str">
        <f ca="1">LOWER(_xlfn.XLOOKUP($A41,Строчный!$A:$A,Строчный!F:F,"ERR",0))</f>
        <v>всесезон</v>
      </c>
      <c r="G41" s="95" t="str">
        <f ca="1">UPPER(_xlfn.XLOOKUP($A41,Строчный!$A:$A,Строчный!G:G,"ERR",0))</f>
        <v>STETSON</v>
      </c>
      <c r="H41" s="95" t="str">
        <f ca="1">LOWER(_xlfn.XLOOKUP($A41,Строчный!$A:$A,Строчный!H:H,"ERR",0))</f>
        <v>63</v>
      </c>
      <c r="I41" s="95" t="str">
        <f ca="1">LOWER(_xlfn.XLOOKUP($A41,Строчный!$A:$A,Строчный!I:I,"ERR",0))</f>
        <v>темно-коричневый</v>
      </c>
      <c r="J41" s="95" t="str">
        <f ca="1">SUBSTITUTE(LOWER(_xlfn.XLOOKUP($A41,Строчный!$A:$A,Строчный!J:J,"ERR",0)),"подклад","Подклад")</f>
        <v>100% натуральная кожа / Подклад: 100% хлопок</v>
      </c>
      <c r="K41" s="95" t="str">
        <f ca="1">LOWER(_xlfn.XLOOKUP($A41,Строчный!$A:$A,Строчный!K:K,"ERR",0))</f>
        <v>кожаные</v>
      </c>
      <c r="L41" s="95" t="str">
        <f ca="1">PROPER(_xlfn.XLOOKUP($A41,Строчный!$A:$A,Строчный!L:L,"ERR",0))</f>
        <v>Унисекс</v>
      </c>
      <c r="M41" s="95" t="str">
        <f ca="1">PROPER(_xlfn.XLOOKUP($A41,Строчный!$A:$A,Строчный!N:N,"ERR",0))</f>
        <v>Китай</v>
      </c>
      <c r="N41" s="104">
        <f ca="1">VALUE(_xlfn.XLOOKUP($A41,Строчный!$A:$A,Строчный!O:O,"ERR",0))</f>
        <v>4509.8399999999992</v>
      </c>
      <c r="O41" s="103" t="str">
        <f ca="1">_xlfn.XLOOKUP($A41,Строчный!$A:$A,Строчный!M:M,"ERR",0)</f>
        <v>Friedrich W. Schneider GmbH &amp; Co. KG; Oskar-Schindler-Str. 11, D 50769 Köln, Germany</v>
      </c>
      <c r="P41" s="94">
        <f ca="1">_xlfn.XLOOKUP(MID(X41,11,2),Размеры!D:D,Размеры!A:A,"ERR",0)</f>
        <v>59</v>
      </c>
      <c r="Q41" s="94">
        <f ca="1">VALUE(_xlfn.XLOOKUP($A41,Строчный!$A:$A,Строчный!R:R,"ERR",0))</f>
        <v>8</v>
      </c>
      <c r="R41" s="14" t="s">
        <v>283</v>
      </c>
      <c r="S41" s="115" t="str">
        <f t="shared" ca="1" si="6"/>
        <v>Шляпа STETSON арт. 1187101 PLAYER PIGSKIN (темно-коричневый)</v>
      </c>
      <c r="T41" s="114" t="str">
        <f t="shared" ca="1" si="7"/>
        <v>Шляпа STETSON арт. 1187101 PLAYER PIGSKIN (темно-коричневый) {63}</v>
      </c>
      <c r="U41" s="18" t="str">
        <f t="shared" ca="1" si="8"/>
        <v>коричневый</v>
      </c>
      <c r="V41" s="18" t="str">
        <f t="shared" ca="1" si="9"/>
        <v>коричневый</v>
      </c>
      <c r="W41" s="132" t="str">
        <f t="shared" ca="1" si="10"/>
        <v>коричневый</v>
      </c>
      <c r="X41" s="87" t="str">
        <f ca="1"/>
        <v>02-233-91-59</v>
      </c>
      <c r="Y41" s="89" t="str">
        <f ca="1">VLOOKUP(C41,Группа!A:B,2,FALSE)</f>
        <v>Шляпа</v>
      </c>
      <c r="Z41" s="111" t="str">
        <f ca="1">IFERROR(VLOOKUP(P41,Размеры!A:C,3,FALSE),"")</f>
        <v>59 L</v>
      </c>
      <c r="AA41" s="111" t="str">
        <f ca="1">VLOOKUP(I41,ЦветПолный!A:B,2,FALSE)</f>
        <v>91</v>
      </c>
      <c r="AB41" s="111" t="str">
        <f ca="1">IFERROR(VLOOKUP(P41,Размеры!A:D,4,FALSE),"")</f>
        <v>59</v>
      </c>
      <c r="AC41" s="111">
        <f ca="1">IF(LEFT(IFERROR(VLOOKUP(LOOKUP(2,1/SEARCH(B41,Товары!A:A),Товары!A:A),Товары!A:B,2,0),""),6)=MID(X41,1,6),1,0)</f>
        <v>1</v>
      </c>
      <c r="AE41" s="111">
        <f ca="1">SUMIF(Группа!A:A,C41,Группа!C:C)</f>
        <v>1</v>
      </c>
      <c r="AF41" s="111">
        <f ca="1">SUMIF(Группа!B:B,Y41,Группа!C:C)</f>
        <v>1</v>
      </c>
      <c r="AG41" s="111">
        <f ca="1">SUMIF(Формы!A:A,D41,Формы!B:B)</f>
        <v>1</v>
      </c>
      <c r="AH41" s="111">
        <f ca="1">SUMIF(Материал!A:A,K41,Материал!B:B)</f>
        <v>1</v>
      </c>
      <c r="AI41" s="111">
        <f ca="1">SUMIF(Размеры!A:A,P41,Размеры!E:E)</f>
        <v>1</v>
      </c>
      <c r="AJ41" s="111">
        <f ca="1">SUMIF(Сезон!A:A,F41,Сезон!B:B)</f>
        <v>1</v>
      </c>
      <c r="AK41" s="111">
        <f ca="1">SUMIF(Состав!A:A,J41,Состав!B:B)</f>
        <v>0</v>
      </c>
      <c r="AL41" s="111">
        <f ca="1">SUMIF(ЦветПолный!A:A,I41,ЦветПолный!C:C)</f>
        <v>7</v>
      </c>
      <c r="AM41" s="111">
        <f ca="1">SUMIF(Цвет!A:A,W41,Цвет!B:B)</f>
        <v>1</v>
      </c>
      <c r="AN41" s="111">
        <f ca="1">SUMIF(Пол!B:B,L41,Пол!C:C)</f>
        <v>1</v>
      </c>
      <c r="AO41" s="111">
        <f ca="1">SUMIF(Марка!A:A,G41,Марка!B:B)</f>
        <v>1</v>
      </c>
      <c r="AP41" s="111">
        <f ca="1">SUMIF(Страна!A:A,M41,Страна!B:B)</f>
        <v>1</v>
      </c>
      <c r="AQ41" s="77" t="str">
        <f ca="1">IF(VLOOKUP(T41,Товары!A:B,2,FALSE)=A41,"Есть в 1С","ERR")</f>
        <v>Есть в 1С</v>
      </c>
      <c r="AR41" s="78" t="str">
        <f ca="1">IF(VLOOKUP(A41,Товары!B:B,1,FALSE)=A41,"Есть в 1С","ERR")</f>
        <v>Есть в 1С</v>
      </c>
      <c r="AS41" s="110" t="str">
        <f ca="1">VLOOKUP(T41,Товары!A:B,2,FALSE)</f>
        <v>02-233-91</v>
      </c>
      <c r="AT41" s="108" t="str">
        <f ca="1">VLOOKUP(T41,Товары!A:B,1,FALSE)</f>
        <v>Шляпа STETSON арт. 1187101 PLAYER PIGSKIN (темно-коричневый) {63}</v>
      </c>
    </row>
    <row r="42" spans="1:46" x14ac:dyDescent="0.25">
      <c r="A42" s="124" t="str">
        <f t="shared" ca="1" si="5"/>
        <v>02-233-91</v>
      </c>
      <c r="B42" s="121" t="str">
        <f ca="1">UPPER(_xlfn.XLOOKUP($A42,Строчный!$A:$A,Строчный!B:B,"ERR",0))</f>
        <v>1187101 PLAYER PIGSKIN</v>
      </c>
      <c r="C42" s="95" t="str">
        <f ca="1">PROPER(_xlfn.XLOOKUP($A42,Строчный!$A:$A,Строчный!C:C,"ERR",0))</f>
        <v>Шляпы</v>
      </c>
      <c r="D42" s="95" t="str">
        <f ca="1">_xlfn.LET(_xlpm.DATA,(_xlfn.XLOOKUP($A42,Строчный!$A:$A,Строчный!D:D,"ERR",0)),UPPER(MID(_xlpm.DATA,1,1))&amp;LOWER(MID(_xlpm.DATA,2,LEN(_xlpm.DATA)-1)))</f>
        <v>Шляпа хомбург</v>
      </c>
      <c r="E42" s="95" t="str">
        <f ca="1">PROPER(_xlfn.XLOOKUP($A42,Строчный!$A:$A,Строчный!E:E,"ERR",0))</f>
        <v>Stetson</v>
      </c>
      <c r="F42" s="95" t="str">
        <f ca="1">LOWER(_xlfn.XLOOKUP($A42,Строчный!$A:$A,Строчный!F:F,"ERR",0))</f>
        <v>всесезон</v>
      </c>
      <c r="G42" s="95" t="str">
        <f ca="1">UPPER(_xlfn.XLOOKUP($A42,Строчный!$A:$A,Строчный!G:G,"ERR",0))</f>
        <v>STETSON</v>
      </c>
      <c r="H42" s="95" t="str">
        <f ca="1">LOWER(_xlfn.XLOOKUP($A42,Строчный!$A:$A,Строчный!H:H,"ERR",0))</f>
        <v>63</v>
      </c>
      <c r="I42" s="95" t="str">
        <f ca="1">LOWER(_xlfn.XLOOKUP($A42,Строчный!$A:$A,Строчный!I:I,"ERR",0))</f>
        <v>темно-коричневый</v>
      </c>
      <c r="J42" s="95" t="str">
        <f ca="1">SUBSTITUTE(LOWER(_xlfn.XLOOKUP($A42,Строчный!$A:$A,Строчный!J:J,"ERR",0)),"подклад","Подклад")</f>
        <v>100% натуральная кожа / Подклад: 100% хлопок</v>
      </c>
      <c r="K42" s="95" t="str">
        <f ca="1">LOWER(_xlfn.XLOOKUP($A42,Строчный!$A:$A,Строчный!K:K,"ERR",0))</f>
        <v>кожаные</v>
      </c>
      <c r="L42" s="95" t="str">
        <f ca="1">PROPER(_xlfn.XLOOKUP($A42,Строчный!$A:$A,Строчный!L:L,"ERR",0))</f>
        <v>Унисекс</v>
      </c>
      <c r="M42" s="95" t="str">
        <f ca="1">PROPER(_xlfn.XLOOKUP($A42,Строчный!$A:$A,Строчный!N:N,"ERR",0))</f>
        <v>Китай</v>
      </c>
      <c r="N42" s="104">
        <f ca="1">VALUE(_xlfn.XLOOKUP($A42,Строчный!$A:$A,Строчный!O:O,"ERR",0))</f>
        <v>4509.8399999999992</v>
      </c>
      <c r="O42" s="103" t="str">
        <f ca="1">_xlfn.XLOOKUP($A42,Строчный!$A:$A,Строчный!M:M,"ERR",0)</f>
        <v>Friedrich W. Schneider GmbH &amp; Co. KG; Oskar-Schindler-Str. 11, D 50769 Köln, Germany</v>
      </c>
      <c r="P42" s="94">
        <f ca="1">_xlfn.XLOOKUP(MID(X42,11,2),Размеры!D:D,Размеры!A:A,"ERR",0)</f>
        <v>57</v>
      </c>
      <c r="Q42" s="94">
        <f ca="1">VALUE(_xlfn.XLOOKUP($A42,Строчный!$A:$A,Строчный!R:R,"ERR",0))</f>
        <v>8</v>
      </c>
      <c r="R42" s="14" t="s">
        <v>283</v>
      </c>
      <c r="S42" s="115" t="str">
        <f t="shared" ca="1" si="6"/>
        <v>Шляпа STETSON арт. 1187101 PLAYER PIGSKIN (темно-коричневый)</v>
      </c>
      <c r="T42" s="114" t="str">
        <f t="shared" ca="1" si="7"/>
        <v>Шляпа STETSON арт. 1187101 PLAYER PIGSKIN (темно-коричневый) {63}</v>
      </c>
      <c r="U42" s="18" t="str">
        <f t="shared" ca="1" si="8"/>
        <v>коричневый</v>
      </c>
      <c r="V42" s="18" t="str">
        <f t="shared" ca="1" si="9"/>
        <v>коричневый</v>
      </c>
      <c r="W42" s="132" t="str">
        <f t="shared" ca="1" si="10"/>
        <v>коричневый</v>
      </c>
      <c r="X42" s="87" t="str">
        <f ca="1"/>
        <v>02-233-91-57</v>
      </c>
      <c r="Y42" s="89" t="str">
        <f ca="1">VLOOKUP(C42,Группа!A:B,2,FALSE)</f>
        <v>Шляпа</v>
      </c>
      <c r="Z42" s="111" t="str">
        <f ca="1">IFERROR(VLOOKUP(P42,Размеры!A:C,3,FALSE),"")</f>
        <v>57 M</v>
      </c>
      <c r="AA42" s="111" t="str">
        <f ca="1">VLOOKUP(I42,ЦветПолный!A:B,2,FALSE)</f>
        <v>91</v>
      </c>
      <c r="AB42" s="111" t="str">
        <f ca="1">IFERROR(VLOOKUP(P42,Размеры!A:D,4,FALSE),"")</f>
        <v>57</v>
      </c>
      <c r="AC42" s="111">
        <f ca="1">IF(LEFT(IFERROR(VLOOKUP(LOOKUP(2,1/SEARCH(B42,Товары!A:A),Товары!A:A),Товары!A:B,2,0),""),6)=MID(X42,1,6),1,0)</f>
        <v>1</v>
      </c>
      <c r="AE42" s="111">
        <f ca="1">SUMIF(Группа!A:A,C42,Группа!C:C)</f>
        <v>1</v>
      </c>
      <c r="AF42" s="111">
        <f ca="1">SUMIF(Группа!B:B,Y42,Группа!C:C)</f>
        <v>1</v>
      </c>
      <c r="AG42" s="111">
        <f ca="1">SUMIF(Формы!A:A,D42,Формы!B:B)</f>
        <v>1</v>
      </c>
      <c r="AH42" s="111">
        <f ca="1">SUMIF(Материал!A:A,K42,Материал!B:B)</f>
        <v>1</v>
      </c>
      <c r="AI42" s="111">
        <f ca="1">SUMIF(Размеры!A:A,P42,Размеры!E:E)</f>
        <v>1</v>
      </c>
      <c r="AJ42" s="111">
        <f ca="1">SUMIF(Сезон!A:A,F42,Сезон!B:B)</f>
        <v>1</v>
      </c>
      <c r="AK42" s="111">
        <f ca="1">SUMIF(Состав!A:A,J42,Состав!B:B)</f>
        <v>0</v>
      </c>
      <c r="AL42" s="111">
        <f ca="1">SUMIF(ЦветПолный!A:A,I42,ЦветПолный!C:C)</f>
        <v>7</v>
      </c>
      <c r="AM42" s="111">
        <f ca="1">SUMIF(Цвет!A:A,W42,Цвет!B:B)</f>
        <v>1</v>
      </c>
      <c r="AN42" s="111">
        <f ca="1">SUMIF(Пол!B:B,L42,Пол!C:C)</f>
        <v>1</v>
      </c>
      <c r="AO42" s="111">
        <f ca="1">SUMIF(Марка!A:A,G42,Марка!B:B)</f>
        <v>1</v>
      </c>
      <c r="AP42" s="111">
        <f ca="1">SUMIF(Страна!A:A,M42,Страна!B:B)</f>
        <v>1</v>
      </c>
      <c r="AQ42" s="77" t="str">
        <f ca="1">IF(VLOOKUP(T42,Товары!A:B,2,FALSE)=A42,"Есть в 1С","ERR")</f>
        <v>Есть в 1С</v>
      </c>
      <c r="AR42" s="78" t="str">
        <f ca="1">IF(VLOOKUP(A42,Товары!B:B,1,FALSE)=A42,"Есть в 1С","ERR")</f>
        <v>Есть в 1С</v>
      </c>
      <c r="AS42" s="110" t="str">
        <f ca="1">VLOOKUP(T42,Товары!A:B,2,FALSE)</f>
        <v>02-233-91</v>
      </c>
      <c r="AT42" s="108" t="str">
        <f ca="1">VLOOKUP(T42,Товары!A:B,1,FALSE)</f>
        <v>Шляпа STETSON арт. 1187101 PLAYER PIGSKIN (темно-коричневый) {63}</v>
      </c>
    </row>
    <row r="43" spans="1:46" x14ac:dyDescent="0.25">
      <c r="A43" s="124" t="str">
        <f t="shared" ca="1" si="5"/>
        <v>02-213-14</v>
      </c>
      <c r="B43" s="121" t="str">
        <f ca="1">UPPER(_xlfn.XLOOKUP($A43,Строчный!$A:$A,Строчный!B:B,"ERR",0))</f>
        <v>7491101 ARMY CAP COTTON</v>
      </c>
      <c r="C43" s="95" t="str">
        <f ca="1">PROPER(_xlfn.XLOOKUP($A43,Строчный!$A:$A,Строчный!C:C,"ERR",0))</f>
        <v>Кепки</v>
      </c>
      <c r="D43" s="95" t="str">
        <f ca="1">_xlfn.LET(_xlpm.DATA,(_xlfn.XLOOKUP($A43,Строчный!$A:$A,Строчный!D:D,"ERR",0)),UPPER(MID(_xlpm.DATA,1,1))&amp;LOWER(MID(_xlpm.DATA,2,LEN(_xlpm.DATA)-1)))</f>
        <v>Кепка кадетка</v>
      </c>
      <c r="E43" s="95" t="str">
        <f ca="1">PROPER(_xlfn.XLOOKUP($A43,Строчный!$A:$A,Строчный!E:E,"ERR",0))</f>
        <v>Stetson</v>
      </c>
      <c r="F43" s="95" t="str">
        <f ca="1">LOWER(_xlfn.XLOOKUP($A43,Строчный!$A:$A,Строчный!F:F,"ERR",0))</f>
        <v>всесезон</v>
      </c>
      <c r="G43" s="95" t="str">
        <f ca="1">UPPER(_xlfn.XLOOKUP($A43,Строчный!$A:$A,Строчный!G:G,"ERR",0))</f>
        <v>STETSON</v>
      </c>
      <c r="H43" s="95" t="str">
        <f ca="1">LOWER(_xlfn.XLOOKUP($A43,Строчный!$A:$A,Строчный!H:H,"ERR",0))</f>
        <v>6</v>
      </c>
      <c r="I43" s="95" t="str">
        <f ca="1">LOWER(_xlfn.XLOOKUP($A43,Строчный!$A:$A,Строчный!I:I,"ERR",0))</f>
        <v>коричневый</v>
      </c>
      <c r="J43" s="95" t="str">
        <f ca="1">SUBSTITUTE(LOWER(_xlfn.XLOOKUP($A43,Строчный!$A:$A,Строчный!J:J,"ERR",0)),"подклад","Подклад")</f>
        <v>100% хлопок / Подклад: 100% хлопок</v>
      </c>
      <c r="K43" s="95" t="str">
        <f ca="1">LOWER(_xlfn.XLOOKUP($A43,Строчный!$A:$A,Строчный!K:K,"ERR",0))</f>
        <v>хлопковые</v>
      </c>
      <c r="L43" s="95" t="str">
        <f ca="1">PROPER(_xlfn.XLOOKUP($A43,Строчный!$A:$A,Строчный!L:L,"ERR",0))</f>
        <v>Унисекс</v>
      </c>
      <c r="M43" s="95" t="str">
        <f ca="1">PROPER(_xlfn.XLOOKUP($A43,Строчный!$A:$A,Строчный!N:N,"ERR",0))</f>
        <v>Шри-Ланка</v>
      </c>
      <c r="N43" s="104">
        <f ca="1">VALUE(_xlfn.XLOOKUP($A43,Строчный!$A:$A,Строчный!O:O,"ERR",0))</f>
        <v>1178.8879999999997</v>
      </c>
      <c r="O43" s="103" t="str">
        <f ca="1">_xlfn.XLOOKUP($A43,Строчный!$A:$A,Строчный!M:M,"ERR",0)</f>
        <v>Friedrich W. Schneider GmbH &amp; Co. KG; Oskar-Schindler-Str. 11, D 50769 Köln, Germany</v>
      </c>
      <c r="P43" s="94">
        <f ca="1">_xlfn.XLOOKUP(MID(X43,11,2),Размеры!D:D,Размеры!A:A,"ERR",0)</f>
        <v>59</v>
      </c>
      <c r="Q43" s="94">
        <f ca="1">VALUE(_xlfn.XLOOKUP($A43,Строчный!$A:$A,Строчный!R:R,"ERR",0))</f>
        <v>2</v>
      </c>
      <c r="R43" s="14" t="s">
        <v>283</v>
      </c>
      <c r="S43" s="115" t="str">
        <f t="shared" ca="1" si="6"/>
        <v>Кепка STETSON арт. 7491101 ARMY CAP COTTON (коричневый)</v>
      </c>
      <c r="T43" s="114" t="str">
        <f t="shared" ca="1" si="7"/>
        <v>Кепка STETSON арт. 7491101 ARMY CAP COTTON (коричневый) {6}</v>
      </c>
      <c r="U43" s="18" t="str">
        <f t="shared" ca="1" si="8"/>
        <v>коричневый</v>
      </c>
      <c r="V43" s="18" t="str">
        <f t="shared" ca="1" si="9"/>
        <v>коричневый</v>
      </c>
      <c r="W43" s="132" t="str">
        <f t="shared" ca="1" si="10"/>
        <v>коричневый</v>
      </c>
      <c r="X43" s="87" t="str">
        <f ca="1"/>
        <v>02-213-14-59</v>
      </c>
      <c r="Y43" s="89" t="str">
        <f ca="1">VLOOKUP(C43,Группа!A:B,2,FALSE)</f>
        <v>Кепка</v>
      </c>
      <c r="Z43" s="111" t="str">
        <f ca="1">IFERROR(VLOOKUP(P43,Размеры!A:C,3,FALSE),"")</f>
        <v>59 L</v>
      </c>
      <c r="AA43" s="111" t="str">
        <f ca="1">VLOOKUP(I43,ЦветПолный!A:B,2,FALSE)</f>
        <v>14</v>
      </c>
      <c r="AB43" s="111" t="str">
        <f ca="1">IFERROR(VLOOKUP(P43,Размеры!A:D,4,FALSE),"")</f>
        <v>59</v>
      </c>
      <c r="AC43" s="111">
        <f ca="1">IF(LEFT(IFERROR(VLOOKUP(LOOKUP(2,1/SEARCH(B43,Товары!A:A),Товары!A:A),Товары!A:B,2,0),""),6)=MID(X43,1,6),1,0)</f>
        <v>1</v>
      </c>
      <c r="AE43" s="111">
        <f ca="1">SUMIF(Группа!A:A,C43,Группа!C:C)</f>
        <v>1</v>
      </c>
      <c r="AF43" s="111">
        <f ca="1">SUMIF(Группа!B:B,Y43,Группа!C:C)</f>
        <v>1</v>
      </c>
      <c r="AG43" s="111">
        <f ca="1">SUMIF(Формы!A:A,D43,Формы!B:B)</f>
        <v>1</v>
      </c>
      <c r="AH43" s="111">
        <f ca="1">SUMIF(Материал!A:A,K43,Материал!B:B)</f>
        <v>1</v>
      </c>
      <c r="AI43" s="111">
        <f ca="1">SUMIF(Размеры!A:A,P43,Размеры!E:E)</f>
        <v>1</v>
      </c>
      <c r="AJ43" s="111">
        <f ca="1">SUMIF(Сезон!A:A,F43,Сезон!B:B)</f>
        <v>1</v>
      </c>
      <c r="AK43" s="111">
        <f ca="1">SUMIF(Состав!A:A,J43,Состав!B:B)</f>
        <v>0</v>
      </c>
      <c r="AL43" s="111">
        <f ca="1">SUMIF(ЦветПолный!A:A,I43,ЦветПолный!C:C)</f>
        <v>14</v>
      </c>
      <c r="AM43" s="111">
        <f ca="1">SUMIF(Цвет!A:A,W43,Цвет!B:B)</f>
        <v>1</v>
      </c>
      <c r="AN43" s="111">
        <f ca="1">SUMIF(Пол!B:B,L43,Пол!C:C)</f>
        <v>1</v>
      </c>
      <c r="AO43" s="111">
        <f ca="1">SUMIF(Марка!A:A,G43,Марка!B:B)</f>
        <v>1</v>
      </c>
      <c r="AP43" s="111">
        <f ca="1">SUMIF(Страна!A:A,M43,Страна!B:B)</f>
        <v>1</v>
      </c>
      <c r="AQ43" s="77" t="str">
        <f ca="1">IF(VLOOKUP(T43,Товары!A:B,2,FALSE)=A43,"Есть в 1С","ERR")</f>
        <v>Есть в 1С</v>
      </c>
      <c r="AR43" s="78" t="str">
        <f ca="1">IF(VLOOKUP(A43,Товары!B:B,1,FALSE)=A43,"Есть в 1С","ERR")</f>
        <v>Есть в 1С</v>
      </c>
      <c r="AS43" s="110" t="str">
        <f ca="1">VLOOKUP(T43,Товары!A:B,2,FALSE)</f>
        <v>02-213-14</v>
      </c>
      <c r="AT43" s="108" t="str">
        <f ca="1">VLOOKUP(T43,Товары!A:B,1,FALSE)</f>
        <v>Кепка STETSON арт. 7491101 ARMY CAP COTTON (коричневый) {6}</v>
      </c>
    </row>
    <row r="44" spans="1:46" x14ac:dyDescent="0.25">
      <c r="A44" s="124" t="str">
        <f t="shared" ca="1" si="5"/>
        <v>02-213-14</v>
      </c>
      <c r="B44" s="121" t="str">
        <f ca="1">UPPER(_xlfn.XLOOKUP($A44,Строчный!$A:$A,Строчный!B:B,"ERR",0))</f>
        <v>7491101 ARMY CAP COTTON</v>
      </c>
      <c r="C44" s="95" t="str">
        <f ca="1">PROPER(_xlfn.XLOOKUP($A44,Строчный!$A:$A,Строчный!C:C,"ERR",0))</f>
        <v>Кепки</v>
      </c>
      <c r="D44" s="95" t="str">
        <f ca="1">_xlfn.LET(_xlpm.DATA,(_xlfn.XLOOKUP($A44,Строчный!$A:$A,Строчный!D:D,"ERR",0)),UPPER(MID(_xlpm.DATA,1,1))&amp;LOWER(MID(_xlpm.DATA,2,LEN(_xlpm.DATA)-1)))</f>
        <v>Кепка кадетка</v>
      </c>
      <c r="E44" s="95" t="str">
        <f ca="1">PROPER(_xlfn.XLOOKUP($A44,Строчный!$A:$A,Строчный!E:E,"ERR",0))</f>
        <v>Stetson</v>
      </c>
      <c r="F44" s="95" t="str">
        <f ca="1">LOWER(_xlfn.XLOOKUP($A44,Строчный!$A:$A,Строчный!F:F,"ERR",0))</f>
        <v>всесезон</v>
      </c>
      <c r="G44" s="95" t="str">
        <f ca="1">UPPER(_xlfn.XLOOKUP($A44,Строчный!$A:$A,Строчный!G:G,"ERR",0))</f>
        <v>STETSON</v>
      </c>
      <c r="H44" s="95" t="str">
        <f ca="1">LOWER(_xlfn.XLOOKUP($A44,Строчный!$A:$A,Строчный!H:H,"ERR",0))</f>
        <v>6</v>
      </c>
      <c r="I44" s="95" t="str">
        <f ca="1">LOWER(_xlfn.XLOOKUP($A44,Строчный!$A:$A,Строчный!I:I,"ERR",0))</f>
        <v>коричневый</v>
      </c>
      <c r="J44" s="95" t="str">
        <f ca="1">SUBSTITUTE(LOWER(_xlfn.XLOOKUP($A44,Строчный!$A:$A,Строчный!J:J,"ERR",0)),"подклад","Подклад")</f>
        <v>100% хлопок / Подклад: 100% хлопок</v>
      </c>
      <c r="K44" s="95" t="str">
        <f ca="1">LOWER(_xlfn.XLOOKUP($A44,Строчный!$A:$A,Строчный!K:K,"ERR",0))</f>
        <v>хлопковые</v>
      </c>
      <c r="L44" s="95" t="str">
        <f ca="1">PROPER(_xlfn.XLOOKUP($A44,Строчный!$A:$A,Строчный!L:L,"ERR",0))</f>
        <v>Унисекс</v>
      </c>
      <c r="M44" s="95" t="str">
        <f ca="1">PROPER(_xlfn.XLOOKUP($A44,Строчный!$A:$A,Строчный!N:N,"ERR",0))</f>
        <v>Шри-Ланка</v>
      </c>
      <c r="N44" s="104">
        <f ca="1">VALUE(_xlfn.XLOOKUP($A44,Строчный!$A:$A,Строчный!O:O,"ERR",0))</f>
        <v>1178.8879999999997</v>
      </c>
      <c r="O44" s="103" t="str">
        <f ca="1">_xlfn.XLOOKUP($A44,Строчный!$A:$A,Строчный!M:M,"ERR",0)</f>
        <v>Friedrich W. Schneider GmbH &amp; Co. KG; Oskar-Schindler-Str. 11, D 50769 Köln, Germany</v>
      </c>
      <c r="P44" s="94">
        <f ca="1">_xlfn.XLOOKUP(MID(X44,11,2),Размеры!D:D,Размеры!A:A,"ERR",0)</f>
        <v>57</v>
      </c>
      <c r="Q44" s="94">
        <f ca="1">VALUE(_xlfn.XLOOKUP($A44,Строчный!$A:$A,Строчный!R:R,"ERR",0))</f>
        <v>2</v>
      </c>
      <c r="R44" s="14" t="s">
        <v>283</v>
      </c>
      <c r="S44" s="115" t="str">
        <f t="shared" ca="1" si="6"/>
        <v>Кепка STETSON арт. 7491101 ARMY CAP COTTON (коричневый)</v>
      </c>
      <c r="T44" s="114" t="str">
        <f t="shared" ca="1" si="7"/>
        <v>Кепка STETSON арт. 7491101 ARMY CAP COTTON (коричневый) {6}</v>
      </c>
      <c r="U44" s="18" t="str">
        <f t="shared" ca="1" si="8"/>
        <v>коричневый</v>
      </c>
      <c r="V44" s="18" t="str">
        <f t="shared" ca="1" si="9"/>
        <v>коричневый</v>
      </c>
      <c r="W44" s="132" t="str">
        <f t="shared" ca="1" si="10"/>
        <v>коричневый</v>
      </c>
      <c r="X44" s="87" t="str">
        <f ca="1"/>
        <v>02-213-14-57</v>
      </c>
      <c r="Y44" s="89" t="str">
        <f ca="1">VLOOKUP(C44,Группа!A:B,2,FALSE)</f>
        <v>Кепка</v>
      </c>
      <c r="Z44" s="111" t="str">
        <f ca="1">IFERROR(VLOOKUP(P44,Размеры!A:C,3,FALSE),"")</f>
        <v>57 M</v>
      </c>
      <c r="AA44" s="111" t="str">
        <f ca="1">VLOOKUP(I44,ЦветПолный!A:B,2,FALSE)</f>
        <v>14</v>
      </c>
      <c r="AB44" s="111" t="str">
        <f ca="1">IFERROR(VLOOKUP(P44,Размеры!A:D,4,FALSE),"")</f>
        <v>57</v>
      </c>
      <c r="AC44" s="111">
        <f ca="1">IF(LEFT(IFERROR(VLOOKUP(LOOKUP(2,1/SEARCH(B44,Товары!A:A),Товары!A:A),Товары!A:B,2,0),""),6)=MID(X44,1,6),1,0)</f>
        <v>1</v>
      </c>
      <c r="AE44" s="111">
        <f ca="1">SUMIF(Группа!A:A,C44,Группа!C:C)</f>
        <v>1</v>
      </c>
      <c r="AF44" s="111">
        <f ca="1">SUMIF(Группа!B:B,Y44,Группа!C:C)</f>
        <v>1</v>
      </c>
      <c r="AG44" s="111">
        <f ca="1">SUMIF(Формы!A:A,D44,Формы!B:B)</f>
        <v>1</v>
      </c>
      <c r="AH44" s="111">
        <f ca="1">SUMIF(Материал!A:A,K44,Материал!B:B)</f>
        <v>1</v>
      </c>
      <c r="AI44" s="111">
        <f ca="1">SUMIF(Размеры!A:A,P44,Размеры!E:E)</f>
        <v>1</v>
      </c>
      <c r="AJ44" s="111">
        <f ca="1">SUMIF(Сезон!A:A,F44,Сезон!B:B)</f>
        <v>1</v>
      </c>
      <c r="AK44" s="111">
        <f ca="1">SUMIF(Состав!A:A,J44,Состав!B:B)</f>
        <v>0</v>
      </c>
      <c r="AL44" s="111">
        <f ca="1">SUMIF(ЦветПолный!A:A,I44,ЦветПолный!C:C)</f>
        <v>14</v>
      </c>
      <c r="AM44" s="111">
        <f ca="1">SUMIF(Цвет!A:A,W44,Цвет!B:B)</f>
        <v>1</v>
      </c>
      <c r="AN44" s="111">
        <f ca="1">SUMIF(Пол!B:B,L44,Пол!C:C)</f>
        <v>1</v>
      </c>
      <c r="AO44" s="111">
        <f ca="1">SUMIF(Марка!A:A,G44,Марка!B:B)</f>
        <v>1</v>
      </c>
      <c r="AP44" s="111">
        <f ca="1">SUMIF(Страна!A:A,M44,Страна!B:B)</f>
        <v>1</v>
      </c>
      <c r="AQ44" s="77" t="str">
        <f ca="1">IF(VLOOKUP(T44,Товары!A:B,2,FALSE)=A44,"Есть в 1С","ERR")</f>
        <v>Есть в 1С</v>
      </c>
      <c r="AR44" s="78" t="str">
        <f ca="1">IF(VLOOKUP(A44,Товары!B:B,1,FALSE)=A44,"Есть в 1С","ERR")</f>
        <v>Есть в 1С</v>
      </c>
      <c r="AS44" s="110" t="str">
        <f ca="1">VLOOKUP(T44,Товары!A:B,2,FALSE)</f>
        <v>02-213-14</v>
      </c>
      <c r="AT44" s="108" t="str">
        <f ca="1">VLOOKUP(T44,Товары!A:B,1,FALSE)</f>
        <v>Кепка STETSON арт. 7491101 ARMY CAP COTTON (коричневый) {6}</v>
      </c>
    </row>
    <row r="45" spans="1:46" x14ac:dyDescent="0.25">
      <c r="A45" s="124" t="str">
        <f t="shared" ca="1" si="5"/>
        <v>02-201-16</v>
      </c>
      <c r="B45" s="121" t="str">
        <f ca="1">UPPER(_xlfn.XLOOKUP($A45,Строчный!$A:$A,Строчный!B:B,"ERR",0))</f>
        <v>6611105 TEXAS COTTON</v>
      </c>
      <c r="C45" s="95" t="str">
        <f ca="1">PROPER(_xlfn.XLOOKUP($A45,Строчный!$A:$A,Строчный!C:C,"ERR",0))</f>
        <v>Кепки</v>
      </c>
      <c r="D45" s="95" t="str">
        <f ca="1">_xlfn.LET(_xlpm.DATA,(_xlfn.XLOOKUP($A45,Строчный!$A:$A,Строчный!D:D,"ERR",0)),UPPER(MID(_xlpm.DATA,1,1))&amp;LOWER(MID(_xlpm.DATA,2,LEN(_xlpm.DATA)-1)))</f>
        <v>Кепка уточка</v>
      </c>
      <c r="E45" s="95" t="str">
        <f ca="1">PROPER(_xlfn.XLOOKUP($A45,Строчный!$A:$A,Строчный!E:E,"ERR",0))</f>
        <v>Stetson</v>
      </c>
      <c r="F45" s="95" t="str">
        <f ca="1">LOWER(_xlfn.XLOOKUP($A45,Строчный!$A:$A,Строчный!F:F,"ERR",0))</f>
        <v>всесезон</v>
      </c>
      <c r="G45" s="95" t="str">
        <f ca="1">UPPER(_xlfn.XLOOKUP($A45,Строчный!$A:$A,Строчный!G:G,"ERR",0))</f>
        <v>STETSON</v>
      </c>
      <c r="H45" s="95" t="str">
        <f ca="1">LOWER(_xlfn.XLOOKUP($A45,Строчный!$A:$A,Строчный!H:H,"ERR",0))</f>
        <v>2</v>
      </c>
      <c r="I45" s="95" t="str">
        <f ca="1">LOWER(_xlfn.XLOOKUP($A45,Строчный!$A:$A,Строчный!I:I,"ERR",0))</f>
        <v>темно-синий</v>
      </c>
      <c r="J45" s="95" t="str">
        <f ca="1">SUBSTITUTE(LOWER(_xlfn.XLOOKUP($A45,Строчный!$A:$A,Строчный!J:J,"ERR",0)),"подклад","Подклад")</f>
        <v>100% хлопок / Подклад: 100% хлопок</v>
      </c>
      <c r="K45" s="95" t="str">
        <f ca="1">LOWER(_xlfn.XLOOKUP($A45,Строчный!$A:$A,Строчный!K:K,"ERR",0))</f>
        <v>хлопковые</v>
      </c>
      <c r="L45" s="95" t="str">
        <f ca="1">PROPER(_xlfn.XLOOKUP($A45,Строчный!$A:$A,Строчный!L:L,"ERR",0))</f>
        <v>Унисекс</v>
      </c>
      <c r="M45" s="95" t="str">
        <f ca="1">PROPER(_xlfn.XLOOKUP($A45,Строчный!$A:$A,Строчный!N:N,"ERR",0))</f>
        <v>Китай</v>
      </c>
      <c r="N45" s="104">
        <f ca="1">VALUE(_xlfn.XLOOKUP($A45,Строчный!$A:$A,Строчный!O:O,"ERR",0))</f>
        <v>1020.6479999999999</v>
      </c>
      <c r="O45" s="103" t="str">
        <f ca="1">_xlfn.XLOOKUP($A45,Строчный!$A:$A,Строчный!M:M,"ERR",0)</f>
        <v>Friedrich W. Schneider GmbH &amp; Co. KG; Oskar-Schindler-Str. 11, D 50769 Köln, Germany</v>
      </c>
      <c r="P45" s="94">
        <f ca="1">_xlfn.XLOOKUP(MID(X45,11,2),Размеры!D:D,Размеры!A:A,"ERR",0)</f>
        <v>59</v>
      </c>
      <c r="Q45" s="94">
        <f ca="1">VALUE(_xlfn.XLOOKUP($A45,Строчный!$A:$A,Строчный!R:R,"ERR",0))</f>
        <v>5</v>
      </c>
      <c r="R45" s="14" t="s">
        <v>283</v>
      </c>
      <c r="S45" s="115" t="str">
        <f t="shared" ca="1" si="6"/>
        <v>Кепка STETSON арт. 6611105 TEXAS COTTON (темно-синий)</v>
      </c>
      <c r="T45" s="114" t="str">
        <f t="shared" ca="1" si="7"/>
        <v>Кепка STETSON арт. 6611105 TEXAS COTTON (темно-синий) {2}</v>
      </c>
      <c r="U45" s="18" t="str">
        <f t="shared" ca="1" si="8"/>
        <v>синий</v>
      </c>
      <c r="V45" s="18" t="str">
        <f t="shared" ca="1" si="9"/>
        <v>синий</v>
      </c>
      <c r="W45" s="132" t="str">
        <f t="shared" ca="1" si="10"/>
        <v>синий</v>
      </c>
      <c r="X45" s="87" t="str">
        <f ca="1"/>
        <v>02-201-16-59</v>
      </c>
      <c r="Y45" s="89" t="str">
        <f ca="1">VLOOKUP(C45,Группа!A:B,2,FALSE)</f>
        <v>Кепка</v>
      </c>
      <c r="Z45" s="111" t="str">
        <f ca="1">IFERROR(VLOOKUP(P45,Размеры!A:C,3,FALSE),"")</f>
        <v>59 L</v>
      </c>
      <c r="AA45" s="111" t="str">
        <f ca="1">VLOOKUP(I45,ЦветПолный!A:B,2,FALSE)</f>
        <v>16</v>
      </c>
      <c r="AB45" s="111" t="str">
        <f ca="1">IFERROR(VLOOKUP(P45,Размеры!A:D,4,FALSE),"")</f>
        <v>59</v>
      </c>
      <c r="AC45" s="111">
        <f ca="1">IF(LEFT(IFERROR(VLOOKUP(LOOKUP(2,1/SEARCH(B45,Товары!A:A),Товары!A:A),Товары!A:B,2,0),""),6)=MID(X45,1,6),1,0)</f>
        <v>1</v>
      </c>
      <c r="AE45" s="111">
        <f ca="1">SUMIF(Группа!A:A,C45,Группа!C:C)</f>
        <v>1</v>
      </c>
      <c r="AF45" s="111">
        <f ca="1">SUMIF(Группа!B:B,Y45,Группа!C:C)</f>
        <v>1</v>
      </c>
      <c r="AG45" s="111">
        <f ca="1">SUMIF(Формы!A:A,D45,Формы!B:B)</f>
        <v>1</v>
      </c>
      <c r="AH45" s="111">
        <f ca="1">SUMIF(Материал!A:A,K45,Материал!B:B)</f>
        <v>1</v>
      </c>
      <c r="AI45" s="111">
        <f ca="1">SUMIF(Размеры!A:A,P45,Размеры!E:E)</f>
        <v>1</v>
      </c>
      <c r="AJ45" s="111">
        <f ca="1">SUMIF(Сезон!A:A,F45,Сезон!B:B)</f>
        <v>1</v>
      </c>
      <c r="AK45" s="111">
        <f ca="1">SUMIF(Состав!A:A,J45,Состав!B:B)</f>
        <v>0</v>
      </c>
      <c r="AL45" s="111">
        <f ca="1">SUMIF(ЦветПолный!A:A,I45,ЦветПолный!C:C)</f>
        <v>8</v>
      </c>
      <c r="AM45" s="111">
        <f ca="1">SUMIF(Цвет!A:A,W45,Цвет!B:B)</f>
        <v>1</v>
      </c>
      <c r="AN45" s="111">
        <f ca="1">SUMIF(Пол!B:B,L45,Пол!C:C)</f>
        <v>1</v>
      </c>
      <c r="AO45" s="111">
        <f ca="1">SUMIF(Марка!A:A,G45,Марка!B:B)</f>
        <v>1</v>
      </c>
      <c r="AP45" s="111">
        <f ca="1">SUMIF(Страна!A:A,M45,Страна!B:B)</f>
        <v>1</v>
      </c>
      <c r="AQ45" s="77" t="str">
        <f ca="1">IF(VLOOKUP(T45,Товары!A:B,2,FALSE)=A45,"Есть в 1С","ERR")</f>
        <v>Есть в 1С</v>
      </c>
      <c r="AR45" s="78" t="str">
        <f ca="1">IF(VLOOKUP(A45,Товары!B:B,1,FALSE)=A45,"Есть в 1С","ERR")</f>
        <v>Есть в 1С</v>
      </c>
      <c r="AS45" s="110" t="str">
        <f ca="1">VLOOKUP(T45,Товары!A:B,2,FALSE)</f>
        <v>02-201-16</v>
      </c>
      <c r="AT45" s="108" t="str">
        <f ca="1">VLOOKUP(T45,Товары!A:B,1,FALSE)</f>
        <v>Кепка STETSON арт. 6611105 TEXAS COTTON (темно-синий) {2}</v>
      </c>
    </row>
    <row r="46" spans="1:46" x14ac:dyDescent="0.25">
      <c r="A46" s="124" t="str">
        <f t="shared" ca="1" si="5"/>
        <v>02-201-16</v>
      </c>
      <c r="B46" s="121" t="str">
        <f ca="1">UPPER(_xlfn.XLOOKUP($A46,Строчный!$A:$A,Строчный!B:B,"ERR",0))</f>
        <v>6611105 TEXAS COTTON</v>
      </c>
      <c r="C46" s="95" t="str">
        <f ca="1">PROPER(_xlfn.XLOOKUP($A46,Строчный!$A:$A,Строчный!C:C,"ERR",0))</f>
        <v>Кепки</v>
      </c>
      <c r="D46" s="95" t="str">
        <f ca="1">_xlfn.LET(_xlpm.DATA,(_xlfn.XLOOKUP($A46,Строчный!$A:$A,Строчный!D:D,"ERR",0)),UPPER(MID(_xlpm.DATA,1,1))&amp;LOWER(MID(_xlpm.DATA,2,LEN(_xlpm.DATA)-1)))</f>
        <v>Кепка уточка</v>
      </c>
      <c r="E46" s="95" t="str">
        <f ca="1">PROPER(_xlfn.XLOOKUP($A46,Строчный!$A:$A,Строчный!E:E,"ERR",0))</f>
        <v>Stetson</v>
      </c>
      <c r="F46" s="95" t="str">
        <f ca="1">LOWER(_xlfn.XLOOKUP($A46,Строчный!$A:$A,Строчный!F:F,"ERR",0))</f>
        <v>всесезон</v>
      </c>
      <c r="G46" s="95" t="str">
        <f ca="1">UPPER(_xlfn.XLOOKUP($A46,Строчный!$A:$A,Строчный!G:G,"ERR",0))</f>
        <v>STETSON</v>
      </c>
      <c r="H46" s="95" t="str">
        <f ca="1">LOWER(_xlfn.XLOOKUP($A46,Строчный!$A:$A,Строчный!H:H,"ERR",0))</f>
        <v>2</v>
      </c>
      <c r="I46" s="95" t="str">
        <f ca="1">LOWER(_xlfn.XLOOKUP($A46,Строчный!$A:$A,Строчный!I:I,"ERR",0))</f>
        <v>темно-синий</v>
      </c>
      <c r="J46" s="95" t="str">
        <f ca="1">SUBSTITUTE(LOWER(_xlfn.XLOOKUP($A46,Строчный!$A:$A,Строчный!J:J,"ERR",0)),"подклад","Подклад")</f>
        <v>100% хлопок / Подклад: 100% хлопок</v>
      </c>
      <c r="K46" s="95" t="str">
        <f ca="1">LOWER(_xlfn.XLOOKUP($A46,Строчный!$A:$A,Строчный!K:K,"ERR",0))</f>
        <v>хлопковые</v>
      </c>
      <c r="L46" s="95" t="str">
        <f ca="1">PROPER(_xlfn.XLOOKUP($A46,Строчный!$A:$A,Строчный!L:L,"ERR",0))</f>
        <v>Унисекс</v>
      </c>
      <c r="M46" s="95" t="str">
        <f ca="1">PROPER(_xlfn.XLOOKUP($A46,Строчный!$A:$A,Строчный!N:N,"ERR",0))</f>
        <v>Китай</v>
      </c>
      <c r="N46" s="104">
        <f ca="1">VALUE(_xlfn.XLOOKUP($A46,Строчный!$A:$A,Строчный!O:O,"ERR",0))</f>
        <v>1020.6479999999999</v>
      </c>
      <c r="O46" s="103" t="str">
        <f ca="1">_xlfn.XLOOKUP($A46,Строчный!$A:$A,Строчный!M:M,"ERR",0)</f>
        <v>Friedrich W. Schneider GmbH &amp; Co. KG; Oskar-Schindler-Str. 11, D 50769 Köln, Germany</v>
      </c>
      <c r="P46" s="94">
        <f ca="1">_xlfn.XLOOKUP(MID(X46,11,2),Размеры!D:D,Размеры!A:A,"ERR",0)</f>
        <v>57</v>
      </c>
      <c r="Q46" s="94">
        <f ca="1">VALUE(_xlfn.XLOOKUP($A46,Строчный!$A:$A,Строчный!R:R,"ERR",0))</f>
        <v>5</v>
      </c>
      <c r="R46" s="14" t="s">
        <v>283</v>
      </c>
      <c r="S46" s="115" t="str">
        <f t="shared" ca="1" si="6"/>
        <v>Кепка STETSON арт. 6611105 TEXAS COTTON (темно-синий)</v>
      </c>
      <c r="T46" s="114" t="str">
        <f t="shared" ca="1" si="7"/>
        <v>Кепка STETSON арт. 6611105 TEXAS COTTON (темно-синий) {2}</v>
      </c>
      <c r="U46" s="18" t="str">
        <f t="shared" ca="1" si="8"/>
        <v>синий</v>
      </c>
      <c r="V46" s="18" t="str">
        <f t="shared" ca="1" si="9"/>
        <v>синий</v>
      </c>
      <c r="W46" s="132" t="str">
        <f t="shared" ca="1" si="10"/>
        <v>синий</v>
      </c>
      <c r="X46" s="87" t="str">
        <f ca="1"/>
        <v>02-201-16-57</v>
      </c>
      <c r="Y46" s="89" t="str">
        <f ca="1">VLOOKUP(C46,Группа!A:B,2,FALSE)</f>
        <v>Кепка</v>
      </c>
      <c r="Z46" s="111" t="str">
        <f ca="1">IFERROR(VLOOKUP(P46,Размеры!A:C,3,FALSE),"")</f>
        <v>57 M</v>
      </c>
      <c r="AA46" s="111" t="str">
        <f ca="1">VLOOKUP(I46,ЦветПолный!A:B,2,FALSE)</f>
        <v>16</v>
      </c>
      <c r="AB46" s="111" t="str">
        <f ca="1">IFERROR(VLOOKUP(P46,Размеры!A:D,4,FALSE),"")</f>
        <v>57</v>
      </c>
      <c r="AC46" s="111">
        <f ca="1">IF(LEFT(IFERROR(VLOOKUP(LOOKUP(2,1/SEARCH(B46,Товары!A:A),Товары!A:A),Товары!A:B,2,0),""),6)=MID(X46,1,6),1,0)</f>
        <v>1</v>
      </c>
      <c r="AE46" s="111">
        <f ca="1">SUMIF(Группа!A:A,C46,Группа!C:C)</f>
        <v>1</v>
      </c>
      <c r="AF46" s="111">
        <f ca="1">SUMIF(Группа!B:B,Y46,Группа!C:C)</f>
        <v>1</v>
      </c>
      <c r="AG46" s="111">
        <f ca="1">SUMIF(Формы!A:A,D46,Формы!B:B)</f>
        <v>1</v>
      </c>
      <c r="AH46" s="111">
        <f ca="1">SUMIF(Материал!A:A,K46,Материал!B:B)</f>
        <v>1</v>
      </c>
      <c r="AI46" s="111">
        <f ca="1">SUMIF(Размеры!A:A,P46,Размеры!E:E)</f>
        <v>1</v>
      </c>
      <c r="AJ46" s="111">
        <f ca="1">SUMIF(Сезон!A:A,F46,Сезон!B:B)</f>
        <v>1</v>
      </c>
      <c r="AK46" s="111">
        <f ca="1">SUMIF(Состав!A:A,J46,Состав!B:B)</f>
        <v>0</v>
      </c>
      <c r="AL46" s="111">
        <f ca="1">SUMIF(ЦветПолный!A:A,I46,ЦветПолный!C:C)</f>
        <v>8</v>
      </c>
      <c r="AM46" s="111">
        <f ca="1">SUMIF(Цвет!A:A,W46,Цвет!B:B)</f>
        <v>1</v>
      </c>
      <c r="AN46" s="111">
        <f ca="1">SUMIF(Пол!B:B,L46,Пол!C:C)</f>
        <v>1</v>
      </c>
      <c r="AO46" s="111">
        <f ca="1">SUMIF(Марка!A:A,G46,Марка!B:B)</f>
        <v>1</v>
      </c>
      <c r="AP46" s="111">
        <f ca="1">SUMIF(Страна!A:A,M46,Страна!B:B)</f>
        <v>1</v>
      </c>
      <c r="AQ46" s="77" t="str">
        <f ca="1">IF(VLOOKUP(T46,Товары!A:B,2,FALSE)=A46,"Есть в 1С","ERR")</f>
        <v>Есть в 1С</v>
      </c>
      <c r="AR46" s="78" t="str">
        <f ca="1">IF(VLOOKUP(A46,Товары!B:B,1,FALSE)=A46,"Есть в 1С","ERR")</f>
        <v>Есть в 1С</v>
      </c>
      <c r="AS46" s="110" t="str">
        <f ca="1">VLOOKUP(T46,Товары!A:B,2,FALSE)</f>
        <v>02-201-16</v>
      </c>
      <c r="AT46" s="108" t="str">
        <f ca="1">VLOOKUP(T46,Товары!A:B,1,FALSE)</f>
        <v>Кепка STETSON арт. 6611105 TEXAS COTTON (темно-синий) {2}</v>
      </c>
    </row>
    <row r="47" spans="1:46" x14ac:dyDescent="0.25">
      <c r="A47" s="124" t="str">
        <f t="shared" ca="1" si="5"/>
        <v>02-201-08</v>
      </c>
      <c r="B47" s="121" t="str">
        <f ca="1">UPPER(_xlfn.XLOOKUP($A47,Строчный!$A:$A,Строчный!B:B,"ERR",0))</f>
        <v>6611105 TEXAS COTTON</v>
      </c>
      <c r="C47" s="95" t="str">
        <f ca="1">PROPER(_xlfn.XLOOKUP($A47,Строчный!$A:$A,Строчный!C:C,"ERR",0))</f>
        <v>Кепки</v>
      </c>
      <c r="D47" s="95" t="str">
        <f ca="1">_xlfn.LET(_xlpm.DATA,(_xlfn.XLOOKUP($A47,Строчный!$A:$A,Строчный!D:D,"ERR",0)),UPPER(MID(_xlpm.DATA,1,1))&amp;LOWER(MID(_xlpm.DATA,2,LEN(_xlpm.DATA)-1)))</f>
        <v>Кепка уточка</v>
      </c>
      <c r="E47" s="95" t="str">
        <f ca="1">PROPER(_xlfn.XLOOKUP($A47,Строчный!$A:$A,Строчный!E:E,"ERR",0))</f>
        <v>Stetson</v>
      </c>
      <c r="F47" s="95" t="str">
        <f ca="1">LOWER(_xlfn.XLOOKUP($A47,Строчный!$A:$A,Строчный!F:F,"ERR",0))</f>
        <v>всесезон</v>
      </c>
      <c r="G47" s="95" t="str">
        <f ca="1">UPPER(_xlfn.XLOOKUP($A47,Строчный!$A:$A,Строчный!G:G,"ERR",0))</f>
        <v>STETSON</v>
      </c>
      <c r="H47" s="95" t="str">
        <f ca="1">LOWER(_xlfn.XLOOKUP($A47,Строчный!$A:$A,Строчный!H:H,"ERR",0))</f>
        <v>32</v>
      </c>
      <c r="I47" s="95" t="str">
        <f ca="1">LOWER(_xlfn.XLOOKUP($A47,Строчный!$A:$A,Строчный!I:I,"ERR",0))</f>
        <v>серый</v>
      </c>
      <c r="J47" s="95" t="str">
        <f ca="1">SUBSTITUTE(LOWER(_xlfn.XLOOKUP($A47,Строчный!$A:$A,Строчный!J:J,"ERR",0)),"подклад","Подклад")</f>
        <v>100% хлопок / Подклад: 100% хлопок</v>
      </c>
      <c r="K47" s="95" t="str">
        <f ca="1">LOWER(_xlfn.XLOOKUP($A47,Строчный!$A:$A,Строчный!K:K,"ERR",0))</f>
        <v>хлопковые</v>
      </c>
      <c r="L47" s="95" t="str">
        <f ca="1">PROPER(_xlfn.XLOOKUP($A47,Строчный!$A:$A,Строчный!L:L,"ERR",0))</f>
        <v>Унисекс</v>
      </c>
      <c r="M47" s="95" t="str">
        <f ca="1">PROPER(_xlfn.XLOOKUP($A47,Строчный!$A:$A,Строчный!N:N,"ERR",0))</f>
        <v>Китай</v>
      </c>
      <c r="N47" s="104">
        <f ca="1">VALUE(_xlfn.XLOOKUP($A47,Строчный!$A:$A,Строчный!O:O,"ERR",0))</f>
        <v>1020.6479999999999</v>
      </c>
      <c r="O47" s="103" t="str">
        <f ca="1">_xlfn.XLOOKUP($A47,Строчный!$A:$A,Строчный!M:M,"ERR",0)</f>
        <v>Friedrich W. Schneider GmbH &amp; Co. KG; Oskar-Schindler-Str. 11, D 50769 Köln, Germany</v>
      </c>
      <c r="P47" s="94">
        <f ca="1">_xlfn.XLOOKUP(MID(X47,11,2),Размеры!D:D,Размеры!A:A,"ERR",0)</f>
        <v>59</v>
      </c>
      <c r="Q47" s="94">
        <f ca="1">VALUE(_xlfn.XLOOKUP($A47,Строчный!$A:$A,Строчный!R:R,"ERR",0))</f>
        <v>4</v>
      </c>
      <c r="R47" s="14" t="s">
        <v>283</v>
      </c>
      <c r="S47" s="115" t="str">
        <f t="shared" ca="1" si="6"/>
        <v>Кепка STETSON арт. 6611105 TEXAS COTTON (серый)</v>
      </c>
      <c r="T47" s="114" t="str">
        <f t="shared" ca="1" si="7"/>
        <v>Кепка STETSON арт. 6611105 TEXAS COTTON (серый) {32}</v>
      </c>
      <c r="U47" s="18" t="str">
        <f t="shared" ca="1" si="8"/>
        <v>серый</v>
      </c>
      <c r="V47" s="18" t="str">
        <f t="shared" ca="1" si="9"/>
        <v>серый</v>
      </c>
      <c r="W47" s="132" t="str">
        <f t="shared" ca="1" si="10"/>
        <v>серый</v>
      </c>
      <c r="X47" s="87" t="str">
        <f ca="1"/>
        <v>02-201-08-59</v>
      </c>
      <c r="Y47" s="89" t="str">
        <f ca="1">VLOOKUP(C47,Группа!A:B,2,FALSE)</f>
        <v>Кепка</v>
      </c>
      <c r="Z47" s="111" t="str">
        <f ca="1">IFERROR(VLOOKUP(P47,Размеры!A:C,3,FALSE),"")</f>
        <v>59 L</v>
      </c>
      <c r="AA47" s="111" t="str">
        <f ca="1">VLOOKUP(I47,ЦветПолный!A:B,2,FALSE)</f>
        <v>08</v>
      </c>
      <c r="AB47" s="111" t="str">
        <f ca="1">IFERROR(VLOOKUP(P47,Размеры!A:D,4,FALSE),"")</f>
        <v>59</v>
      </c>
      <c r="AC47" s="111">
        <f ca="1">IF(LEFT(IFERROR(VLOOKUP(LOOKUP(2,1/SEARCH(B47,Товары!A:A),Товары!A:A),Товары!A:B,2,0),""),6)=MID(X47,1,6),1,0)</f>
        <v>1</v>
      </c>
      <c r="AE47" s="111">
        <f ca="1">SUMIF(Группа!A:A,C47,Группа!C:C)</f>
        <v>1</v>
      </c>
      <c r="AF47" s="111">
        <f ca="1">SUMIF(Группа!B:B,Y47,Группа!C:C)</f>
        <v>1</v>
      </c>
      <c r="AG47" s="111">
        <f ca="1">SUMIF(Формы!A:A,D47,Формы!B:B)</f>
        <v>1</v>
      </c>
      <c r="AH47" s="111">
        <f ca="1">SUMIF(Материал!A:A,K47,Материал!B:B)</f>
        <v>1</v>
      </c>
      <c r="AI47" s="111">
        <f ca="1">SUMIF(Размеры!A:A,P47,Размеры!E:E)</f>
        <v>1</v>
      </c>
      <c r="AJ47" s="111">
        <f ca="1">SUMIF(Сезон!A:A,F47,Сезон!B:B)</f>
        <v>1</v>
      </c>
      <c r="AK47" s="111">
        <f ca="1">SUMIF(Состав!A:A,J47,Состав!B:B)</f>
        <v>0</v>
      </c>
      <c r="AL47" s="111">
        <f ca="1">SUMIF(ЦветПолный!A:A,I47,ЦветПолный!C:C)</f>
        <v>11</v>
      </c>
      <c r="AM47" s="111">
        <f ca="1">SUMIF(Цвет!A:A,W47,Цвет!B:B)</f>
        <v>1</v>
      </c>
      <c r="AN47" s="111">
        <f ca="1">SUMIF(Пол!B:B,L47,Пол!C:C)</f>
        <v>1</v>
      </c>
      <c r="AO47" s="111">
        <f ca="1">SUMIF(Марка!A:A,G47,Марка!B:B)</f>
        <v>1</v>
      </c>
      <c r="AP47" s="111">
        <f ca="1">SUMIF(Страна!A:A,M47,Страна!B:B)</f>
        <v>1</v>
      </c>
      <c r="AQ47" s="77" t="str">
        <f ca="1">IF(VLOOKUP(T47,Товары!A:B,2,FALSE)=A47,"Есть в 1С","ERR")</f>
        <v>Есть в 1С</v>
      </c>
      <c r="AR47" s="78" t="str">
        <f ca="1">IF(VLOOKUP(A47,Товары!B:B,1,FALSE)=A47,"Есть в 1С","ERR")</f>
        <v>Есть в 1С</v>
      </c>
      <c r="AS47" s="110" t="str">
        <f ca="1">VLOOKUP(T47,Товары!A:B,2,FALSE)</f>
        <v>02-201-08</v>
      </c>
      <c r="AT47" s="108" t="str">
        <f ca="1">VLOOKUP(T47,Товары!A:B,1,FALSE)</f>
        <v>Кепка STETSON арт. 6611105 TEXAS COTTON (серый) {32}</v>
      </c>
    </row>
    <row r="48" spans="1:46" x14ac:dyDescent="0.25">
      <c r="A48" s="124" t="str">
        <f t="shared" ca="1" si="5"/>
        <v>02-201-08</v>
      </c>
      <c r="B48" s="121" t="str">
        <f ca="1">UPPER(_xlfn.XLOOKUP($A48,Строчный!$A:$A,Строчный!B:B,"ERR",0))</f>
        <v>6611105 TEXAS COTTON</v>
      </c>
      <c r="C48" s="95" t="str">
        <f ca="1">PROPER(_xlfn.XLOOKUP($A48,Строчный!$A:$A,Строчный!C:C,"ERR",0))</f>
        <v>Кепки</v>
      </c>
      <c r="D48" s="95" t="str">
        <f ca="1">_xlfn.LET(_xlpm.DATA,(_xlfn.XLOOKUP($A48,Строчный!$A:$A,Строчный!D:D,"ERR",0)),UPPER(MID(_xlpm.DATA,1,1))&amp;LOWER(MID(_xlpm.DATA,2,LEN(_xlpm.DATA)-1)))</f>
        <v>Кепка уточка</v>
      </c>
      <c r="E48" s="95" t="str">
        <f ca="1">PROPER(_xlfn.XLOOKUP($A48,Строчный!$A:$A,Строчный!E:E,"ERR",0))</f>
        <v>Stetson</v>
      </c>
      <c r="F48" s="95" t="str">
        <f ca="1">LOWER(_xlfn.XLOOKUP($A48,Строчный!$A:$A,Строчный!F:F,"ERR",0))</f>
        <v>всесезон</v>
      </c>
      <c r="G48" s="95" t="str">
        <f ca="1">UPPER(_xlfn.XLOOKUP($A48,Строчный!$A:$A,Строчный!G:G,"ERR",0))</f>
        <v>STETSON</v>
      </c>
      <c r="H48" s="95" t="str">
        <f ca="1">LOWER(_xlfn.XLOOKUP($A48,Строчный!$A:$A,Строчный!H:H,"ERR",0))</f>
        <v>32</v>
      </c>
      <c r="I48" s="95" t="str">
        <f ca="1">LOWER(_xlfn.XLOOKUP($A48,Строчный!$A:$A,Строчный!I:I,"ERR",0))</f>
        <v>серый</v>
      </c>
      <c r="J48" s="95" t="str">
        <f ca="1">SUBSTITUTE(LOWER(_xlfn.XLOOKUP($A48,Строчный!$A:$A,Строчный!J:J,"ERR",0)),"подклад","Подклад")</f>
        <v>100% хлопок / Подклад: 100% хлопок</v>
      </c>
      <c r="K48" s="95" t="str">
        <f ca="1">LOWER(_xlfn.XLOOKUP($A48,Строчный!$A:$A,Строчный!K:K,"ERR",0))</f>
        <v>хлопковые</v>
      </c>
      <c r="L48" s="95" t="str">
        <f ca="1">PROPER(_xlfn.XLOOKUP($A48,Строчный!$A:$A,Строчный!L:L,"ERR",0))</f>
        <v>Унисекс</v>
      </c>
      <c r="M48" s="95" t="str">
        <f ca="1">PROPER(_xlfn.XLOOKUP($A48,Строчный!$A:$A,Строчный!N:N,"ERR",0))</f>
        <v>Китай</v>
      </c>
      <c r="N48" s="104">
        <f ca="1">VALUE(_xlfn.XLOOKUP($A48,Строчный!$A:$A,Строчный!O:O,"ERR",0))</f>
        <v>1020.6479999999999</v>
      </c>
      <c r="O48" s="103" t="str">
        <f ca="1">_xlfn.XLOOKUP($A48,Строчный!$A:$A,Строчный!M:M,"ERR",0)</f>
        <v>Friedrich W. Schneider GmbH &amp; Co. KG; Oskar-Schindler-Str. 11, D 50769 Köln, Germany</v>
      </c>
      <c r="P48" s="94">
        <f ca="1">_xlfn.XLOOKUP(MID(X48,11,2),Размеры!D:D,Размеры!A:A,"ERR",0)</f>
        <v>57</v>
      </c>
      <c r="Q48" s="94">
        <f ca="1">VALUE(_xlfn.XLOOKUP($A48,Строчный!$A:$A,Строчный!R:R,"ERR",0))</f>
        <v>4</v>
      </c>
      <c r="R48" s="14" t="s">
        <v>283</v>
      </c>
      <c r="S48" s="115" t="str">
        <f t="shared" ca="1" si="6"/>
        <v>Кепка STETSON арт. 6611105 TEXAS COTTON (серый)</v>
      </c>
      <c r="T48" s="114" t="str">
        <f t="shared" ca="1" si="7"/>
        <v>Кепка STETSON арт. 6611105 TEXAS COTTON (серый) {32}</v>
      </c>
      <c r="U48" s="18" t="str">
        <f t="shared" ca="1" si="8"/>
        <v>серый</v>
      </c>
      <c r="V48" s="18" t="str">
        <f t="shared" ca="1" si="9"/>
        <v>серый</v>
      </c>
      <c r="W48" s="132" t="str">
        <f t="shared" ca="1" si="10"/>
        <v>серый</v>
      </c>
      <c r="X48" s="87" t="str">
        <f ca="1"/>
        <v>02-201-08-57</v>
      </c>
      <c r="Y48" s="89" t="str">
        <f ca="1">VLOOKUP(C48,Группа!A:B,2,FALSE)</f>
        <v>Кепка</v>
      </c>
      <c r="Z48" s="111" t="str">
        <f ca="1">IFERROR(VLOOKUP(P48,Размеры!A:C,3,FALSE),"")</f>
        <v>57 M</v>
      </c>
      <c r="AA48" s="111" t="str">
        <f ca="1">VLOOKUP(I48,ЦветПолный!A:B,2,FALSE)</f>
        <v>08</v>
      </c>
      <c r="AB48" s="111" t="str">
        <f ca="1">IFERROR(VLOOKUP(P48,Размеры!A:D,4,FALSE),"")</f>
        <v>57</v>
      </c>
      <c r="AC48" s="111">
        <f ca="1">IF(LEFT(IFERROR(VLOOKUP(LOOKUP(2,1/SEARCH(B48,Товары!A:A),Товары!A:A),Товары!A:B,2,0),""),6)=MID(X48,1,6),1,0)</f>
        <v>1</v>
      </c>
      <c r="AE48" s="111">
        <f ca="1">SUMIF(Группа!A:A,C48,Группа!C:C)</f>
        <v>1</v>
      </c>
      <c r="AF48" s="111">
        <f ca="1">SUMIF(Группа!B:B,Y48,Группа!C:C)</f>
        <v>1</v>
      </c>
      <c r="AG48" s="111">
        <f ca="1">SUMIF(Формы!A:A,D48,Формы!B:B)</f>
        <v>1</v>
      </c>
      <c r="AH48" s="111">
        <f ca="1">SUMIF(Материал!A:A,K48,Материал!B:B)</f>
        <v>1</v>
      </c>
      <c r="AI48" s="111">
        <f ca="1">SUMIF(Размеры!A:A,P48,Размеры!E:E)</f>
        <v>1</v>
      </c>
      <c r="AJ48" s="111">
        <f ca="1">SUMIF(Сезон!A:A,F48,Сезон!B:B)</f>
        <v>1</v>
      </c>
      <c r="AK48" s="111">
        <f ca="1">SUMIF(Состав!A:A,J48,Состав!B:B)</f>
        <v>0</v>
      </c>
      <c r="AL48" s="111">
        <f ca="1">SUMIF(ЦветПолный!A:A,I48,ЦветПолный!C:C)</f>
        <v>11</v>
      </c>
      <c r="AM48" s="111">
        <f ca="1">SUMIF(Цвет!A:A,W48,Цвет!B:B)</f>
        <v>1</v>
      </c>
      <c r="AN48" s="111">
        <f ca="1">SUMIF(Пол!B:B,L48,Пол!C:C)</f>
        <v>1</v>
      </c>
      <c r="AO48" s="111">
        <f ca="1">SUMIF(Марка!A:A,G48,Марка!B:B)</f>
        <v>1</v>
      </c>
      <c r="AP48" s="111">
        <f ca="1">SUMIF(Страна!A:A,M48,Страна!B:B)</f>
        <v>1</v>
      </c>
      <c r="AQ48" s="77" t="str">
        <f ca="1">IF(VLOOKUP(T48,Товары!A:B,2,FALSE)=A48,"Есть в 1С","ERR")</f>
        <v>Есть в 1С</v>
      </c>
      <c r="AR48" s="78" t="str">
        <f ca="1">IF(VLOOKUP(A48,Товары!B:B,1,FALSE)=A48,"Есть в 1С","ERR")</f>
        <v>Есть в 1С</v>
      </c>
      <c r="AS48" s="110" t="str">
        <f ca="1">VLOOKUP(T48,Товары!A:B,2,FALSE)</f>
        <v>02-201-08</v>
      </c>
      <c r="AT48" s="108" t="str">
        <f ca="1">VLOOKUP(T48,Товары!A:B,1,FALSE)</f>
        <v>Кепка STETSON арт. 6611105 TEXAS COTTON (серый) {32}</v>
      </c>
    </row>
    <row r="49" spans="1:46" x14ac:dyDescent="0.25">
      <c r="A49" s="124" t="str">
        <f t="shared" ca="1" si="5"/>
        <v>02-201-03</v>
      </c>
      <c r="B49" s="121" t="str">
        <f ca="1">UPPER(_xlfn.XLOOKUP($A49,Строчный!$A:$A,Строчный!B:B,"ERR",0))</f>
        <v>6611105 TEXAS COTTON</v>
      </c>
      <c r="C49" s="95" t="str">
        <f ca="1">PROPER(_xlfn.XLOOKUP($A49,Строчный!$A:$A,Строчный!C:C,"ERR",0))</f>
        <v>Кепки</v>
      </c>
      <c r="D49" s="95" t="str">
        <f ca="1">_xlfn.LET(_xlpm.DATA,(_xlfn.XLOOKUP($A49,Строчный!$A:$A,Строчный!D:D,"ERR",0)),UPPER(MID(_xlpm.DATA,1,1))&amp;LOWER(MID(_xlpm.DATA,2,LEN(_xlpm.DATA)-1)))</f>
        <v>Кепка уточка</v>
      </c>
      <c r="E49" s="95" t="str">
        <f ca="1">PROPER(_xlfn.XLOOKUP($A49,Строчный!$A:$A,Строчный!E:E,"ERR",0))</f>
        <v>Stetson</v>
      </c>
      <c r="F49" s="95" t="str">
        <f ca="1">LOWER(_xlfn.XLOOKUP($A49,Строчный!$A:$A,Строчный!F:F,"ERR",0))</f>
        <v>всесезон</v>
      </c>
      <c r="G49" s="95" t="str">
        <f ca="1">UPPER(_xlfn.XLOOKUP($A49,Строчный!$A:$A,Строчный!G:G,"ERR",0))</f>
        <v>STETSON</v>
      </c>
      <c r="H49" s="95" t="str">
        <f ca="1">LOWER(_xlfn.XLOOKUP($A49,Строчный!$A:$A,Строчный!H:H,"ERR",0))</f>
        <v>55</v>
      </c>
      <c r="I49" s="95" t="str">
        <f ca="1">LOWER(_xlfn.XLOOKUP($A49,Строчный!$A:$A,Строчный!I:I,"ERR",0))</f>
        <v>оливковый</v>
      </c>
      <c r="J49" s="95" t="str">
        <f ca="1">SUBSTITUTE(LOWER(_xlfn.XLOOKUP($A49,Строчный!$A:$A,Строчный!J:J,"ERR",0)),"подклад","Подклад")</f>
        <v>100% хлопок / Подклад: 100% хлопок</v>
      </c>
      <c r="K49" s="95" t="str">
        <f ca="1">LOWER(_xlfn.XLOOKUP($A49,Строчный!$A:$A,Строчный!K:K,"ERR",0))</f>
        <v>хлопковые</v>
      </c>
      <c r="L49" s="95" t="str">
        <f ca="1">PROPER(_xlfn.XLOOKUP($A49,Строчный!$A:$A,Строчный!L:L,"ERR",0))</f>
        <v>Унисекс</v>
      </c>
      <c r="M49" s="95" t="str">
        <f ca="1">PROPER(_xlfn.XLOOKUP($A49,Строчный!$A:$A,Строчный!N:N,"ERR",0))</f>
        <v>Китай</v>
      </c>
      <c r="N49" s="104">
        <f ca="1">VALUE(_xlfn.XLOOKUP($A49,Строчный!$A:$A,Строчный!O:O,"ERR",0))</f>
        <v>1020.6479999999999</v>
      </c>
      <c r="O49" s="103" t="str">
        <f ca="1">_xlfn.XLOOKUP($A49,Строчный!$A:$A,Строчный!M:M,"ERR",0)</f>
        <v>Friedrich W. Schneider GmbH &amp; Co. KG; Oskar-Schindler-Str. 11, D 50769 Köln, Germany</v>
      </c>
      <c r="P49" s="94">
        <f ca="1">_xlfn.XLOOKUP(MID(X49,11,2),Размеры!D:D,Размеры!A:A,"ERR",0)</f>
        <v>59</v>
      </c>
      <c r="Q49" s="94">
        <f ca="1">VALUE(_xlfn.XLOOKUP($A49,Строчный!$A:$A,Строчный!R:R,"ERR",0))</f>
        <v>5</v>
      </c>
      <c r="R49" s="14" t="s">
        <v>283</v>
      </c>
      <c r="S49" s="115" t="str">
        <f t="shared" ca="1" si="6"/>
        <v>Кепка STETSON арт. 6611105 TEXAS COTTON (оливковый)</v>
      </c>
      <c r="T49" s="114" t="str">
        <f t="shared" ca="1" si="7"/>
        <v>Кепка STETSON арт. 6611105 TEXAS COTTON (оливковый) {55}</v>
      </c>
      <c r="U49" s="18" t="str">
        <f t="shared" ca="1" si="8"/>
        <v>оливковый</v>
      </c>
      <c r="V49" s="18" t="str">
        <f t="shared" ca="1" si="9"/>
        <v>оливковый</v>
      </c>
      <c r="W49" s="132" t="str">
        <f t="shared" ca="1" si="10"/>
        <v>оливковый</v>
      </c>
      <c r="X49" s="87" t="str">
        <f ca="1"/>
        <v>02-201-03-59</v>
      </c>
      <c r="Y49" s="89" t="str">
        <f ca="1">VLOOKUP(C49,Группа!A:B,2,FALSE)</f>
        <v>Кепка</v>
      </c>
      <c r="Z49" s="111" t="str">
        <f ca="1">IFERROR(VLOOKUP(P49,Размеры!A:C,3,FALSE),"")</f>
        <v>59 L</v>
      </c>
      <c r="AA49" s="111" t="str">
        <f ca="1">VLOOKUP(I49,ЦветПолный!A:B,2,FALSE)</f>
        <v>03</v>
      </c>
      <c r="AB49" s="111" t="str">
        <f ca="1">IFERROR(VLOOKUP(P49,Размеры!A:D,4,FALSE),"")</f>
        <v>59</v>
      </c>
      <c r="AC49" s="111">
        <f ca="1">IF(LEFT(IFERROR(VLOOKUP(LOOKUP(2,1/SEARCH(B49,Товары!A:A),Товары!A:A),Товары!A:B,2,0),""),6)=MID(X49,1,6),1,0)</f>
        <v>1</v>
      </c>
      <c r="AE49" s="111">
        <f ca="1">SUMIF(Группа!A:A,C49,Группа!C:C)</f>
        <v>1</v>
      </c>
      <c r="AF49" s="111">
        <f ca="1">SUMIF(Группа!B:B,Y49,Группа!C:C)</f>
        <v>1</v>
      </c>
      <c r="AG49" s="111">
        <f ca="1">SUMIF(Формы!A:A,D49,Формы!B:B)</f>
        <v>1</v>
      </c>
      <c r="AH49" s="111">
        <f ca="1">SUMIF(Материал!A:A,K49,Материал!B:B)</f>
        <v>1</v>
      </c>
      <c r="AI49" s="111">
        <f ca="1">SUMIF(Размеры!A:A,P49,Размеры!E:E)</f>
        <v>1</v>
      </c>
      <c r="AJ49" s="111">
        <f ca="1">SUMIF(Сезон!A:A,F49,Сезон!B:B)</f>
        <v>1</v>
      </c>
      <c r="AK49" s="111">
        <f ca="1">SUMIF(Состав!A:A,J49,Состав!B:B)</f>
        <v>0</v>
      </c>
      <c r="AL49" s="111">
        <f ca="1">SUMIF(ЦветПолный!A:A,I49,ЦветПолный!C:C)</f>
        <v>7</v>
      </c>
      <c r="AM49" s="111">
        <f ca="1">SUMIF(Цвет!A:A,W49,Цвет!B:B)</f>
        <v>1</v>
      </c>
      <c r="AN49" s="111">
        <f ca="1">SUMIF(Пол!B:B,L49,Пол!C:C)</f>
        <v>1</v>
      </c>
      <c r="AO49" s="111">
        <f ca="1">SUMIF(Марка!A:A,G49,Марка!B:B)</f>
        <v>1</v>
      </c>
      <c r="AP49" s="111">
        <f ca="1">SUMIF(Страна!A:A,M49,Страна!B:B)</f>
        <v>1</v>
      </c>
      <c r="AQ49" s="77" t="str">
        <f ca="1">IF(VLOOKUP(T49,Товары!A:B,2,FALSE)=A49,"Есть в 1С","ERR")</f>
        <v>Есть в 1С</v>
      </c>
      <c r="AR49" s="78" t="str">
        <f ca="1">IF(VLOOKUP(A49,Товары!B:B,1,FALSE)=A49,"Есть в 1С","ERR")</f>
        <v>Есть в 1С</v>
      </c>
      <c r="AS49" s="110" t="str">
        <f ca="1">VLOOKUP(T49,Товары!A:B,2,FALSE)</f>
        <v>02-201-03</v>
      </c>
      <c r="AT49" s="108" t="str">
        <f ca="1">VLOOKUP(T49,Товары!A:B,1,FALSE)</f>
        <v>Кепка STETSON арт. 6611105 TEXAS COTTON (оливковый) {55}</v>
      </c>
    </row>
    <row r="50" spans="1:46" x14ac:dyDescent="0.25">
      <c r="A50" s="124" t="str">
        <f t="shared" ca="1" si="5"/>
        <v>02-201-03</v>
      </c>
      <c r="B50" s="121" t="str">
        <f ca="1">UPPER(_xlfn.XLOOKUP($A50,Строчный!$A:$A,Строчный!B:B,"ERR",0))</f>
        <v>6611105 TEXAS COTTON</v>
      </c>
      <c r="C50" s="95" t="str">
        <f ca="1">PROPER(_xlfn.XLOOKUP($A50,Строчный!$A:$A,Строчный!C:C,"ERR",0))</f>
        <v>Кепки</v>
      </c>
      <c r="D50" s="95" t="str">
        <f ca="1">_xlfn.LET(_xlpm.DATA,(_xlfn.XLOOKUP($A50,Строчный!$A:$A,Строчный!D:D,"ERR",0)),UPPER(MID(_xlpm.DATA,1,1))&amp;LOWER(MID(_xlpm.DATA,2,LEN(_xlpm.DATA)-1)))</f>
        <v>Кепка уточка</v>
      </c>
      <c r="E50" s="95" t="str">
        <f ca="1">PROPER(_xlfn.XLOOKUP($A50,Строчный!$A:$A,Строчный!E:E,"ERR",0))</f>
        <v>Stetson</v>
      </c>
      <c r="F50" s="95" t="str">
        <f ca="1">LOWER(_xlfn.XLOOKUP($A50,Строчный!$A:$A,Строчный!F:F,"ERR",0))</f>
        <v>всесезон</v>
      </c>
      <c r="G50" s="95" t="str">
        <f ca="1">UPPER(_xlfn.XLOOKUP($A50,Строчный!$A:$A,Строчный!G:G,"ERR",0))</f>
        <v>STETSON</v>
      </c>
      <c r="H50" s="95" t="str">
        <f ca="1">LOWER(_xlfn.XLOOKUP($A50,Строчный!$A:$A,Строчный!H:H,"ERR",0))</f>
        <v>55</v>
      </c>
      <c r="I50" s="95" t="str">
        <f ca="1">LOWER(_xlfn.XLOOKUP($A50,Строчный!$A:$A,Строчный!I:I,"ERR",0))</f>
        <v>оливковый</v>
      </c>
      <c r="J50" s="95" t="str">
        <f ca="1">SUBSTITUTE(LOWER(_xlfn.XLOOKUP($A50,Строчный!$A:$A,Строчный!J:J,"ERR",0)),"подклад","Подклад")</f>
        <v>100% хлопок / Подклад: 100% хлопок</v>
      </c>
      <c r="K50" s="95" t="str">
        <f ca="1">LOWER(_xlfn.XLOOKUP($A50,Строчный!$A:$A,Строчный!K:K,"ERR",0))</f>
        <v>хлопковые</v>
      </c>
      <c r="L50" s="95" t="str">
        <f ca="1">PROPER(_xlfn.XLOOKUP($A50,Строчный!$A:$A,Строчный!L:L,"ERR",0))</f>
        <v>Унисекс</v>
      </c>
      <c r="M50" s="95" t="str">
        <f ca="1">PROPER(_xlfn.XLOOKUP($A50,Строчный!$A:$A,Строчный!N:N,"ERR",0))</f>
        <v>Китай</v>
      </c>
      <c r="N50" s="104">
        <f ca="1">VALUE(_xlfn.XLOOKUP($A50,Строчный!$A:$A,Строчный!O:O,"ERR",0))</f>
        <v>1020.6479999999999</v>
      </c>
      <c r="O50" s="103" t="str">
        <f ca="1">_xlfn.XLOOKUP($A50,Строчный!$A:$A,Строчный!M:M,"ERR",0)</f>
        <v>Friedrich W. Schneider GmbH &amp; Co. KG; Oskar-Schindler-Str. 11, D 50769 Köln, Germany</v>
      </c>
      <c r="P50" s="94">
        <f ca="1">_xlfn.XLOOKUP(MID(X50,11,2),Размеры!D:D,Размеры!A:A,"ERR",0)</f>
        <v>57</v>
      </c>
      <c r="Q50" s="94">
        <f ca="1">VALUE(_xlfn.XLOOKUP($A50,Строчный!$A:$A,Строчный!R:R,"ERR",0))</f>
        <v>5</v>
      </c>
      <c r="R50" s="14" t="s">
        <v>283</v>
      </c>
      <c r="S50" s="115" t="str">
        <f t="shared" ca="1" si="6"/>
        <v>Кепка STETSON арт. 6611105 TEXAS COTTON (оливковый)</v>
      </c>
      <c r="T50" s="114" t="str">
        <f t="shared" ca="1" si="7"/>
        <v>Кепка STETSON арт. 6611105 TEXAS COTTON (оливковый) {55}</v>
      </c>
      <c r="U50" s="18" t="str">
        <f t="shared" ca="1" si="8"/>
        <v>оливковый</v>
      </c>
      <c r="V50" s="18" t="str">
        <f t="shared" ca="1" si="9"/>
        <v>оливковый</v>
      </c>
      <c r="W50" s="132" t="str">
        <f t="shared" ca="1" si="10"/>
        <v>оливковый</v>
      </c>
      <c r="X50" s="87" t="str">
        <f ca="1"/>
        <v>02-201-03-57</v>
      </c>
      <c r="Y50" s="89" t="str">
        <f ca="1">VLOOKUP(C50,Группа!A:B,2,FALSE)</f>
        <v>Кепка</v>
      </c>
      <c r="Z50" s="111" t="str">
        <f ca="1">IFERROR(VLOOKUP(P50,Размеры!A:C,3,FALSE),"")</f>
        <v>57 M</v>
      </c>
      <c r="AA50" s="111" t="str">
        <f ca="1">VLOOKUP(I50,ЦветПолный!A:B,2,FALSE)</f>
        <v>03</v>
      </c>
      <c r="AB50" s="111" t="str">
        <f ca="1">IFERROR(VLOOKUP(P50,Размеры!A:D,4,FALSE),"")</f>
        <v>57</v>
      </c>
      <c r="AC50" s="111">
        <f ca="1">IF(LEFT(IFERROR(VLOOKUP(LOOKUP(2,1/SEARCH(B50,Товары!A:A),Товары!A:A),Товары!A:B,2,0),""),6)=MID(X50,1,6),1,0)</f>
        <v>1</v>
      </c>
      <c r="AE50" s="111">
        <f ca="1">SUMIF(Группа!A:A,C50,Группа!C:C)</f>
        <v>1</v>
      </c>
      <c r="AF50" s="111">
        <f ca="1">SUMIF(Группа!B:B,Y50,Группа!C:C)</f>
        <v>1</v>
      </c>
      <c r="AG50" s="111">
        <f ca="1">SUMIF(Формы!A:A,D50,Формы!B:B)</f>
        <v>1</v>
      </c>
      <c r="AH50" s="111">
        <f ca="1">SUMIF(Материал!A:A,K50,Материал!B:B)</f>
        <v>1</v>
      </c>
      <c r="AI50" s="111">
        <f ca="1">SUMIF(Размеры!A:A,P50,Размеры!E:E)</f>
        <v>1</v>
      </c>
      <c r="AJ50" s="111">
        <f ca="1">SUMIF(Сезон!A:A,F50,Сезон!B:B)</f>
        <v>1</v>
      </c>
      <c r="AK50" s="111">
        <f ca="1">SUMIF(Состав!A:A,J50,Состав!B:B)</f>
        <v>0</v>
      </c>
      <c r="AL50" s="111">
        <f ca="1">SUMIF(ЦветПолный!A:A,I50,ЦветПолный!C:C)</f>
        <v>7</v>
      </c>
      <c r="AM50" s="111">
        <f ca="1">SUMIF(Цвет!A:A,W50,Цвет!B:B)</f>
        <v>1</v>
      </c>
      <c r="AN50" s="111">
        <f ca="1">SUMIF(Пол!B:B,L50,Пол!C:C)</f>
        <v>1</v>
      </c>
      <c r="AO50" s="111">
        <f ca="1">SUMIF(Марка!A:A,G50,Марка!B:B)</f>
        <v>1</v>
      </c>
      <c r="AP50" s="111">
        <f ca="1">SUMIF(Страна!A:A,M50,Страна!B:B)</f>
        <v>1</v>
      </c>
      <c r="AQ50" s="77" t="str">
        <f ca="1">IF(VLOOKUP(T50,Товары!A:B,2,FALSE)=A50,"Есть в 1С","ERR")</f>
        <v>Есть в 1С</v>
      </c>
      <c r="AR50" s="78" t="str">
        <f ca="1">IF(VLOOKUP(A50,Товары!B:B,1,FALSE)=A50,"Есть в 1С","ERR")</f>
        <v>Есть в 1С</v>
      </c>
      <c r="AS50" s="110" t="str">
        <f ca="1">VLOOKUP(T50,Товары!A:B,2,FALSE)</f>
        <v>02-201-03</v>
      </c>
      <c r="AT50" s="108" t="str">
        <f ca="1">VLOOKUP(T50,Товары!A:B,1,FALSE)</f>
        <v>Кепка STETSON арт. 6611105 TEXAS COTTON (оливковый) {55}</v>
      </c>
    </row>
    <row r="51" spans="1:46" x14ac:dyDescent="0.25">
      <c r="A51" s="124" t="str">
        <f t="shared" ca="1" si="5"/>
        <v>02-186-14</v>
      </c>
      <c r="B51" s="121" t="str">
        <f ca="1">UPPER(_xlfn.XLOOKUP($A51,Строчный!$A:$A,Строчный!B:B,"ERR",0))</f>
        <v>2811101 BUCKET DELAVE</v>
      </c>
      <c r="C51" s="95" t="str">
        <f ca="1">PROPER(_xlfn.XLOOKUP($A51,Строчный!$A:$A,Строчный!C:C,"ERR",0))</f>
        <v>Панамы</v>
      </c>
      <c r="D51" s="95" t="str">
        <f ca="1">_xlfn.LET(_xlpm.DATA,(_xlfn.XLOOKUP($A51,Строчный!$A:$A,Строчный!D:D,"ERR",0)),UPPER(MID(_xlpm.DATA,1,1))&amp;LOWER(MID(_xlpm.DATA,2,LEN(_xlpm.DATA)-1)))</f>
        <v>Панама</v>
      </c>
      <c r="E51" s="95" t="str">
        <f ca="1">PROPER(_xlfn.XLOOKUP($A51,Строчный!$A:$A,Строчный!E:E,"ERR",0))</f>
        <v>Stetson</v>
      </c>
      <c r="F51" s="95" t="str">
        <f ca="1">LOWER(_xlfn.XLOOKUP($A51,Строчный!$A:$A,Строчный!F:F,"ERR",0))</f>
        <v>летний</v>
      </c>
      <c r="G51" s="95" t="str">
        <f ca="1">UPPER(_xlfn.XLOOKUP($A51,Строчный!$A:$A,Строчный!G:G,"ERR",0))</f>
        <v>STETSON</v>
      </c>
      <c r="H51" s="95" t="str">
        <f ca="1">LOWER(_xlfn.XLOOKUP($A51,Строчный!$A:$A,Строчный!H:H,"ERR",0))</f>
        <v>6</v>
      </c>
      <c r="I51" s="95" t="str">
        <f ca="1">LOWER(_xlfn.XLOOKUP($A51,Строчный!$A:$A,Строчный!I:I,"ERR",0))</f>
        <v>коричневый</v>
      </c>
      <c r="J51" s="95" t="str">
        <f ca="1">SUBSTITUTE(LOWER(_xlfn.XLOOKUP($A51,Строчный!$A:$A,Строчный!J:J,"ERR",0)),"подклад","Подклад")</f>
        <v>100% хлопок / Подклад: 100% хлопок</v>
      </c>
      <c r="K51" s="95" t="str">
        <f ca="1">LOWER(_xlfn.XLOOKUP($A51,Строчный!$A:$A,Строчный!K:K,"ERR",0))</f>
        <v>хлопковые</v>
      </c>
      <c r="L51" s="95" t="str">
        <f ca="1">PROPER(_xlfn.XLOOKUP($A51,Строчный!$A:$A,Строчный!L:L,"ERR",0))</f>
        <v>Унисекс</v>
      </c>
      <c r="M51" s="95" t="str">
        <f ca="1">PROPER(_xlfn.XLOOKUP($A51,Строчный!$A:$A,Строчный!N:N,"ERR",0))</f>
        <v>Китай</v>
      </c>
      <c r="N51" s="104">
        <f ca="1">VALUE(_xlfn.XLOOKUP($A51,Строчный!$A:$A,Строчный!O:O,"ERR",0))</f>
        <v>2128.328</v>
      </c>
      <c r="O51" s="103" t="str">
        <f ca="1">_xlfn.XLOOKUP($A51,Строчный!$A:$A,Строчный!M:M,"ERR",0)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51" s="94">
        <f ca="1">_xlfn.XLOOKUP(MID(X51,11,2),Размеры!D:D,Размеры!A:A,"ERR",0)</f>
        <v>61</v>
      </c>
      <c r="Q51" s="94">
        <f ca="1">VALUE(_xlfn.XLOOKUP($A51,Строчный!$A:$A,Строчный!R:R,"ERR",0))</f>
        <v>2</v>
      </c>
      <c r="R51" s="14" t="s">
        <v>283</v>
      </c>
      <c r="S51" s="115" t="str">
        <f t="shared" ca="1" si="6"/>
        <v>Панама STETSON арт. 2811101 BUCKET DELAVE (коричневый)</v>
      </c>
      <c r="T51" s="114" t="str">
        <f t="shared" ca="1" si="7"/>
        <v>Панама STETSON арт. 2811101 BUCKET DELAVE (коричневый) {6}</v>
      </c>
      <c r="U51" s="18" t="str">
        <f t="shared" ca="1" si="8"/>
        <v>коричневый</v>
      </c>
      <c r="V51" s="18" t="str">
        <f t="shared" ca="1" si="9"/>
        <v>коричневый</v>
      </c>
      <c r="W51" s="132" t="str">
        <f t="shared" ca="1" si="10"/>
        <v>коричневый</v>
      </c>
      <c r="X51" s="87" t="str">
        <f ca="1"/>
        <v>02-186-14-61</v>
      </c>
      <c r="Y51" s="89" t="str">
        <f ca="1">VLOOKUP(C51,Группа!A:B,2,FALSE)</f>
        <v>Панама</v>
      </c>
      <c r="Z51" s="111" t="str">
        <f ca="1">IFERROR(VLOOKUP(P51,Размеры!A:C,3,FALSE),"")</f>
        <v>61 XL</v>
      </c>
      <c r="AA51" s="111" t="str">
        <f ca="1">VLOOKUP(I51,ЦветПолный!A:B,2,FALSE)</f>
        <v>14</v>
      </c>
      <c r="AB51" s="111" t="str">
        <f ca="1">IFERROR(VLOOKUP(P51,Размеры!A:D,4,FALSE),"")</f>
        <v>61</v>
      </c>
      <c r="AC51" s="111">
        <f ca="1">IF(LEFT(IFERROR(VLOOKUP(LOOKUP(2,1/SEARCH(B51,Товары!A:A),Товары!A:A),Товары!A:B,2,0),""),6)=MID(X51,1,6),1,0)</f>
        <v>1</v>
      </c>
      <c r="AE51" s="111">
        <f ca="1">SUMIF(Группа!A:A,C51,Группа!C:C)</f>
        <v>1</v>
      </c>
      <c r="AF51" s="111">
        <f ca="1">SUMIF(Группа!B:B,Y51,Группа!C:C)</f>
        <v>1</v>
      </c>
      <c r="AG51" s="111">
        <f ca="1">SUMIF(Формы!A:A,D51,Формы!B:B)</f>
        <v>1</v>
      </c>
      <c r="AH51" s="111">
        <f ca="1">SUMIF(Материал!A:A,K51,Материал!B:B)</f>
        <v>1</v>
      </c>
      <c r="AI51" s="111">
        <f ca="1">SUMIF(Размеры!A:A,P51,Размеры!E:E)</f>
        <v>1</v>
      </c>
      <c r="AJ51" s="111">
        <f ca="1">SUMIF(Сезон!A:A,F51,Сезон!B:B)</f>
        <v>1</v>
      </c>
      <c r="AK51" s="111">
        <f ca="1">SUMIF(Состав!A:A,J51,Состав!B:B)</f>
        <v>0</v>
      </c>
      <c r="AL51" s="111">
        <f ca="1">SUMIF(ЦветПолный!A:A,I51,ЦветПолный!C:C)</f>
        <v>14</v>
      </c>
      <c r="AM51" s="111">
        <f ca="1">SUMIF(Цвет!A:A,W51,Цвет!B:B)</f>
        <v>1</v>
      </c>
      <c r="AN51" s="111">
        <f ca="1">SUMIF(Пол!B:B,L51,Пол!C:C)</f>
        <v>1</v>
      </c>
      <c r="AO51" s="111">
        <f ca="1">SUMIF(Марка!A:A,G51,Марка!B:B)</f>
        <v>1</v>
      </c>
      <c r="AP51" s="111">
        <f ca="1">SUMIF(Страна!A:A,M51,Страна!B:B)</f>
        <v>1</v>
      </c>
      <c r="AQ51" s="77" t="e">
        <f ca="1">IF(VLOOKUP(T51,Товары!A:B,2,FALSE)=A51,"Есть в 1С","ERR")</f>
        <v>#N/A</v>
      </c>
      <c r="AR51" s="78" t="e">
        <f ca="1">IF(VLOOKUP(A51,Товары!B:B,1,FALSE)=A51,"Есть в 1С","ERR")</f>
        <v>#N/A</v>
      </c>
      <c r="AS51" s="110" t="e">
        <f ca="1">VLOOKUP(T51,Товары!A:B,2,FALSE)</f>
        <v>#N/A</v>
      </c>
      <c r="AT51" s="108" t="e">
        <f ca="1">VLOOKUP(T51,Товары!A:B,1,FALSE)</f>
        <v>#N/A</v>
      </c>
    </row>
    <row r="52" spans="1:46" x14ac:dyDescent="0.25">
      <c r="A52" s="124" t="str">
        <f t="shared" ca="1" si="5"/>
        <v>02-186-14</v>
      </c>
      <c r="B52" s="121" t="str">
        <f ca="1">UPPER(_xlfn.XLOOKUP($A52,Строчный!$A:$A,Строчный!B:B,"ERR",0))</f>
        <v>2811101 BUCKET DELAVE</v>
      </c>
      <c r="C52" s="95" t="str">
        <f ca="1">PROPER(_xlfn.XLOOKUP($A52,Строчный!$A:$A,Строчный!C:C,"ERR",0))</f>
        <v>Панамы</v>
      </c>
      <c r="D52" s="95" t="str">
        <f ca="1">_xlfn.LET(_xlpm.DATA,(_xlfn.XLOOKUP($A52,Строчный!$A:$A,Строчный!D:D,"ERR",0)),UPPER(MID(_xlpm.DATA,1,1))&amp;LOWER(MID(_xlpm.DATA,2,LEN(_xlpm.DATA)-1)))</f>
        <v>Панама</v>
      </c>
      <c r="E52" s="95" t="str">
        <f ca="1">PROPER(_xlfn.XLOOKUP($A52,Строчный!$A:$A,Строчный!E:E,"ERR",0))</f>
        <v>Stetson</v>
      </c>
      <c r="F52" s="95" t="str">
        <f ca="1">LOWER(_xlfn.XLOOKUP($A52,Строчный!$A:$A,Строчный!F:F,"ERR",0))</f>
        <v>летний</v>
      </c>
      <c r="G52" s="95" t="str">
        <f ca="1">UPPER(_xlfn.XLOOKUP($A52,Строчный!$A:$A,Строчный!G:G,"ERR",0))</f>
        <v>STETSON</v>
      </c>
      <c r="H52" s="95" t="str">
        <f ca="1">LOWER(_xlfn.XLOOKUP($A52,Строчный!$A:$A,Строчный!H:H,"ERR",0))</f>
        <v>6</v>
      </c>
      <c r="I52" s="95" t="str">
        <f ca="1">LOWER(_xlfn.XLOOKUP($A52,Строчный!$A:$A,Строчный!I:I,"ERR",0))</f>
        <v>коричневый</v>
      </c>
      <c r="J52" s="95" t="str">
        <f ca="1">SUBSTITUTE(LOWER(_xlfn.XLOOKUP($A52,Строчный!$A:$A,Строчный!J:J,"ERR",0)),"подклад","Подклад")</f>
        <v>100% хлопок / Подклад: 100% хлопок</v>
      </c>
      <c r="K52" s="95" t="str">
        <f ca="1">LOWER(_xlfn.XLOOKUP($A52,Строчный!$A:$A,Строчный!K:K,"ERR",0))</f>
        <v>хлопковые</v>
      </c>
      <c r="L52" s="95" t="str">
        <f ca="1">PROPER(_xlfn.XLOOKUP($A52,Строчный!$A:$A,Строчный!L:L,"ERR",0))</f>
        <v>Унисекс</v>
      </c>
      <c r="M52" s="95" t="str">
        <f ca="1">PROPER(_xlfn.XLOOKUP($A52,Строчный!$A:$A,Строчный!N:N,"ERR",0))</f>
        <v>Китай</v>
      </c>
      <c r="N52" s="104">
        <f ca="1">VALUE(_xlfn.XLOOKUP($A52,Строчный!$A:$A,Строчный!O:O,"ERR",0))</f>
        <v>2128.328</v>
      </c>
      <c r="O52" s="103" t="str">
        <f ca="1">_xlfn.XLOOKUP($A52,Строчный!$A:$A,Строчный!M:M,"ERR",0)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52" s="94">
        <f ca="1">_xlfn.XLOOKUP(MID(X52,11,2),Размеры!D:D,Размеры!A:A,"ERR",0)</f>
        <v>59</v>
      </c>
      <c r="Q52" s="94">
        <f ca="1">VALUE(_xlfn.XLOOKUP($A52,Строчный!$A:$A,Строчный!R:R,"ERR",0))</f>
        <v>2</v>
      </c>
      <c r="R52" s="14" t="s">
        <v>283</v>
      </c>
      <c r="S52" s="115" t="str">
        <f t="shared" ca="1" si="6"/>
        <v>Панама STETSON арт. 2811101 BUCKET DELAVE (коричневый)</v>
      </c>
      <c r="T52" s="114" t="str">
        <f t="shared" ca="1" si="7"/>
        <v>Панама STETSON арт. 2811101 BUCKET DELAVE (коричневый) {6}</v>
      </c>
      <c r="U52" s="18" t="str">
        <f t="shared" ca="1" si="8"/>
        <v>коричневый</v>
      </c>
      <c r="V52" s="18" t="str">
        <f t="shared" ca="1" si="9"/>
        <v>коричневый</v>
      </c>
      <c r="W52" s="132" t="str">
        <f t="shared" ca="1" si="10"/>
        <v>коричневый</v>
      </c>
      <c r="X52" s="87" t="str">
        <f ca="1"/>
        <v>02-186-14-59</v>
      </c>
      <c r="Y52" s="89" t="str">
        <f ca="1">VLOOKUP(C52,Группа!A:B,2,FALSE)</f>
        <v>Панама</v>
      </c>
      <c r="Z52" s="111" t="str">
        <f ca="1">IFERROR(VLOOKUP(P52,Размеры!A:C,3,FALSE),"")</f>
        <v>59 L</v>
      </c>
      <c r="AA52" s="111" t="str">
        <f ca="1">VLOOKUP(I52,ЦветПолный!A:B,2,FALSE)</f>
        <v>14</v>
      </c>
      <c r="AB52" s="111" t="str">
        <f ca="1">IFERROR(VLOOKUP(P52,Размеры!A:D,4,FALSE),"")</f>
        <v>59</v>
      </c>
      <c r="AC52" s="111">
        <f ca="1">IF(LEFT(IFERROR(VLOOKUP(LOOKUP(2,1/SEARCH(B52,Товары!A:A),Товары!A:A),Товары!A:B,2,0),""),6)=MID(X52,1,6),1,0)</f>
        <v>1</v>
      </c>
      <c r="AE52" s="111">
        <f ca="1">SUMIF(Группа!A:A,C52,Группа!C:C)</f>
        <v>1</v>
      </c>
      <c r="AF52" s="111">
        <f ca="1">SUMIF(Группа!B:B,Y52,Группа!C:C)</f>
        <v>1</v>
      </c>
      <c r="AG52" s="111">
        <f ca="1">SUMIF(Формы!A:A,D52,Формы!B:B)</f>
        <v>1</v>
      </c>
      <c r="AH52" s="111">
        <f ca="1">SUMIF(Материал!A:A,K52,Материал!B:B)</f>
        <v>1</v>
      </c>
      <c r="AI52" s="111">
        <f ca="1">SUMIF(Размеры!A:A,P52,Размеры!E:E)</f>
        <v>1</v>
      </c>
      <c r="AJ52" s="111">
        <f ca="1">SUMIF(Сезон!A:A,F52,Сезон!B:B)</f>
        <v>1</v>
      </c>
      <c r="AK52" s="111">
        <f ca="1">SUMIF(Состав!A:A,J52,Состав!B:B)</f>
        <v>0</v>
      </c>
      <c r="AL52" s="111">
        <f ca="1">SUMIF(ЦветПолный!A:A,I52,ЦветПолный!C:C)</f>
        <v>14</v>
      </c>
      <c r="AM52" s="111">
        <f ca="1">SUMIF(Цвет!A:A,W52,Цвет!B:B)</f>
        <v>1</v>
      </c>
      <c r="AN52" s="111">
        <f ca="1">SUMIF(Пол!B:B,L52,Пол!C:C)</f>
        <v>1</v>
      </c>
      <c r="AO52" s="111">
        <f ca="1">SUMIF(Марка!A:A,G52,Марка!B:B)</f>
        <v>1</v>
      </c>
      <c r="AP52" s="111">
        <f ca="1">SUMIF(Страна!A:A,M52,Страна!B:B)</f>
        <v>1</v>
      </c>
      <c r="AQ52" s="77" t="e">
        <f ca="1">IF(VLOOKUP(T52,Товары!A:B,2,FALSE)=A52,"Есть в 1С","ERR")</f>
        <v>#N/A</v>
      </c>
      <c r="AR52" s="78" t="e">
        <f ca="1">IF(VLOOKUP(A52,Товары!B:B,1,FALSE)=A52,"Есть в 1С","ERR")</f>
        <v>#N/A</v>
      </c>
      <c r="AS52" s="110" t="e">
        <f ca="1">VLOOKUP(T52,Товары!A:B,2,FALSE)</f>
        <v>#N/A</v>
      </c>
      <c r="AT52" s="108" t="e">
        <f ca="1">VLOOKUP(T52,Товары!A:B,1,FALSE)</f>
        <v>#N/A</v>
      </c>
    </row>
    <row r="53" spans="1:46" x14ac:dyDescent="0.25">
      <c r="A53" s="124" t="str">
        <f t="shared" ca="1" si="5"/>
        <v>02-186-14</v>
      </c>
      <c r="B53" s="121" t="str">
        <f ca="1">UPPER(_xlfn.XLOOKUP($A53,Строчный!$A:$A,Строчный!B:B,"ERR",0))</f>
        <v>2811101 BUCKET DELAVE</v>
      </c>
      <c r="C53" s="95" t="str">
        <f ca="1">PROPER(_xlfn.XLOOKUP($A53,Строчный!$A:$A,Строчный!C:C,"ERR",0))</f>
        <v>Панамы</v>
      </c>
      <c r="D53" s="95" t="str">
        <f ca="1">_xlfn.LET(_xlpm.DATA,(_xlfn.XLOOKUP($A53,Строчный!$A:$A,Строчный!D:D,"ERR",0)),UPPER(MID(_xlpm.DATA,1,1))&amp;LOWER(MID(_xlpm.DATA,2,LEN(_xlpm.DATA)-1)))</f>
        <v>Панама</v>
      </c>
      <c r="E53" s="95" t="str">
        <f ca="1">PROPER(_xlfn.XLOOKUP($A53,Строчный!$A:$A,Строчный!E:E,"ERR",0))</f>
        <v>Stetson</v>
      </c>
      <c r="F53" s="95" t="str">
        <f ca="1">LOWER(_xlfn.XLOOKUP($A53,Строчный!$A:$A,Строчный!F:F,"ERR",0))</f>
        <v>летний</v>
      </c>
      <c r="G53" s="95" t="str">
        <f ca="1">UPPER(_xlfn.XLOOKUP($A53,Строчный!$A:$A,Строчный!G:G,"ERR",0))</f>
        <v>STETSON</v>
      </c>
      <c r="H53" s="95" t="str">
        <f ca="1">LOWER(_xlfn.XLOOKUP($A53,Строчный!$A:$A,Строчный!H:H,"ERR",0))</f>
        <v>6</v>
      </c>
      <c r="I53" s="95" t="str">
        <f ca="1">LOWER(_xlfn.XLOOKUP($A53,Строчный!$A:$A,Строчный!I:I,"ERR",0))</f>
        <v>коричневый</v>
      </c>
      <c r="J53" s="95" t="str">
        <f ca="1">SUBSTITUTE(LOWER(_xlfn.XLOOKUP($A53,Строчный!$A:$A,Строчный!J:J,"ERR",0)),"подклад","Подклад")</f>
        <v>100% хлопок / Подклад: 100% хлопок</v>
      </c>
      <c r="K53" s="95" t="str">
        <f ca="1">LOWER(_xlfn.XLOOKUP($A53,Строчный!$A:$A,Строчный!K:K,"ERR",0))</f>
        <v>хлопковые</v>
      </c>
      <c r="L53" s="95" t="str">
        <f ca="1">PROPER(_xlfn.XLOOKUP($A53,Строчный!$A:$A,Строчный!L:L,"ERR",0))</f>
        <v>Унисекс</v>
      </c>
      <c r="M53" s="95" t="str">
        <f ca="1">PROPER(_xlfn.XLOOKUP($A53,Строчный!$A:$A,Строчный!N:N,"ERR",0))</f>
        <v>Китай</v>
      </c>
      <c r="N53" s="104">
        <f ca="1">VALUE(_xlfn.XLOOKUP($A53,Строчный!$A:$A,Строчный!O:O,"ERR",0))</f>
        <v>2128.328</v>
      </c>
      <c r="O53" s="103" t="str">
        <f ca="1">_xlfn.XLOOKUP($A53,Строчный!$A:$A,Строчный!M:M,"ERR",0)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53" s="94">
        <f ca="1">_xlfn.XLOOKUP(MID(X53,11,2),Размеры!D:D,Размеры!A:A,"ERR",0)</f>
        <v>57</v>
      </c>
      <c r="Q53" s="94">
        <f ca="1">VALUE(_xlfn.XLOOKUP($A53,Строчный!$A:$A,Строчный!R:R,"ERR",0))</f>
        <v>2</v>
      </c>
      <c r="R53" s="14" t="s">
        <v>283</v>
      </c>
      <c r="S53" s="115" t="str">
        <f t="shared" ca="1" si="6"/>
        <v>Панама STETSON арт. 2811101 BUCKET DELAVE (коричневый)</v>
      </c>
      <c r="T53" s="114" t="str">
        <f t="shared" ca="1" si="7"/>
        <v>Панама STETSON арт. 2811101 BUCKET DELAVE (коричневый) {6}</v>
      </c>
      <c r="U53" s="18" t="str">
        <f t="shared" ca="1" si="8"/>
        <v>коричневый</v>
      </c>
      <c r="V53" s="18" t="str">
        <f t="shared" ca="1" si="9"/>
        <v>коричневый</v>
      </c>
      <c r="W53" s="132" t="str">
        <f t="shared" ca="1" si="10"/>
        <v>коричневый</v>
      </c>
      <c r="X53" s="87" t="str">
        <f ca="1"/>
        <v>02-186-14-57</v>
      </c>
      <c r="Y53" s="89" t="str">
        <f ca="1">VLOOKUP(C53,Группа!A:B,2,FALSE)</f>
        <v>Панама</v>
      </c>
      <c r="Z53" s="111" t="str">
        <f ca="1">IFERROR(VLOOKUP(P53,Размеры!A:C,3,FALSE),"")</f>
        <v>57 M</v>
      </c>
      <c r="AA53" s="111" t="str">
        <f ca="1">VLOOKUP(I53,ЦветПолный!A:B,2,FALSE)</f>
        <v>14</v>
      </c>
      <c r="AB53" s="111" t="str">
        <f ca="1">IFERROR(VLOOKUP(P53,Размеры!A:D,4,FALSE),"")</f>
        <v>57</v>
      </c>
      <c r="AC53" s="111">
        <f ca="1">IF(LEFT(IFERROR(VLOOKUP(LOOKUP(2,1/SEARCH(B53,Товары!A:A),Товары!A:A),Товары!A:B,2,0),""),6)=MID(X53,1,6),1,0)</f>
        <v>1</v>
      </c>
      <c r="AE53" s="111">
        <f ca="1">SUMIF(Группа!A:A,C53,Группа!C:C)</f>
        <v>1</v>
      </c>
      <c r="AF53" s="111">
        <f ca="1">SUMIF(Группа!B:B,Y53,Группа!C:C)</f>
        <v>1</v>
      </c>
      <c r="AG53" s="111">
        <f ca="1">SUMIF(Формы!A:A,D53,Формы!B:B)</f>
        <v>1</v>
      </c>
      <c r="AH53" s="111">
        <f ca="1">SUMIF(Материал!A:A,K53,Материал!B:B)</f>
        <v>1</v>
      </c>
      <c r="AI53" s="111">
        <f ca="1">SUMIF(Размеры!A:A,P53,Размеры!E:E)</f>
        <v>1</v>
      </c>
      <c r="AJ53" s="111">
        <f ca="1">SUMIF(Сезон!A:A,F53,Сезон!B:B)</f>
        <v>1</v>
      </c>
      <c r="AK53" s="111">
        <f ca="1">SUMIF(Состав!A:A,J53,Состав!B:B)</f>
        <v>0</v>
      </c>
      <c r="AL53" s="111">
        <f ca="1">SUMIF(ЦветПолный!A:A,I53,ЦветПолный!C:C)</f>
        <v>14</v>
      </c>
      <c r="AM53" s="111">
        <f ca="1">SUMIF(Цвет!A:A,W53,Цвет!B:B)</f>
        <v>1</v>
      </c>
      <c r="AN53" s="111">
        <f ca="1">SUMIF(Пол!B:B,L53,Пол!C:C)</f>
        <v>1</v>
      </c>
      <c r="AO53" s="111">
        <f ca="1">SUMIF(Марка!A:A,G53,Марка!B:B)</f>
        <v>1</v>
      </c>
      <c r="AP53" s="111">
        <f ca="1">SUMIF(Страна!A:A,M53,Страна!B:B)</f>
        <v>1</v>
      </c>
      <c r="AQ53" s="77" t="e">
        <f ca="1">IF(VLOOKUP(T53,Товары!A:B,2,FALSE)=A53,"Есть в 1С","ERR")</f>
        <v>#N/A</v>
      </c>
      <c r="AR53" s="78" t="e">
        <f ca="1">IF(VLOOKUP(A53,Товары!B:B,1,FALSE)=A53,"Есть в 1С","ERR")</f>
        <v>#N/A</v>
      </c>
      <c r="AS53" s="110" t="e">
        <f ca="1">VLOOKUP(T53,Товары!A:B,2,FALSE)</f>
        <v>#N/A</v>
      </c>
      <c r="AT53" s="108" t="e">
        <f ca="1">VLOOKUP(T53,Товары!A:B,1,FALSE)</f>
        <v>#N/A</v>
      </c>
    </row>
    <row r="54" spans="1:46" x14ac:dyDescent="0.25">
      <c r="A54" s="124" t="str">
        <f t="shared" ca="1" si="5"/>
        <v>02-186-09</v>
      </c>
      <c r="B54" s="121" t="str">
        <f ca="1">UPPER(_xlfn.XLOOKUP($A54,Строчный!$A:$A,Строчный!B:B,"ERR",0))</f>
        <v>2811101 BUCKET DELAVE</v>
      </c>
      <c r="C54" s="95" t="str">
        <f ca="1">PROPER(_xlfn.XLOOKUP($A54,Строчный!$A:$A,Строчный!C:C,"ERR",0))</f>
        <v>Панамы</v>
      </c>
      <c r="D54" s="95" t="str">
        <f ca="1">_xlfn.LET(_xlpm.DATA,(_xlfn.XLOOKUP($A54,Строчный!$A:$A,Строчный!D:D,"ERR",0)),UPPER(MID(_xlpm.DATA,1,1))&amp;LOWER(MID(_xlpm.DATA,2,LEN(_xlpm.DATA)-1)))</f>
        <v>Панама</v>
      </c>
      <c r="E54" s="95" t="str">
        <f ca="1">PROPER(_xlfn.XLOOKUP($A54,Строчный!$A:$A,Строчный!E:E,"ERR",0))</f>
        <v>Stetson</v>
      </c>
      <c r="F54" s="95" t="str">
        <f ca="1">LOWER(_xlfn.XLOOKUP($A54,Строчный!$A:$A,Строчный!F:F,"ERR",0))</f>
        <v>летний</v>
      </c>
      <c r="G54" s="95" t="str">
        <f ca="1">UPPER(_xlfn.XLOOKUP($A54,Строчный!$A:$A,Строчный!G:G,"ERR",0))</f>
        <v>STETSON</v>
      </c>
      <c r="H54" s="95" t="str">
        <f ca="1">LOWER(_xlfn.XLOOKUP($A54,Строчный!$A:$A,Строчный!H:H,"ERR",0))</f>
        <v>1</v>
      </c>
      <c r="I54" s="95" t="str">
        <f ca="1">LOWER(_xlfn.XLOOKUP($A54,Строчный!$A:$A,Строчный!I:I,"ERR",0))</f>
        <v>черный</v>
      </c>
      <c r="J54" s="95" t="str">
        <f ca="1">SUBSTITUTE(LOWER(_xlfn.XLOOKUP($A54,Строчный!$A:$A,Строчный!J:J,"ERR",0)),"подклад","Подклад")</f>
        <v>100% хлопок / Подклад: 100% хлопок</v>
      </c>
      <c r="K54" s="95" t="str">
        <f ca="1">LOWER(_xlfn.XLOOKUP($A54,Строчный!$A:$A,Строчный!K:K,"ERR",0))</f>
        <v>хлопковые</v>
      </c>
      <c r="L54" s="95" t="str">
        <f ca="1">PROPER(_xlfn.XLOOKUP($A54,Строчный!$A:$A,Строчный!L:L,"ERR",0))</f>
        <v>Унисекс</v>
      </c>
      <c r="M54" s="95" t="str">
        <f ca="1">PROPER(_xlfn.XLOOKUP($A54,Строчный!$A:$A,Строчный!N:N,"ERR",0))</f>
        <v>Китай</v>
      </c>
      <c r="N54" s="104">
        <f ca="1">VALUE(_xlfn.XLOOKUP($A54,Строчный!$A:$A,Строчный!O:O,"ERR",0))</f>
        <v>2128.328</v>
      </c>
      <c r="O54" s="103" t="str">
        <f ca="1">_xlfn.XLOOKUP($A54,Строчный!$A:$A,Строчный!M:M,"ERR",0)</f>
        <v>Friedrich W. Schneider GmbH &amp; Co. KG; Oskar-Schindler-Str. 11, D 50769 Köln, Germany</v>
      </c>
      <c r="P54" s="94">
        <f ca="1">_xlfn.XLOOKUP(MID(X54,11,2),Размеры!D:D,Размеры!A:A,"ERR",0)</f>
        <v>61</v>
      </c>
      <c r="Q54" s="94">
        <f ca="1">VALUE(_xlfn.XLOOKUP($A54,Строчный!$A:$A,Строчный!R:R,"ERR",0))</f>
        <v>2</v>
      </c>
      <c r="R54" s="14" t="s">
        <v>283</v>
      </c>
      <c r="S54" s="115" t="str">
        <f t="shared" ca="1" si="6"/>
        <v>Панама STETSON арт. 2811101 BUCKET DELAVE (черный)</v>
      </c>
      <c r="T54" s="114" t="str">
        <f t="shared" ca="1" si="7"/>
        <v>Панама STETSON арт. 2811101 BUCKET DELAVE (черный) {1}</v>
      </c>
      <c r="U54" s="18" t="str">
        <f t="shared" ca="1" si="8"/>
        <v>черный</v>
      </c>
      <c r="V54" s="18" t="str">
        <f t="shared" ca="1" si="9"/>
        <v>черный</v>
      </c>
      <c r="W54" s="132" t="str">
        <f t="shared" ca="1" si="10"/>
        <v>черный</v>
      </c>
      <c r="X54" s="87" t="str">
        <f ca="1"/>
        <v>02-186-09-61</v>
      </c>
      <c r="Y54" s="89" t="str">
        <f ca="1">VLOOKUP(C54,Группа!A:B,2,FALSE)</f>
        <v>Панама</v>
      </c>
      <c r="Z54" s="111" t="str">
        <f ca="1">IFERROR(VLOOKUP(P54,Размеры!A:C,3,FALSE),"")</f>
        <v>61 XL</v>
      </c>
      <c r="AA54" s="111" t="str">
        <f ca="1">VLOOKUP(I54,ЦветПолный!A:B,2,FALSE)</f>
        <v>09</v>
      </c>
      <c r="AB54" s="111" t="str">
        <f ca="1">IFERROR(VLOOKUP(P54,Размеры!A:D,4,FALSE),"")</f>
        <v>61</v>
      </c>
      <c r="AC54" s="111">
        <f ca="1">IF(LEFT(IFERROR(VLOOKUP(LOOKUP(2,1/SEARCH(B54,Товары!A:A),Товары!A:A),Товары!A:B,2,0),""),6)=MID(X54,1,6),1,0)</f>
        <v>1</v>
      </c>
      <c r="AE54" s="111">
        <f ca="1">SUMIF(Группа!A:A,C54,Группа!C:C)</f>
        <v>1</v>
      </c>
      <c r="AF54" s="111">
        <f ca="1">SUMIF(Группа!B:B,Y54,Группа!C:C)</f>
        <v>1</v>
      </c>
      <c r="AG54" s="111">
        <f ca="1">SUMIF(Формы!A:A,D54,Формы!B:B)</f>
        <v>1</v>
      </c>
      <c r="AH54" s="111">
        <f ca="1">SUMIF(Материал!A:A,K54,Материал!B:B)</f>
        <v>1</v>
      </c>
      <c r="AI54" s="111">
        <f ca="1">SUMIF(Размеры!A:A,P54,Размеры!E:E)</f>
        <v>1</v>
      </c>
      <c r="AJ54" s="111">
        <f ca="1">SUMIF(Сезон!A:A,F54,Сезон!B:B)</f>
        <v>1</v>
      </c>
      <c r="AK54" s="111">
        <f ca="1">SUMIF(Состав!A:A,J54,Состав!B:B)</f>
        <v>0</v>
      </c>
      <c r="AL54" s="111">
        <f ca="1">SUMIF(ЦветПолный!A:A,I54,ЦветПолный!C:C)</f>
        <v>11</v>
      </c>
      <c r="AM54" s="111">
        <f ca="1">SUMIF(Цвет!A:A,W54,Цвет!B:B)</f>
        <v>1</v>
      </c>
      <c r="AN54" s="111">
        <f ca="1">SUMIF(Пол!B:B,L54,Пол!C:C)</f>
        <v>1</v>
      </c>
      <c r="AO54" s="111">
        <f ca="1">SUMIF(Марка!A:A,G54,Марка!B:B)</f>
        <v>1</v>
      </c>
      <c r="AP54" s="111">
        <f ca="1">SUMIF(Страна!A:A,M54,Страна!B:B)</f>
        <v>1</v>
      </c>
      <c r="AQ54" s="77" t="str">
        <f ca="1">IF(VLOOKUP(T54,Товары!A:B,2,FALSE)=A54,"Есть в 1С","ERR")</f>
        <v>Есть в 1С</v>
      </c>
      <c r="AR54" s="78" t="str">
        <f ca="1">IF(VLOOKUP(A54,Товары!B:B,1,FALSE)=A54,"Есть в 1С","ERR")</f>
        <v>Есть в 1С</v>
      </c>
      <c r="AS54" s="110" t="str">
        <f ca="1">VLOOKUP(T54,Товары!A:B,2,FALSE)</f>
        <v>02-186-09</v>
      </c>
      <c r="AT54" s="108" t="str">
        <f ca="1">VLOOKUP(T54,Товары!A:B,1,FALSE)</f>
        <v>Панама STETSON арт. 2811101 BUCKET DELAVE (черный) {1}</v>
      </c>
    </row>
    <row r="55" spans="1:46" x14ac:dyDescent="0.25">
      <c r="A55" s="124" t="str">
        <f t="shared" ca="1" si="5"/>
        <v>02-186-09</v>
      </c>
      <c r="B55" s="121" t="str">
        <f ca="1">UPPER(_xlfn.XLOOKUP($A55,Строчный!$A:$A,Строчный!B:B,"ERR",0))</f>
        <v>2811101 BUCKET DELAVE</v>
      </c>
      <c r="C55" s="95" t="str">
        <f ca="1">PROPER(_xlfn.XLOOKUP($A55,Строчный!$A:$A,Строчный!C:C,"ERR",0))</f>
        <v>Панамы</v>
      </c>
      <c r="D55" s="95" t="str">
        <f ca="1">_xlfn.LET(_xlpm.DATA,(_xlfn.XLOOKUP($A55,Строчный!$A:$A,Строчный!D:D,"ERR",0)),UPPER(MID(_xlpm.DATA,1,1))&amp;LOWER(MID(_xlpm.DATA,2,LEN(_xlpm.DATA)-1)))</f>
        <v>Панама</v>
      </c>
      <c r="E55" s="95" t="str">
        <f ca="1">PROPER(_xlfn.XLOOKUP($A55,Строчный!$A:$A,Строчный!E:E,"ERR",0))</f>
        <v>Stetson</v>
      </c>
      <c r="F55" s="95" t="str">
        <f ca="1">LOWER(_xlfn.XLOOKUP($A55,Строчный!$A:$A,Строчный!F:F,"ERR",0))</f>
        <v>летний</v>
      </c>
      <c r="G55" s="95" t="str">
        <f ca="1">UPPER(_xlfn.XLOOKUP($A55,Строчный!$A:$A,Строчный!G:G,"ERR",0))</f>
        <v>STETSON</v>
      </c>
      <c r="H55" s="95" t="str">
        <f ca="1">LOWER(_xlfn.XLOOKUP($A55,Строчный!$A:$A,Строчный!H:H,"ERR",0))</f>
        <v>1</v>
      </c>
      <c r="I55" s="95" t="str">
        <f ca="1">LOWER(_xlfn.XLOOKUP($A55,Строчный!$A:$A,Строчный!I:I,"ERR",0))</f>
        <v>черный</v>
      </c>
      <c r="J55" s="95" t="str">
        <f ca="1">SUBSTITUTE(LOWER(_xlfn.XLOOKUP($A55,Строчный!$A:$A,Строчный!J:J,"ERR",0)),"подклад","Подклад")</f>
        <v>100% хлопок / Подклад: 100% хлопок</v>
      </c>
      <c r="K55" s="95" t="str">
        <f ca="1">LOWER(_xlfn.XLOOKUP($A55,Строчный!$A:$A,Строчный!K:K,"ERR",0))</f>
        <v>хлопковые</v>
      </c>
      <c r="L55" s="95" t="str">
        <f ca="1">PROPER(_xlfn.XLOOKUP($A55,Строчный!$A:$A,Строчный!L:L,"ERR",0))</f>
        <v>Унисекс</v>
      </c>
      <c r="M55" s="95" t="str">
        <f ca="1">PROPER(_xlfn.XLOOKUP($A55,Строчный!$A:$A,Строчный!N:N,"ERR",0))</f>
        <v>Китай</v>
      </c>
      <c r="N55" s="104">
        <f ca="1">VALUE(_xlfn.XLOOKUP($A55,Строчный!$A:$A,Строчный!O:O,"ERR",0))</f>
        <v>2128.328</v>
      </c>
      <c r="O55" s="103" t="str">
        <f ca="1">_xlfn.XLOOKUP($A55,Строчный!$A:$A,Строчный!M:M,"ERR",0)</f>
        <v>Friedrich W. Schneider GmbH &amp; Co. KG; Oskar-Schindler-Str. 11, D 50769 Köln, Germany</v>
      </c>
      <c r="P55" s="94">
        <f ca="1">_xlfn.XLOOKUP(MID(X55,11,2),Размеры!D:D,Размеры!A:A,"ERR",0)</f>
        <v>59</v>
      </c>
      <c r="Q55" s="94">
        <f ca="1">VALUE(_xlfn.XLOOKUP($A55,Строчный!$A:$A,Строчный!R:R,"ERR",0))</f>
        <v>2</v>
      </c>
      <c r="R55" s="14" t="s">
        <v>283</v>
      </c>
      <c r="S55" s="115" t="str">
        <f t="shared" ca="1" si="6"/>
        <v>Панама STETSON арт. 2811101 BUCKET DELAVE (черный)</v>
      </c>
      <c r="T55" s="114" t="str">
        <f t="shared" ca="1" si="7"/>
        <v>Панама STETSON арт. 2811101 BUCKET DELAVE (черный) {1}</v>
      </c>
      <c r="U55" s="18" t="str">
        <f t="shared" ca="1" si="8"/>
        <v>черный</v>
      </c>
      <c r="V55" s="18" t="str">
        <f t="shared" ca="1" si="9"/>
        <v>черный</v>
      </c>
      <c r="W55" s="132" t="str">
        <f t="shared" ca="1" si="10"/>
        <v>черный</v>
      </c>
      <c r="X55" s="87" t="str">
        <f ca="1"/>
        <v>02-186-09-59</v>
      </c>
      <c r="Y55" s="89" t="str">
        <f ca="1">VLOOKUP(C55,Группа!A:B,2,FALSE)</f>
        <v>Панама</v>
      </c>
      <c r="Z55" s="111" t="str">
        <f ca="1">IFERROR(VLOOKUP(P55,Размеры!A:C,3,FALSE),"")</f>
        <v>59 L</v>
      </c>
      <c r="AA55" s="111" t="str">
        <f ca="1">VLOOKUP(I55,ЦветПолный!A:B,2,FALSE)</f>
        <v>09</v>
      </c>
      <c r="AB55" s="111" t="str">
        <f ca="1">IFERROR(VLOOKUP(P55,Размеры!A:D,4,FALSE),"")</f>
        <v>59</v>
      </c>
      <c r="AC55" s="111">
        <f ca="1">IF(LEFT(IFERROR(VLOOKUP(LOOKUP(2,1/SEARCH(B55,Товары!A:A),Товары!A:A),Товары!A:B,2,0),""),6)=MID(X55,1,6),1,0)</f>
        <v>1</v>
      </c>
      <c r="AE55" s="111">
        <f ca="1">SUMIF(Группа!A:A,C55,Группа!C:C)</f>
        <v>1</v>
      </c>
      <c r="AF55" s="111">
        <f ca="1">SUMIF(Группа!B:B,Y55,Группа!C:C)</f>
        <v>1</v>
      </c>
      <c r="AG55" s="111">
        <f ca="1">SUMIF(Формы!A:A,D55,Формы!B:B)</f>
        <v>1</v>
      </c>
      <c r="AH55" s="111">
        <f ca="1">SUMIF(Материал!A:A,K55,Материал!B:B)</f>
        <v>1</v>
      </c>
      <c r="AI55" s="111">
        <f ca="1">SUMIF(Размеры!A:A,P55,Размеры!E:E)</f>
        <v>1</v>
      </c>
      <c r="AJ55" s="111">
        <f ca="1">SUMIF(Сезон!A:A,F55,Сезон!B:B)</f>
        <v>1</v>
      </c>
      <c r="AK55" s="111">
        <f ca="1">SUMIF(Состав!A:A,J55,Состав!B:B)</f>
        <v>0</v>
      </c>
      <c r="AL55" s="111">
        <f ca="1">SUMIF(ЦветПолный!A:A,I55,ЦветПолный!C:C)</f>
        <v>11</v>
      </c>
      <c r="AM55" s="111">
        <f ca="1">SUMIF(Цвет!A:A,W55,Цвет!B:B)</f>
        <v>1</v>
      </c>
      <c r="AN55" s="111">
        <f ca="1">SUMIF(Пол!B:B,L55,Пол!C:C)</f>
        <v>1</v>
      </c>
      <c r="AO55" s="111">
        <f ca="1">SUMIF(Марка!A:A,G55,Марка!B:B)</f>
        <v>1</v>
      </c>
      <c r="AP55" s="111">
        <f ca="1">SUMIF(Страна!A:A,M55,Страна!B:B)</f>
        <v>1</v>
      </c>
      <c r="AQ55" s="77" t="str">
        <f ca="1">IF(VLOOKUP(T55,Товары!A:B,2,FALSE)=A55,"Есть в 1С","ERR")</f>
        <v>Есть в 1С</v>
      </c>
      <c r="AR55" s="78" t="str">
        <f ca="1">IF(VLOOKUP(A55,Товары!B:B,1,FALSE)=A55,"Есть в 1С","ERR")</f>
        <v>Есть в 1С</v>
      </c>
      <c r="AS55" s="110" t="str">
        <f ca="1">VLOOKUP(T55,Товары!A:B,2,FALSE)</f>
        <v>02-186-09</v>
      </c>
      <c r="AT55" s="108" t="str">
        <f ca="1">VLOOKUP(T55,Товары!A:B,1,FALSE)</f>
        <v>Панама STETSON арт. 2811101 BUCKET DELAVE (черный) {1}</v>
      </c>
    </row>
    <row r="56" spans="1:46" x14ac:dyDescent="0.25">
      <c r="A56" s="124" t="str">
        <f t="shared" ca="1" si="5"/>
        <v>02-186-09</v>
      </c>
      <c r="B56" s="121" t="str">
        <f ca="1">UPPER(_xlfn.XLOOKUP($A56,Строчный!$A:$A,Строчный!B:B,"ERR",0))</f>
        <v>2811101 BUCKET DELAVE</v>
      </c>
      <c r="C56" s="95" t="str">
        <f ca="1">PROPER(_xlfn.XLOOKUP($A56,Строчный!$A:$A,Строчный!C:C,"ERR",0))</f>
        <v>Панамы</v>
      </c>
      <c r="D56" s="95" t="str">
        <f ca="1">_xlfn.LET(_xlpm.DATA,(_xlfn.XLOOKUP($A56,Строчный!$A:$A,Строчный!D:D,"ERR",0)),UPPER(MID(_xlpm.DATA,1,1))&amp;LOWER(MID(_xlpm.DATA,2,LEN(_xlpm.DATA)-1)))</f>
        <v>Панама</v>
      </c>
      <c r="E56" s="95" t="str">
        <f ca="1">PROPER(_xlfn.XLOOKUP($A56,Строчный!$A:$A,Строчный!E:E,"ERR",0))</f>
        <v>Stetson</v>
      </c>
      <c r="F56" s="95" t="str">
        <f ca="1">LOWER(_xlfn.XLOOKUP($A56,Строчный!$A:$A,Строчный!F:F,"ERR",0))</f>
        <v>летний</v>
      </c>
      <c r="G56" s="95" t="str">
        <f ca="1">UPPER(_xlfn.XLOOKUP($A56,Строчный!$A:$A,Строчный!G:G,"ERR",0))</f>
        <v>STETSON</v>
      </c>
      <c r="H56" s="95" t="str">
        <f ca="1">LOWER(_xlfn.XLOOKUP($A56,Строчный!$A:$A,Строчный!H:H,"ERR",0))</f>
        <v>1</v>
      </c>
      <c r="I56" s="95" t="str">
        <f ca="1">LOWER(_xlfn.XLOOKUP($A56,Строчный!$A:$A,Строчный!I:I,"ERR",0))</f>
        <v>черный</v>
      </c>
      <c r="J56" s="95" t="str">
        <f ca="1">SUBSTITUTE(LOWER(_xlfn.XLOOKUP($A56,Строчный!$A:$A,Строчный!J:J,"ERR",0)),"подклад","Подклад")</f>
        <v>100% хлопок / Подклад: 100% хлопок</v>
      </c>
      <c r="K56" s="95" t="str">
        <f ca="1">LOWER(_xlfn.XLOOKUP($A56,Строчный!$A:$A,Строчный!K:K,"ERR",0))</f>
        <v>хлопковые</v>
      </c>
      <c r="L56" s="95" t="str">
        <f ca="1">PROPER(_xlfn.XLOOKUP($A56,Строчный!$A:$A,Строчный!L:L,"ERR",0))</f>
        <v>Унисекс</v>
      </c>
      <c r="M56" s="95" t="str">
        <f ca="1">PROPER(_xlfn.XLOOKUP($A56,Строчный!$A:$A,Строчный!N:N,"ERR",0))</f>
        <v>Китай</v>
      </c>
      <c r="N56" s="104">
        <f ca="1">VALUE(_xlfn.XLOOKUP($A56,Строчный!$A:$A,Строчный!O:O,"ERR",0))</f>
        <v>2128.328</v>
      </c>
      <c r="O56" s="103" t="str">
        <f ca="1">_xlfn.XLOOKUP($A56,Строчный!$A:$A,Строчный!M:M,"ERR",0)</f>
        <v>Friedrich W. Schneider GmbH &amp; Co. KG; Oskar-Schindler-Str. 11, D 50769 Köln, Germany</v>
      </c>
      <c r="P56" s="94">
        <f ca="1">_xlfn.XLOOKUP(MID(X56,11,2),Размеры!D:D,Размеры!A:A,"ERR",0)</f>
        <v>57</v>
      </c>
      <c r="Q56" s="94">
        <f ca="1">VALUE(_xlfn.XLOOKUP($A56,Строчный!$A:$A,Строчный!R:R,"ERR",0))</f>
        <v>2</v>
      </c>
      <c r="R56" s="14" t="s">
        <v>283</v>
      </c>
      <c r="S56" s="115" t="str">
        <f t="shared" ca="1" si="6"/>
        <v>Панама STETSON арт. 2811101 BUCKET DELAVE (черный)</v>
      </c>
      <c r="T56" s="114" t="str">
        <f t="shared" ca="1" si="7"/>
        <v>Панама STETSON арт. 2811101 BUCKET DELAVE (черный) {1}</v>
      </c>
      <c r="U56" s="18" t="str">
        <f t="shared" ca="1" si="8"/>
        <v>черный</v>
      </c>
      <c r="V56" s="18" t="str">
        <f t="shared" ca="1" si="9"/>
        <v>черный</v>
      </c>
      <c r="W56" s="132" t="str">
        <f t="shared" ca="1" si="10"/>
        <v>черный</v>
      </c>
      <c r="X56" s="87" t="str">
        <f ca="1"/>
        <v>02-186-09-57</v>
      </c>
      <c r="Y56" s="89" t="str">
        <f ca="1">VLOOKUP(C56,Группа!A:B,2,FALSE)</f>
        <v>Панама</v>
      </c>
      <c r="Z56" s="111" t="str">
        <f ca="1">IFERROR(VLOOKUP(P56,Размеры!A:C,3,FALSE),"")</f>
        <v>57 M</v>
      </c>
      <c r="AA56" s="111" t="str">
        <f ca="1">VLOOKUP(I56,ЦветПолный!A:B,2,FALSE)</f>
        <v>09</v>
      </c>
      <c r="AB56" s="111" t="str">
        <f ca="1">IFERROR(VLOOKUP(P56,Размеры!A:D,4,FALSE),"")</f>
        <v>57</v>
      </c>
      <c r="AC56" s="111">
        <f ca="1">IF(LEFT(IFERROR(VLOOKUP(LOOKUP(2,1/SEARCH(B56,Товары!A:A),Товары!A:A),Товары!A:B,2,0),""),6)=MID(X56,1,6),1,0)</f>
        <v>1</v>
      </c>
      <c r="AE56" s="111">
        <f ca="1">SUMIF(Группа!A:A,C56,Группа!C:C)</f>
        <v>1</v>
      </c>
      <c r="AF56" s="111">
        <f ca="1">SUMIF(Группа!B:B,Y56,Группа!C:C)</f>
        <v>1</v>
      </c>
      <c r="AG56" s="111">
        <f ca="1">SUMIF(Формы!A:A,D56,Формы!B:B)</f>
        <v>1</v>
      </c>
      <c r="AH56" s="111">
        <f ca="1">SUMIF(Материал!A:A,K56,Материал!B:B)</f>
        <v>1</v>
      </c>
      <c r="AI56" s="111">
        <f ca="1">SUMIF(Размеры!A:A,P56,Размеры!E:E)</f>
        <v>1</v>
      </c>
      <c r="AJ56" s="111">
        <f ca="1">SUMIF(Сезон!A:A,F56,Сезон!B:B)</f>
        <v>1</v>
      </c>
      <c r="AK56" s="111">
        <f ca="1">SUMIF(Состав!A:A,J56,Состав!B:B)</f>
        <v>0</v>
      </c>
      <c r="AL56" s="111">
        <f ca="1">SUMIF(ЦветПолный!A:A,I56,ЦветПолный!C:C)</f>
        <v>11</v>
      </c>
      <c r="AM56" s="111">
        <f ca="1">SUMIF(Цвет!A:A,W56,Цвет!B:B)</f>
        <v>1</v>
      </c>
      <c r="AN56" s="111">
        <f ca="1">SUMIF(Пол!B:B,L56,Пол!C:C)</f>
        <v>1</v>
      </c>
      <c r="AO56" s="111">
        <f ca="1">SUMIF(Марка!A:A,G56,Марка!B:B)</f>
        <v>1</v>
      </c>
      <c r="AP56" s="111">
        <f ca="1">SUMIF(Страна!A:A,M56,Страна!B:B)</f>
        <v>1</v>
      </c>
      <c r="AQ56" s="77" t="str">
        <f ca="1">IF(VLOOKUP(T56,Товары!A:B,2,FALSE)=A56,"Есть в 1С","ERR")</f>
        <v>Есть в 1С</v>
      </c>
      <c r="AR56" s="78" t="str">
        <f ca="1">IF(VLOOKUP(A56,Товары!B:B,1,FALSE)=A56,"Есть в 1С","ERR")</f>
        <v>Есть в 1С</v>
      </c>
      <c r="AS56" s="110" t="str">
        <f ca="1">VLOOKUP(T56,Товары!A:B,2,FALSE)</f>
        <v>02-186-09</v>
      </c>
      <c r="AT56" s="108" t="str">
        <f ca="1">VLOOKUP(T56,Товары!A:B,1,FALSE)</f>
        <v>Панама STETSON арт. 2811101 BUCKET DELAVE (черный) {1}</v>
      </c>
    </row>
    <row r="57" spans="1:46" x14ac:dyDescent="0.25">
      <c r="A57" s="124" t="str">
        <f t="shared" ca="1" si="5"/>
        <v>02-186-06</v>
      </c>
      <c r="B57" s="121" t="str">
        <f ca="1">UPPER(_xlfn.XLOOKUP($A57,Строчный!$A:$A,Строчный!B:B,"ERR",0))</f>
        <v>2811101 BUCKET DELAVE</v>
      </c>
      <c r="C57" s="95" t="str">
        <f ca="1">PROPER(_xlfn.XLOOKUP($A57,Строчный!$A:$A,Строчный!C:C,"ERR",0))</f>
        <v>Панамы</v>
      </c>
      <c r="D57" s="95" t="str">
        <f ca="1">_xlfn.LET(_xlpm.DATA,(_xlfn.XLOOKUP($A57,Строчный!$A:$A,Строчный!D:D,"ERR",0)),UPPER(MID(_xlpm.DATA,1,1))&amp;LOWER(MID(_xlpm.DATA,2,LEN(_xlpm.DATA)-1)))</f>
        <v>Панама</v>
      </c>
      <c r="E57" s="95" t="str">
        <f ca="1">PROPER(_xlfn.XLOOKUP($A57,Строчный!$A:$A,Строчный!E:E,"ERR",0))</f>
        <v>Stetson</v>
      </c>
      <c r="F57" s="95" t="str">
        <f ca="1">LOWER(_xlfn.XLOOKUP($A57,Строчный!$A:$A,Строчный!F:F,"ERR",0))</f>
        <v>летний</v>
      </c>
      <c r="G57" s="95" t="str">
        <f ca="1">UPPER(_xlfn.XLOOKUP($A57,Строчный!$A:$A,Строчный!G:G,"ERR",0))</f>
        <v>STETSON</v>
      </c>
      <c r="H57" s="95" t="str">
        <f ca="1">LOWER(_xlfn.XLOOKUP($A57,Строчный!$A:$A,Строчный!H:H,"ERR",0))</f>
        <v>2</v>
      </c>
      <c r="I57" s="95" t="str">
        <f ca="1">LOWER(_xlfn.XLOOKUP($A57,Строчный!$A:$A,Строчный!I:I,"ERR",0))</f>
        <v>синий</v>
      </c>
      <c r="J57" s="95" t="str">
        <f ca="1">SUBSTITUTE(LOWER(_xlfn.XLOOKUP($A57,Строчный!$A:$A,Строчный!J:J,"ERR",0)),"подклад","Подклад")</f>
        <v>100% хлопок / Подклад: 100% хлопок</v>
      </c>
      <c r="K57" s="95" t="str">
        <f ca="1">LOWER(_xlfn.XLOOKUP($A57,Строчный!$A:$A,Строчный!K:K,"ERR",0))</f>
        <v>хлопковые</v>
      </c>
      <c r="L57" s="95" t="str">
        <f ca="1">PROPER(_xlfn.XLOOKUP($A57,Строчный!$A:$A,Строчный!L:L,"ERR",0))</f>
        <v>Унисекс</v>
      </c>
      <c r="M57" s="95" t="str">
        <f ca="1">PROPER(_xlfn.XLOOKUP($A57,Строчный!$A:$A,Строчный!N:N,"ERR",0))</f>
        <v>Китай</v>
      </c>
      <c r="N57" s="104">
        <f ca="1">VALUE(_xlfn.XLOOKUP($A57,Строчный!$A:$A,Строчный!O:O,"ERR",0))</f>
        <v>2128.328</v>
      </c>
      <c r="O57" s="103" t="str">
        <f ca="1">_xlfn.XLOOKUP($A57,Строчный!$A:$A,Строчный!M:M,"ERR",0)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57" s="94">
        <f ca="1">_xlfn.XLOOKUP(MID(X57,11,2),Размеры!D:D,Размеры!A:A,"ERR",0)</f>
        <v>61</v>
      </c>
      <c r="Q57" s="94">
        <f ca="1">VALUE(_xlfn.XLOOKUP($A57,Строчный!$A:$A,Строчный!R:R,"ERR",0))</f>
        <v>4</v>
      </c>
      <c r="R57" s="14" t="s">
        <v>283</v>
      </c>
      <c r="S57" s="115" t="str">
        <f t="shared" ca="1" si="6"/>
        <v>Панама STETSON арт. 2811101 BUCKET DELAVE (синий)</v>
      </c>
      <c r="T57" s="114" t="str">
        <f t="shared" ca="1" si="7"/>
        <v>Панама STETSON арт. 2811101 BUCKET DELAVE (синий) {2}</v>
      </c>
      <c r="U57" s="18" t="str">
        <f t="shared" ca="1" si="8"/>
        <v>синий</v>
      </c>
      <c r="V57" s="18" t="str">
        <f t="shared" ca="1" si="9"/>
        <v>синий</v>
      </c>
      <c r="W57" s="132" t="str">
        <f t="shared" ca="1" si="10"/>
        <v>синий</v>
      </c>
      <c r="X57" s="87" t="str">
        <f ca="1"/>
        <v>02-186-06-61</v>
      </c>
      <c r="Y57" s="89" t="str">
        <f ca="1">VLOOKUP(C57,Группа!A:B,2,FALSE)</f>
        <v>Панама</v>
      </c>
      <c r="Z57" s="111" t="str">
        <f ca="1">IFERROR(VLOOKUP(P57,Размеры!A:C,3,FALSE),"")</f>
        <v>61 XL</v>
      </c>
      <c r="AA57" s="111" t="str">
        <f ca="1">VLOOKUP(I57,ЦветПолный!A:B,2,FALSE)</f>
        <v>06</v>
      </c>
      <c r="AB57" s="111" t="str">
        <f ca="1">IFERROR(VLOOKUP(P57,Размеры!A:D,4,FALSE),"")</f>
        <v>61</v>
      </c>
      <c r="AC57" s="111">
        <f ca="1">IF(LEFT(IFERROR(VLOOKUP(LOOKUP(2,1/SEARCH(B57,Товары!A:A),Товары!A:A),Товары!A:B,2,0),""),6)=MID(X57,1,6),1,0)</f>
        <v>1</v>
      </c>
      <c r="AE57" s="111">
        <f ca="1">SUMIF(Группа!A:A,C57,Группа!C:C)</f>
        <v>1</v>
      </c>
      <c r="AF57" s="111">
        <f ca="1">SUMIF(Группа!B:B,Y57,Группа!C:C)</f>
        <v>1</v>
      </c>
      <c r="AG57" s="111">
        <f ca="1">SUMIF(Формы!A:A,D57,Формы!B:B)</f>
        <v>1</v>
      </c>
      <c r="AH57" s="111">
        <f ca="1">SUMIF(Материал!A:A,K57,Материал!B:B)</f>
        <v>1</v>
      </c>
      <c r="AI57" s="111">
        <f ca="1">SUMIF(Размеры!A:A,P57,Размеры!E:E)</f>
        <v>1</v>
      </c>
      <c r="AJ57" s="111">
        <f ca="1">SUMIF(Сезон!A:A,F57,Сезон!B:B)</f>
        <v>1</v>
      </c>
      <c r="AK57" s="111">
        <f ca="1">SUMIF(Состав!A:A,J57,Состав!B:B)</f>
        <v>0</v>
      </c>
      <c r="AL57" s="111">
        <f ca="1">SUMIF(ЦветПолный!A:A,I57,ЦветПолный!C:C)</f>
        <v>8</v>
      </c>
      <c r="AM57" s="111">
        <f ca="1">SUMIF(Цвет!A:A,W57,Цвет!B:B)</f>
        <v>1</v>
      </c>
      <c r="AN57" s="111">
        <f ca="1">SUMIF(Пол!B:B,L57,Пол!C:C)</f>
        <v>1</v>
      </c>
      <c r="AO57" s="111">
        <f ca="1">SUMIF(Марка!A:A,G57,Марка!B:B)</f>
        <v>1</v>
      </c>
      <c r="AP57" s="111">
        <f ca="1">SUMIF(Страна!A:A,M57,Страна!B:B)</f>
        <v>1</v>
      </c>
      <c r="AQ57" s="77" t="e">
        <f ca="1">IF(VLOOKUP(T57,Товары!A:B,2,FALSE)=A57,"Есть в 1С","ERR")</f>
        <v>#N/A</v>
      </c>
      <c r="AR57" s="78" t="e">
        <f ca="1">IF(VLOOKUP(A57,Товары!B:B,1,FALSE)=A57,"Есть в 1С","ERR")</f>
        <v>#N/A</v>
      </c>
      <c r="AS57" s="110" t="e">
        <f ca="1">VLOOKUP(T57,Товары!A:B,2,FALSE)</f>
        <v>#N/A</v>
      </c>
      <c r="AT57" s="108" t="e">
        <f ca="1">VLOOKUP(T57,Товары!A:B,1,FALSE)</f>
        <v>#N/A</v>
      </c>
    </row>
    <row r="58" spans="1:46" x14ac:dyDescent="0.25">
      <c r="A58" s="124" t="str">
        <f t="shared" ca="1" si="5"/>
        <v>02-186-06</v>
      </c>
      <c r="B58" s="121" t="str">
        <f ca="1">UPPER(_xlfn.XLOOKUP($A58,Строчный!$A:$A,Строчный!B:B,"ERR",0))</f>
        <v>2811101 BUCKET DELAVE</v>
      </c>
      <c r="C58" s="95" t="str">
        <f ca="1">PROPER(_xlfn.XLOOKUP($A58,Строчный!$A:$A,Строчный!C:C,"ERR",0))</f>
        <v>Панамы</v>
      </c>
      <c r="D58" s="95" t="str">
        <f ca="1">_xlfn.LET(_xlpm.DATA,(_xlfn.XLOOKUP($A58,Строчный!$A:$A,Строчный!D:D,"ERR",0)),UPPER(MID(_xlpm.DATA,1,1))&amp;LOWER(MID(_xlpm.DATA,2,LEN(_xlpm.DATA)-1)))</f>
        <v>Панама</v>
      </c>
      <c r="E58" s="95" t="str">
        <f ca="1">PROPER(_xlfn.XLOOKUP($A58,Строчный!$A:$A,Строчный!E:E,"ERR",0))</f>
        <v>Stetson</v>
      </c>
      <c r="F58" s="95" t="str">
        <f ca="1">LOWER(_xlfn.XLOOKUP($A58,Строчный!$A:$A,Строчный!F:F,"ERR",0))</f>
        <v>летний</v>
      </c>
      <c r="G58" s="95" t="str">
        <f ca="1">UPPER(_xlfn.XLOOKUP($A58,Строчный!$A:$A,Строчный!G:G,"ERR",0))</f>
        <v>STETSON</v>
      </c>
      <c r="H58" s="95" t="str">
        <f ca="1">LOWER(_xlfn.XLOOKUP($A58,Строчный!$A:$A,Строчный!H:H,"ERR",0))</f>
        <v>2</v>
      </c>
      <c r="I58" s="95" t="str">
        <f ca="1">LOWER(_xlfn.XLOOKUP($A58,Строчный!$A:$A,Строчный!I:I,"ERR",0))</f>
        <v>синий</v>
      </c>
      <c r="J58" s="95" t="str">
        <f ca="1">SUBSTITUTE(LOWER(_xlfn.XLOOKUP($A58,Строчный!$A:$A,Строчный!J:J,"ERR",0)),"подклад","Подклад")</f>
        <v>100% хлопок / Подклад: 100% хлопок</v>
      </c>
      <c r="K58" s="95" t="str">
        <f ca="1">LOWER(_xlfn.XLOOKUP($A58,Строчный!$A:$A,Строчный!K:K,"ERR",0))</f>
        <v>хлопковые</v>
      </c>
      <c r="L58" s="95" t="str">
        <f ca="1">PROPER(_xlfn.XLOOKUP($A58,Строчный!$A:$A,Строчный!L:L,"ERR",0))</f>
        <v>Унисекс</v>
      </c>
      <c r="M58" s="95" t="str">
        <f ca="1">PROPER(_xlfn.XLOOKUP($A58,Строчный!$A:$A,Строчный!N:N,"ERR",0))</f>
        <v>Китай</v>
      </c>
      <c r="N58" s="104">
        <f ca="1">VALUE(_xlfn.XLOOKUP($A58,Строчный!$A:$A,Строчный!O:O,"ERR",0))</f>
        <v>2128.328</v>
      </c>
      <c r="O58" s="103" t="str">
        <f ca="1">_xlfn.XLOOKUP($A58,Строчный!$A:$A,Строчный!M:M,"ERR",0)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P58" s="94">
        <f ca="1">_xlfn.XLOOKUP(MID(X58,11,2),Размеры!D:D,Размеры!A:A,"ERR",0)</f>
        <v>59</v>
      </c>
      <c r="Q58" s="94">
        <f ca="1">VALUE(_xlfn.XLOOKUP($A58,Строчный!$A:$A,Строчный!R:R,"ERR",0))</f>
        <v>4</v>
      </c>
      <c r="R58" s="14" t="s">
        <v>283</v>
      </c>
      <c r="S58" s="115" t="str">
        <f t="shared" ca="1" si="6"/>
        <v>Панама STETSON арт. 2811101 BUCKET DELAVE (синий)</v>
      </c>
      <c r="T58" s="114" t="str">
        <f t="shared" ca="1" si="7"/>
        <v>Панама STETSON арт. 2811101 BUCKET DELAVE (синий) {2}</v>
      </c>
      <c r="U58" s="18" t="str">
        <f t="shared" ca="1" si="8"/>
        <v>синий</v>
      </c>
      <c r="V58" s="18" t="str">
        <f t="shared" ca="1" si="9"/>
        <v>синий</v>
      </c>
      <c r="W58" s="132" t="str">
        <f t="shared" ca="1" si="10"/>
        <v>синий</v>
      </c>
      <c r="X58" s="87" t="str">
        <f ca="1"/>
        <v>02-186-06-59</v>
      </c>
      <c r="Y58" s="89" t="str">
        <f ca="1">VLOOKUP(C58,Группа!A:B,2,FALSE)</f>
        <v>Панама</v>
      </c>
      <c r="Z58" s="111" t="str">
        <f ca="1">IFERROR(VLOOKUP(P58,Размеры!A:C,3,FALSE),"")</f>
        <v>59 L</v>
      </c>
      <c r="AA58" s="111" t="str">
        <f ca="1">VLOOKUP(I58,ЦветПолный!A:B,2,FALSE)</f>
        <v>06</v>
      </c>
      <c r="AB58" s="111" t="str">
        <f ca="1">IFERROR(VLOOKUP(P58,Размеры!A:D,4,FALSE),"")</f>
        <v>59</v>
      </c>
      <c r="AC58" s="111">
        <f ca="1">IF(LEFT(IFERROR(VLOOKUP(LOOKUP(2,1/SEARCH(B58,Товары!A:A),Товары!A:A),Товары!A:B,2,0),""),6)=MID(X58,1,6),1,0)</f>
        <v>1</v>
      </c>
      <c r="AE58" s="111">
        <f ca="1">SUMIF(Группа!A:A,C58,Группа!C:C)</f>
        <v>1</v>
      </c>
      <c r="AF58" s="111">
        <f ca="1">SUMIF(Группа!B:B,Y58,Группа!C:C)</f>
        <v>1</v>
      </c>
      <c r="AG58" s="111">
        <f ca="1">SUMIF(Формы!A:A,D58,Формы!B:B)</f>
        <v>1</v>
      </c>
      <c r="AH58" s="111">
        <f ca="1">SUMIF(Материал!A:A,K58,Материал!B:B)</f>
        <v>1</v>
      </c>
      <c r="AI58" s="111">
        <f ca="1">SUMIF(Размеры!A:A,P58,Размеры!E:E)</f>
        <v>1</v>
      </c>
      <c r="AJ58" s="111">
        <f ca="1">SUMIF(Сезон!A:A,F58,Сезон!B:B)</f>
        <v>1</v>
      </c>
      <c r="AK58" s="111">
        <f ca="1">SUMIF(Состав!A:A,J58,Состав!B:B)</f>
        <v>0</v>
      </c>
      <c r="AL58" s="111">
        <f ca="1">SUMIF(ЦветПолный!A:A,I58,ЦветПолный!C:C)</f>
        <v>8</v>
      </c>
      <c r="AM58" s="111">
        <f ca="1">SUMIF(Цвет!A:A,W58,Цвет!B:B)</f>
        <v>1</v>
      </c>
      <c r="AN58" s="111">
        <f ca="1">SUMIF(Пол!B:B,L58,Пол!C:C)</f>
        <v>1</v>
      </c>
      <c r="AO58" s="111">
        <f ca="1">SUMIF(Марка!A:A,G58,Марка!B:B)</f>
        <v>1</v>
      </c>
      <c r="AP58" s="111">
        <f ca="1">SUMIF(Страна!A:A,M58,Страна!B:B)</f>
        <v>1</v>
      </c>
      <c r="AQ58" s="77" t="e">
        <f ca="1">IF(VLOOKUP(T58,Товары!A:B,2,FALSE)=A58,"Есть в 1С","ERR")</f>
        <v>#N/A</v>
      </c>
      <c r="AR58" s="78" t="e">
        <f ca="1">IF(VLOOKUP(A58,Товары!B:B,1,FALSE)=A58,"Есть в 1С","ERR")</f>
        <v>#N/A</v>
      </c>
      <c r="AS58" s="110" t="e">
        <f ca="1">VLOOKUP(T58,Товары!A:B,2,FALSE)</f>
        <v>#N/A</v>
      </c>
      <c r="AT58" s="108" t="e">
        <f ca="1">VLOOKUP(T58,Товары!A:B,1,FALSE)</f>
        <v>#N/A</v>
      </c>
    </row>
    <row r="59" spans="1:46" x14ac:dyDescent="0.25">
      <c r="A59" s="124" t="str">
        <f t="shared" ca="1" si="5"/>
        <v>02-186-03</v>
      </c>
      <c r="B59" s="121" t="str">
        <f ca="1">UPPER(_xlfn.XLOOKUP($A59,Строчный!$A:$A,Строчный!B:B,"ERR",0))</f>
        <v>2811101 BUCKET DELAVE</v>
      </c>
      <c r="C59" s="95" t="str">
        <f ca="1">PROPER(_xlfn.XLOOKUP($A59,Строчный!$A:$A,Строчный!C:C,"ERR",0))</f>
        <v>Панамы</v>
      </c>
      <c r="D59" s="95" t="str">
        <f ca="1">_xlfn.LET(_xlpm.DATA,(_xlfn.XLOOKUP($A59,Строчный!$A:$A,Строчный!D:D,"ERR",0)),UPPER(MID(_xlpm.DATA,1,1))&amp;LOWER(MID(_xlpm.DATA,2,LEN(_xlpm.DATA)-1)))</f>
        <v>Панама</v>
      </c>
      <c r="E59" s="95" t="str">
        <f ca="1">PROPER(_xlfn.XLOOKUP($A59,Строчный!$A:$A,Строчный!E:E,"ERR",0))</f>
        <v>Stetson</v>
      </c>
      <c r="F59" s="95" t="str">
        <f ca="1">LOWER(_xlfn.XLOOKUP($A59,Строчный!$A:$A,Строчный!F:F,"ERR",0))</f>
        <v>летний</v>
      </c>
      <c r="G59" s="95" t="str">
        <f ca="1">UPPER(_xlfn.XLOOKUP($A59,Строчный!$A:$A,Строчный!G:G,"ERR",0))</f>
        <v>STETSON</v>
      </c>
      <c r="H59" s="95" t="str">
        <f ca="1">LOWER(_xlfn.XLOOKUP($A59,Строчный!$A:$A,Строчный!H:H,"ERR",0))</f>
        <v>61</v>
      </c>
      <c r="I59" s="95" t="str">
        <f ca="1">LOWER(_xlfn.XLOOKUP($A59,Строчный!$A:$A,Строчный!I:I,"ERR",0))</f>
        <v>оливковый</v>
      </c>
      <c r="J59" s="95" t="str">
        <f ca="1">SUBSTITUTE(LOWER(_xlfn.XLOOKUP($A59,Строчный!$A:$A,Строчный!J:J,"ERR",0)),"подклад","Подклад")</f>
        <v>100% хлопок / Подклад: 100% хлопок</v>
      </c>
      <c r="K59" s="95" t="str">
        <f ca="1">LOWER(_xlfn.XLOOKUP($A59,Строчный!$A:$A,Строчный!K:K,"ERR",0))</f>
        <v>хлопковые</v>
      </c>
      <c r="L59" s="95" t="str">
        <f ca="1">PROPER(_xlfn.XLOOKUP($A59,Строчный!$A:$A,Строчный!L:L,"ERR",0))</f>
        <v>Унисекс</v>
      </c>
      <c r="M59" s="95" t="str">
        <f ca="1">PROPER(_xlfn.XLOOKUP($A59,Строчный!$A:$A,Строчный!N:N,"ERR",0))</f>
        <v>Китай</v>
      </c>
      <c r="N59" s="104">
        <f ca="1">VALUE(_xlfn.XLOOKUP($A59,Строчный!$A:$A,Строчный!O:O,"ERR",0))</f>
        <v>2128.328</v>
      </c>
      <c r="O59" s="103" t="str">
        <f ca="1">_xlfn.XLOOKUP($A59,Строчный!$A:$A,Строчный!M:M,"ERR",0)</f>
        <v>Friedrich W. Schneider GmbH &amp; Co. KG; Oskar-Schindler-Str. 11, D 50769 Köln, Germany</v>
      </c>
      <c r="P59" s="94">
        <f ca="1">_xlfn.XLOOKUP(MID(X59,11,2),Размеры!D:D,Размеры!A:A,"ERR",0)</f>
        <v>61</v>
      </c>
      <c r="Q59" s="94">
        <f ca="1">VALUE(_xlfn.XLOOKUP($A59,Строчный!$A:$A,Строчный!R:R,"ERR",0))</f>
        <v>13</v>
      </c>
      <c r="R59" s="14" t="s">
        <v>283</v>
      </c>
      <c r="S59" s="115" t="str">
        <f t="shared" ca="1" si="6"/>
        <v>Панама STETSON арт. 2811101 BUCKET DELAVE (оливковый)</v>
      </c>
      <c r="T59" s="114" t="str">
        <f t="shared" ca="1" si="7"/>
        <v>Панама STETSON арт. 2811101 BUCKET DELAVE (оливковый) {61}</v>
      </c>
      <c r="U59" s="18" t="str">
        <f t="shared" ca="1" si="8"/>
        <v>оливковый</v>
      </c>
      <c r="V59" s="18" t="str">
        <f t="shared" ca="1" si="9"/>
        <v>оливковый</v>
      </c>
      <c r="W59" s="132" t="str">
        <f t="shared" ca="1" si="10"/>
        <v>оливковый</v>
      </c>
      <c r="X59" s="87" t="str">
        <f ca="1"/>
        <v>02-186-03-61</v>
      </c>
      <c r="Y59" s="89" t="str">
        <f ca="1">VLOOKUP(C59,Группа!A:B,2,FALSE)</f>
        <v>Панама</v>
      </c>
      <c r="Z59" s="111" t="str">
        <f ca="1">IFERROR(VLOOKUP(P59,Размеры!A:C,3,FALSE),"")</f>
        <v>61 XL</v>
      </c>
      <c r="AA59" s="111" t="str">
        <f ca="1">VLOOKUP(I59,ЦветПолный!A:B,2,FALSE)</f>
        <v>03</v>
      </c>
      <c r="AB59" s="111" t="str">
        <f ca="1">IFERROR(VLOOKUP(P59,Размеры!A:D,4,FALSE),"")</f>
        <v>61</v>
      </c>
      <c r="AC59" s="111">
        <f ca="1">IF(LEFT(IFERROR(VLOOKUP(LOOKUP(2,1/SEARCH(B59,Товары!A:A),Товары!A:A),Товары!A:B,2,0),""),6)=MID(X59,1,6),1,0)</f>
        <v>1</v>
      </c>
      <c r="AE59" s="111">
        <f ca="1">SUMIF(Группа!A:A,C59,Группа!C:C)</f>
        <v>1</v>
      </c>
      <c r="AF59" s="111">
        <f ca="1">SUMIF(Группа!B:B,Y59,Группа!C:C)</f>
        <v>1</v>
      </c>
      <c r="AG59" s="111">
        <f ca="1">SUMIF(Формы!A:A,D59,Формы!B:B)</f>
        <v>1</v>
      </c>
      <c r="AH59" s="111">
        <f ca="1">SUMIF(Материал!A:A,K59,Материал!B:B)</f>
        <v>1</v>
      </c>
      <c r="AI59" s="111">
        <f ca="1">SUMIF(Размеры!A:A,P59,Размеры!E:E)</f>
        <v>1</v>
      </c>
      <c r="AJ59" s="111">
        <f ca="1">SUMIF(Сезон!A:A,F59,Сезон!B:B)</f>
        <v>1</v>
      </c>
      <c r="AK59" s="111">
        <f ca="1">SUMIF(Состав!A:A,J59,Состав!B:B)</f>
        <v>0</v>
      </c>
      <c r="AL59" s="111">
        <f ca="1">SUMIF(ЦветПолный!A:A,I59,ЦветПолный!C:C)</f>
        <v>7</v>
      </c>
      <c r="AM59" s="111">
        <f ca="1">SUMIF(Цвет!A:A,W59,Цвет!B:B)</f>
        <v>1</v>
      </c>
      <c r="AN59" s="111">
        <f ca="1">SUMIF(Пол!B:B,L59,Пол!C:C)</f>
        <v>1</v>
      </c>
      <c r="AO59" s="111">
        <f ca="1">SUMIF(Марка!A:A,G59,Марка!B:B)</f>
        <v>1</v>
      </c>
      <c r="AP59" s="111">
        <f ca="1">SUMIF(Страна!A:A,M59,Страна!B:B)</f>
        <v>1</v>
      </c>
      <c r="AQ59" s="77" t="str">
        <f ca="1">IF(VLOOKUP(T59,Товары!A:B,2,FALSE)=A59,"Есть в 1С","ERR")</f>
        <v>Есть в 1С</v>
      </c>
      <c r="AR59" s="78" t="str">
        <f ca="1">IF(VLOOKUP(A59,Товары!B:B,1,FALSE)=A59,"Есть в 1С","ERR")</f>
        <v>Есть в 1С</v>
      </c>
      <c r="AS59" s="110" t="str">
        <f ca="1">VLOOKUP(T59,Товары!A:B,2,FALSE)</f>
        <v>02-186-03</v>
      </c>
      <c r="AT59" s="108" t="str">
        <f ca="1">VLOOKUP(T59,Товары!A:B,1,FALSE)</f>
        <v>Панама STETSON арт. 2811101 BUCKET DELAVE (оливковый) {61}</v>
      </c>
    </row>
    <row r="60" spans="1:46" x14ac:dyDescent="0.25">
      <c r="A60" s="124" t="str">
        <f t="shared" ca="1" si="5"/>
        <v>02-186-03</v>
      </c>
      <c r="B60" s="121" t="str">
        <f ca="1">UPPER(_xlfn.XLOOKUP($A60,Строчный!$A:$A,Строчный!B:B,"ERR",0))</f>
        <v>2811101 BUCKET DELAVE</v>
      </c>
      <c r="C60" s="95" t="str">
        <f ca="1">PROPER(_xlfn.XLOOKUP($A60,Строчный!$A:$A,Строчный!C:C,"ERR",0))</f>
        <v>Панамы</v>
      </c>
      <c r="D60" s="95" t="str">
        <f ca="1">_xlfn.LET(_xlpm.DATA,(_xlfn.XLOOKUP($A60,Строчный!$A:$A,Строчный!D:D,"ERR",0)),UPPER(MID(_xlpm.DATA,1,1))&amp;LOWER(MID(_xlpm.DATA,2,LEN(_xlpm.DATA)-1)))</f>
        <v>Панама</v>
      </c>
      <c r="E60" s="95" t="str">
        <f ca="1">PROPER(_xlfn.XLOOKUP($A60,Строчный!$A:$A,Строчный!E:E,"ERR",0))</f>
        <v>Stetson</v>
      </c>
      <c r="F60" s="95" t="str">
        <f ca="1">LOWER(_xlfn.XLOOKUP($A60,Строчный!$A:$A,Строчный!F:F,"ERR",0))</f>
        <v>летний</v>
      </c>
      <c r="G60" s="95" t="str">
        <f ca="1">UPPER(_xlfn.XLOOKUP($A60,Строчный!$A:$A,Строчный!G:G,"ERR",0))</f>
        <v>STETSON</v>
      </c>
      <c r="H60" s="95" t="str">
        <f ca="1">LOWER(_xlfn.XLOOKUP($A60,Строчный!$A:$A,Строчный!H:H,"ERR",0))</f>
        <v>61</v>
      </c>
      <c r="I60" s="95" t="str">
        <f ca="1">LOWER(_xlfn.XLOOKUP($A60,Строчный!$A:$A,Строчный!I:I,"ERR",0))</f>
        <v>оливковый</v>
      </c>
      <c r="J60" s="95" t="str">
        <f ca="1">SUBSTITUTE(LOWER(_xlfn.XLOOKUP($A60,Строчный!$A:$A,Строчный!J:J,"ERR",0)),"подклад","Подклад")</f>
        <v>100% хлопок / Подклад: 100% хлопок</v>
      </c>
      <c r="K60" s="95" t="str">
        <f ca="1">LOWER(_xlfn.XLOOKUP($A60,Строчный!$A:$A,Строчный!K:K,"ERR",0))</f>
        <v>хлопковые</v>
      </c>
      <c r="L60" s="95" t="str">
        <f ca="1">PROPER(_xlfn.XLOOKUP($A60,Строчный!$A:$A,Строчный!L:L,"ERR",0))</f>
        <v>Унисекс</v>
      </c>
      <c r="M60" s="95" t="str">
        <f ca="1">PROPER(_xlfn.XLOOKUP($A60,Строчный!$A:$A,Строчный!N:N,"ERR",0))</f>
        <v>Китай</v>
      </c>
      <c r="N60" s="104">
        <f ca="1">VALUE(_xlfn.XLOOKUP($A60,Строчный!$A:$A,Строчный!O:O,"ERR",0))</f>
        <v>2128.328</v>
      </c>
      <c r="O60" s="103" t="str">
        <f ca="1">_xlfn.XLOOKUP($A60,Строчный!$A:$A,Строчный!M:M,"ERR",0)</f>
        <v>Friedrich W. Schneider GmbH &amp; Co. KG; Oskar-Schindler-Str. 11, D 50769 Köln, Germany</v>
      </c>
      <c r="P60" s="94">
        <f ca="1">_xlfn.XLOOKUP(MID(X60,11,2),Размеры!D:D,Размеры!A:A,"ERR",0)</f>
        <v>59</v>
      </c>
      <c r="Q60" s="94">
        <f ca="1">VALUE(_xlfn.XLOOKUP($A60,Строчный!$A:$A,Строчный!R:R,"ERR",0))</f>
        <v>13</v>
      </c>
      <c r="R60" s="14" t="s">
        <v>283</v>
      </c>
      <c r="S60" s="115" t="str">
        <f t="shared" ref="S60:S64" ca="1" si="11">CONCATENATE(Y60," ",G60," арт. ",B60," (",I60,")")</f>
        <v>Панама STETSON арт. 2811101 BUCKET DELAVE (оливковый)</v>
      </c>
      <c r="T60" s="114" t="str">
        <f t="shared" ref="T60:T64" ca="1" si="12">CONCATENATE(Y60," ",G60," арт. ",B60," (",I60,") {",H60,"}")</f>
        <v>Панама STETSON арт. 2811101 BUCKET DELAVE (оливковый) {61}</v>
      </c>
      <c r="U60" s="18" t="str">
        <f t="shared" ref="U60:U64" ca="1" si="13">IFERROR(MID(I60,FIND("-",I60)+1,LEN(I60)),IFERROR(MID(I60,1,FIND("/",I60)-2),I60))</f>
        <v>оливковый</v>
      </c>
      <c r="V60" s="18" t="str">
        <f t="shared" ref="V60:V64" ca="1" si="14">IFERROR(MID(I60,FIND("-",I60)+1,LEN(I60)),IFERROR(MID(I60,FIND("/",I60)+2,LEN(I60)),I60))</f>
        <v>оливковый</v>
      </c>
      <c r="W60" s="132" t="str">
        <f t="shared" ref="W60:W64" ca="1" si="15">IFERROR(MID(I60,FIND("-",I60)+1,LEN(I60)),IFERROR(MID(I60,1,FIND("/",I60)-2),I60))</f>
        <v>оливковый</v>
      </c>
      <c r="X60" s="87" t="str">
        <f ca="1"/>
        <v>02-186-03-59</v>
      </c>
      <c r="Y60" s="89" t="str">
        <f ca="1">VLOOKUP(C60,Группа!A:B,2,FALSE)</f>
        <v>Панама</v>
      </c>
      <c r="Z60" s="111" t="str">
        <f ca="1">IFERROR(VLOOKUP(P60,Размеры!A:C,3,FALSE),"")</f>
        <v>59 L</v>
      </c>
      <c r="AA60" s="111" t="str">
        <f ca="1">VLOOKUP(I60,ЦветПолный!A:B,2,FALSE)</f>
        <v>03</v>
      </c>
      <c r="AB60" s="111" t="str">
        <f ca="1">IFERROR(VLOOKUP(P60,Размеры!A:D,4,FALSE),"")</f>
        <v>59</v>
      </c>
      <c r="AC60" s="111">
        <f ca="1">IF(LEFT(IFERROR(VLOOKUP(LOOKUP(2,1/SEARCH(B60,Товары!A:A),Товары!A:A),Товары!A:B,2,0),""),6)=MID(X60,1,6),1,0)</f>
        <v>1</v>
      </c>
      <c r="AE60" s="111">
        <f ca="1">SUMIF(Группа!A:A,C60,Группа!C:C)</f>
        <v>1</v>
      </c>
      <c r="AF60" s="111">
        <f ca="1">SUMIF(Группа!B:B,Y60,Группа!C:C)</f>
        <v>1</v>
      </c>
      <c r="AG60" s="111">
        <f ca="1">SUMIF(Формы!A:A,D60,Формы!B:B)</f>
        <v>1</v>
      </c>
      <c r="AH60" s="111">
        <f ca="1">SUMIF(Материал!A:A,K60,Материал!B:B)</f>
        <v>1</v>
      </c>
      <c r="AI60" s="111">
        <f ca="1">SUMIF(Размеры!A:A,P60,Размеры!E:E)</f>
        <v>1</v>
      </c>
      <c r="AJ60" s="111">
        <f ca="1">SUMIF(Сезон!A:A,F60,Сезон!B:B)</f>
        <v>1</v>
      </c>
      <c r="AK60" s="111">
        <f ca="1">SUMIF(Состав!A:A,J60,Состав!B:B)</f>
        <v>0</v>
      </c>
      <c r="AL60" s="111">
        <f ca="1">SUMIF(ЦветПолный!A:A,I60,ЦветПолный!C:C)</f>
        <v>7</v>
      </c>
      <c r="AM60" s="111">
        <f ca="1">SUMIF(Цвет!A:A,W60,Цвет!B:B)</f>
        <v>1</v>
      </c>
      <c r="AN60" s="111">
        <f ca="1">SUMIF(Пол!B:B,L60,Пол!C:C)</f>
        <v>1</v>
      </c>
      <c r="AO60" s="111">
        <f ca="1">SUMIF(Марка!A:A,G60,Марка!B:B)</f>
        <v>1</v>
      </c>
      <c r="AP60" s="111">
        <f ca="1">SUMIF(Страна!A:A,M60,Страна!B:B)</f>
        <v>1</v>
      </c>
      <c r="AQ60" s="77" t="str">
        <f ca="1">IF(VLOOKUP(T60,Товары!A:B,2,FALSE)=A60,"Есть в 1С","ERR")</f>
        <v>Есть в 1С</v>
      </c>
      <c r="AR60" s="78" t="str">
        <f ca="1">IF(VLOOKUP(A60,Товары!B:B,1,FALSE)=A60,"Есть в 1С","ERR")</f>
        <v>Есть в 1С</v>
      </c>
      <c r="AS60" s="110" t="str">
        <f ca="1">VLOOKUP(T60,Товары!A:B,2,FALSE)</f>
        <v>02-186-03</v>
      </c>
      <c r="AT60" s="108" t="str">
        <f ca="1">VLOOKUP(T60,Товары!A:B,1,FALSE)</f>
        <v>Панама STETSON арт. 2811101 BUCKET DELAVE (оливковый) {61}</v>
      </c>
    </row>
    <row r="61" spans="1:46" x14ac:dyDescent="0.25">
      <c r="A61" s="124" t="str">
        <f t="shared" ca="1" si="5"/>
        <v>02-181-06</v>
      </c>
      <c r="B61" s="121" t="str">
        <f ca="1">UPPER(_xlfn.XLOOKUP($A61,Строчный!$A:$A,Строчный!B:B,"ERR",0))</f>
        <v>2541109 TRAVELLER COTTON</v>
      </c>
      <c r="C61" s="95" t="str">
        <f ca="1">PROPER(_xlfn.XLOOKUP($A61,Строчный!$A:$A,Строчный!C:C,"ERR",0))</f>
        <v>Шляпы</v>
      </c>
      <c r="D61" s="95" t="str">
        <f ca="1">_xlfn.LET(_xlpm.DATA,(_xlfn.XLOOKUP($A61,Строчный!$A:$A,Строчный!D:D,"ERR",0)),UPPER(MID(_xlpm.DATA,1,1))&amp;LOWER(MID(_xlpm.DATA,2,LEN(_xlpm.DATA)-1)))</f>
        <v>Шляпа федора</v>
      </c>
      <c r="E61" s="95" t="str">
        <f ca="1">PROPER(_xlfn.XLOOKUP($A61,Строчный!$A:$A,Строчный!E:E,"ERR",0))</f>
        <v>Stetson</v>
      </c>
      <c r="F61" s="95" t="str">
        <f ca="1">LOWER(_xlfn.XLOOKUP($A61,Строчный!$A:$A,Строчный!F:F,"ERR",0))</f>
        <v>летний</v>
      </c>
      <c r="G61" s="95" t="str">
        <f ca="1">UPPER(_xlfn.XLOOKUP($A61,Строчный!$A:$A,Строчный!G:G,"ERR",0))</f>
        <v>STETSON</v>
      </c>
      <c r="H61" s="95" t="str">
        <f ca="1">LOWER(_xlfn.XLOOKUP($A61,Строчный!$A:$A,Строчный!H:H,"ERR",0))</f>
        <v>23</v>
      </c>
      <c r="I61" s="95" t="str">
        <f ca="1">LOWER(_xlfn.XLOOKUP($A61,Строчный!$A:$A,Строчный!I:I,"ERR",0))</f>
        <v>синий</v>
      </c>
      <c r="J61" s="95" t="str">
        <f ca="1">SUBSTITUTE(LOWER(_xlfn.XLOOKUP($A61,Строчный!$A:$A,Строчный!J:J,"ERR",0)),"подклад","Подклад")</f>
        <v>100% хлопок / Подклад: 100% хлопок</v>
      </c>
      <c r="K61" s="95" t="str">
        <f ca="1">LOWER(_xlfn.XLOOKUP($A61,Строчный!$A:$A,Строчный!K:K,"ERR",0))</f>
        <v>хлопковые</v>
      </c>
      <c r="L61" s="95" t="str">
        <f ca="1">PROPER(_xlfn.XLOOKUP($A61,Строчный!$A:$A,Строчный!L:L,"ERR",0))</f>
        <v>Унисекс</v>
      </c>
      <c r="M61" s="95" t="str">
        <f ca="1">PROPER(_xlfn.XLOOKUP($A61,Строчный!$A:$A,Строчный!N:N,"ERR",0))</f>
        <v>Шри-Ланка</v>
      </c>
      <c r="N61" s="104">
        <f ca="1">VALUE(_xlfn.XLOOKUP($A61,Строчный!$A:$A,Строчный!O:O,"ERR",0))</f>
        <v>1811.8479999999997</v>
      </c>
      <c r="O61" s="103" t="str">
        <f ca="1">_xlfn.XLOOKUP($A61,Строчный!$A:$A,Строчный!M:M,"ERR",0)</f>
        <v>Friedrich W. Schneider GmbH &amp; Co. KG; Oskar-Schindler-Str. 11, D 50769 Köln, Germany</v>
      </c>
      <c r="P61" s="94">
        <f ca="1">_xlfn.XLOOKUP(MID(X61,11,2),Размеры!D:D,Размеры!A:A,"ERR",0)</f>
        <v>61</v>
      </c>
      <c r="Q61" s="94">
        <f ca="1">VALUE(_xlfn.XLOOKUP($A61,Строчный!$A:$A,Строчный!R:R,"ERR",0))</f>
        <v>3</v>
      </c>
      <c r="R61" s="14" t="s">
        <v>283</v>
      </c>
      <c r="S61" s="115" t="str">
        <f t="shared" ca="1" si="11"/>
        <v>Шляпа STETSON арт. 2541109 TRAVELLER COTTON (синий)</v>
      </c>
      <c r="T61" s="114" t="str">
        <f t="shared" ca="1" si="12"/>
        <v>Шляпа STETSON арт. 2541109 TRAVELLER COTTON (синий) {23}</v>
      </c>
      <c r="U61" s="18" t="str">
        <f t="shared" ca="1" si="13"/>
        <v>синий</v>
      </c>
      <c r="V61" s="18" t="str">
        <f t="shared" ca="1" si="14"/>
        <v>синий</v>
      </c>
      <c r="W61" s="132" t="str">
        <f t="shared" ca="1" si="15"/>
        <v>синий</v>
      </c>
      <c r="X61" s="87" t="str">
        <f ca="1"/>
        <v>02-181-06-61</v>
      </c>
      <c r="Y61" s="89" t="str">
        <f ca="1">VLOOKUP(C61,Группа!A:B,2,FALSE)</f>
        <v>Шляпа</v>
      </c>
      <c r="Z61" s="111" t="str">
        <f ca="1">IFERROR(VLOOKUP(P61,Размеры!A:C,3,FALSE),"")</f>
        <v>61 XL</v>
      </c>
      <c r="AA61" s="111" t="str">
        <f ca="1">VLOOKUP(I61,ЦветПолный!A:B,2,FALSE)</f>
        <v>06</v>
      </c>
      <c r="AB61" s="111" t="str">
        <f ca="1">IFERROR(VLOOKUP(P61,Размеры!A:D,4,FALSE),"")</f>
        <v>61</v>
      </c>
      <c r="AC61" s="111">
        <f ca="1">IF(LEFT(IFERROR(VLOOKUP(LOOKUP(2,1/SEARCH(B61,Товары!A:A),Товары!A:A),Товары!A:B,2,0),""),6)=MID(X61,1,6),1,0)</f>
        <v>1</v>
      </c>
      <c r="AE61" s="111">
        <f ca="1">SUMIF(Группа!A:A,C61,Группа!C:C)</f>
        <v>1</v>
      </c>
      <c r="AF61" s="111">
        <f ca="1">SUMIF(Группа!B:B,Y61,Группа!C:C)</f>
        <v>1</v>
      </c>
      <c r="AG61" s="111">
        <f ca="1">SUMIF(Формы!A:A,D61,Формы!B:B)</f>
        <v>1</v>
      </c>
      <c r="AH61" s="111">
        <f ca="1">SUMIF(Материал!A:A,K61,Материал!B:B)</f>
        <v>1</v>
      </c>
      <c r="AI61" s="111">
        <f ca="1">SUMIF(Размеры!A:A,P61,Размеры!E:E)</f>
        <v>1</v>
      </c>
      <c r="AJ61" s="111">
        <f ca="1">SUMIF(Сезон!A:A,F61,Сезон!B:B)</f>
        <v>1</v>
      </c>
      <c r="AK61" s="111">
        <f ca="1">SUMIF(Состав!A:A,J61,Состав!B:B)</f>
        <v>0</v>
      </c>
      <c r="AL61" s="111">
        <f ca="1">SUMIF(ЦветПолный!A:A,I61,ЦветПолный!C:C)</f>
        <v>8</v>
      </c>
      <c r="AM61" s="111">
        <f ca="1">SUMIF(Цвет!A:A,W61,Цвет!B:B)</f>
        <v>1</v>
      </c>
      <c r="AN61" s="111">
        <f ca="1">SUMIF(Пол!B:B,L61,Пол!C:C)</f>
        <v>1</v>
      </c>
      <c r="AO61" s="111">
        <f ca="1">SUMIF(Марка!A:A,G61,Марка!B:B)</f>
        <v>1</v>
      </c>
      <c r="AP61" s="111">
        <f ca="1">SUMIF(Страна!A:A,M61,Страна!B:B)</f>
        <v>1</v>
      </c>
      <c r="AQ61" s="77" t="str">
        <f ca="1">IF(VLOOKUP(T61,Товары!A:B,2,FALSE)=A61,"Есть в 1С","ERR")</f>
        <v>Есть в 1С</v>
      </c>
      <c r="AR61" s="78" t="str">
        <f ca="1">IF(VLOOKUP(A61,Товары!B:B,1,FALSE)=A61,"Есть в 1С","ERR")</f>
        <v>Есть в 1С</v>
      </c>
      <c r="AS61" s="110" t="str">
        <f ca="1">VLOOKUP(T61,Товары!A:B,2,FALSE)</f>
        <v>02-181-06</v>
      </c>
      <c r="AT61" s="108" t="str">
        <f ca="1">VLOOKUP(T61,Товары!A:B,1,FALSE)</f>
        <v>Шляпа STETSON арт. 2541109 TRAVELLER COTTON (синий) {23}</v>
      </c>
    </row>
    <row r="62" spans="1:46" x14ac:dyDescent="0.25">
      <c r="A62" s="124" t="str">
        <f t="shared" ca="1" si="5"/>
        <v>02-181-06</v>
      </c>
      <c r="B62" s="121" t="str">
        <f ca="1">UPPER(_xlfn.XLOOKUP($A62,Строчный!$A:$A,Строчный!B:B,"ERR",0))</f>
        <v>2541109 TRAVELLER COTTON</v>
      </c>
      <c r="C62" s="95" t="str">
        <f ca="1">PROPER(_xlfn.XLOOKUP($A62,Строчный!$A:$A,Строчный!C:C,"ERR",0))</f>
        <v>Шляпы</v>
      </c>
      <c r="D62" s="95" t="str">
        <f ca="1">_xlfn.LET(_xlpm.DATA,(_xlfn.XLOOKUP($A62,Строчный!$A:$A,Строчный!D:D,"ERR",0)),UPPER(MID(_xlpm.DATA,1,1))&amp;LOWER(MID(_xlpm.DATA,2,LEN(_xlpm.DATA)-1)))</f>
        <v>Шляпа федора</v>
      </c>
      <c r="E62" s="95" t="str">
        <f ca="1">PROPER(_xlfn.XLOOKUP($A62,Строчный!$A:$A,Строчный!E:E,"ERR",0))</f>
        <v>Stetson</v>
      </c>
      <c r="F62" s="95" t="str">
        <f ca="1">LOWER(_xlfn.XLOOKUP($A62,Строчный!$A:$A,Строчный!F:F,"ERR",0))</f>
        <v>летний</v>
      </c>
      <c r="G62" s="95" t="str">
        <f ca="1">UPPER(_xlfn.XLOOKUP($A62,Строчный!$A:$A,Строчный!G:G,"ERR",0))</f>
        <v>STETSON</v>
      </c>
      <c r="H62" s="95" t="str">
        <f ca="1">LOWER(_xlfn.XLOOKUP($A62,Строчный!$A:$A,Строчный!H:H,"ERR",0))</f>
        <v>23</v>
      </c>
      <c r="I62" s="95" t="str">
        <f ca="1">LOWER(_xlfn.XLOOKUP($A62,Строчный!$A:$A,Строчный!I:I,"ERR",0))</f>
        <v>синий</v>
      </c>
      <c r="J62" s="95" t="str">
        <f ca="1">SUBSTITUTE(LOWER(_xlfn.XLOOKUP($A62,Строчный!$A:$A,Строчный!J:J,"ERR",0)),"подклад","Подклад")</f>
        <v>100% хлопок / Подклад: 100% хлопок</v>
      </c>
      <c r="K62" s="95" t="str">
        <f ca="1">LOWER(_xlfn.XLOOKUP($A62,Строчный!$A:$A,Строчный!K:K,"ERR",0))</f>
        <v>хлопковые</v>
      </c>
      <c r="L62" s="95" t="str">
        <f ca="1">PROPER(_xlfn.XLOOKUP($A62,Строчный!$A:$A,Строчный!L:L,"ERR",0))</f>
        <v>Унисекс</v>
      </c>
      <c r="M62" s="95" t="str">
        <f ca="1">PROPER(_xlfn.XLOOKUP($A62,Строчный!$A:$A,Строчный!N:N,"ERR",0))</f>
        <v>Шри-Ланка</v>
      </c>
      <c r="N62" s="104">
        <f ca="1">VALUE(_xlfn.XLOOKUP($A62,Строчный!$A:$A,Строчный!O:O,"ERR",0))</f>
        <v>1811.8479999999997</v>
      </c>
      <c r="O62" s="103" t="str">
        <f ca="1">_xlfn.XLOOKUP($A62,Строчный!$A:$A,Строчный!M:M,"ERR",0)</f>
        <v>Friedrich W. Schneider GmbH &amp; Co. KG; Oskar-Schindler-Str. 11, D 50769 Köln, Germany</v>
      </c>
      <c r="P62" s="94">
        <f ca="1">_xlfn.XLOOKUP(MID(X62,11,2),Размеры!D:D,Размеры!A:A,"ERR",0)</f>
        <v>59</v>
      </c>
      <c r="Q62" s="94">
        <f ca="1">VALUE(_xlfn.XLOOKUP($A62,Строчный!$A:$A,Строчный!R:R,"ERR",0))</f>
        <v>3</v>
      </c>
      <c r="R62" s="14" t="s">
        <v>283</v>
      </c>
      <c r="S62" s="115" t="str">
        <f t="shared" ca="1" si="11"/>
        <v>Шляпа STETSON арт. 2541109 TRAVELLER COTTON (синий)</v>
      </c>
      <c r="T62" s="114" t="str">
        <f t="shared" ca="1" si="12"/>
        <v>Шляпа STETSON арт. 2541109 TRAVELLER COTTON (синий) {23}</v>
      </c>
      <c r="U62" s="18" t="str">
        <f t="shared" ca="1" si="13"/>
        <v>синий</v>
      </c>
      <c r="V62" s="18" t="str">
        <f t="shared" ca="1" si="14"/>
        <v>синий</v>
      </c>
      <c r="W62" s="132" t="str">
        <f t="shared" ca="1" si="15"/>
        <v>синий</v>
      </c>
      <c r="X62" s="87" t="str">
        <f ca="1"/>
        <v>02-181-06-59</v>
      </c>
      <c r="Y62" s="89" t="str">
        <f ca="1">VLOOKUP(C62,Группа!A:B,2,FALSE)</f>
        <v>Шляпа</v>
      </c>
      <c r="Z62" s="111" t="str">
        <f ca="1">IFERROR(VLOOKUP(P62,Размеры!A:C,3,FALSE),"")</f>
        <v>59 L</v>
      </c>
      <c r="AA62" s="111" t="str">
        <f ca="1">VLOOKUP(I62,ЦветПолный!A:B,2,FALSE)</f>
        <v>06</v>
      </c>
      <c r="AB62" s="111" t="str">
        <f ca="1">IFERROR(VLOOKUP(P62,Размеры!A:D,4,FALSE),"")</f>
        <v>59</v>
      </c>
      <c r="AC62" s="111">
        <f ca="1">IF(LEFT(IFERROR(VLOOKUP(LOOKUP(2,1/SEARCH(B62,Товары!A:A),Товары!A:A),Товары!A:B,2,0),""),6)=MID(X62,1,6),1,0)</f>
        <v>1</v>
      </c>
      <c r="AE62" s="111">
        <f ca="1">SUMIF(Группа!A:A,C62,Группа!C:C)</f>
        <v>1</v>
      </c>
      <c r="AF62" s="111">
        <f ca="1">SUMIF(Группа!B:B,Y62,Группа!C:C)</f>
        <v>1</v>
      </c>
      <c r="AG62" s="111">
        <f ca="1">SUMIF(Формы!A:A,D62,Формы!B:B)</f>
        <v>1</v>
      </c>
      <c r="AH62" s="111">
        <f ca="1">SUMIF(Материал!A:A,K62,Материал!B:B)</f>
        <v>1</v>
      </c>
      <c r="AI62" s="111">
        <f ca="1">SUMIF(Размеры!A:A,P62,Размеры!E:E)</f>
        <v>1</v>
      </c>
      <c r="AJ62" s="111">
        <f ca="1">SUMIF(Сезон!A:A,F62,Сезон!B:B)</f>
        <v>1</v>
      </c>
      <c r="AK62" s="111">
        <f ca="1">SUMIF(Состав!A:A,J62,Состав!B:B)</f>
        <v>0</v>
      </c>
      <c r="AL62" s="111">
        <f ca="1">SUMIF(ЦветПолный!A:A,I62,ЦветПолный!C:C)</f>
        <v>8</v>
      </c>
      <c r="AM62" s="111">
        <f ca="1">SUMIF(Цвет!A:A,W62,Цвет!B:B)</f>
        <v>1</v>
      </c>
      <c r="AN62" s="111">
        <f ca="1">SUMIF(Пол!B:B,L62,Пол!C:C)</f>
        <v>1</v>
      </c>
      <c r="AO62" s="111">
        <f ca="1">SUMIF(Марка!A:A,G62,Марка!B:B)</f>
        <v>1</v>
      </c>
      <c r="AP62" s="111">
        <f ca="1">SUMIF(Страна!A:A,M62,Страна!B:B)</f>
        <v>1</v>
      </c>
      <c r="AQ62" s="77" t="str">
        <f ca="1">IF(VLOOKUP(T62,Товары!A:B,2,FALSE)=A62,"Есть в 1С","ERR")</f>
        <v>Есть в 1С</v>
      </c>
      <c r="AR62" s="78" t="str">
        <f ca="1">IF(VLOOKUP(A62,Товары!B:B,1,FALSE)=A62,"Есть в 1С","ERR")</f>
        <v>Есть в 1С</v>
      </c>
      <c r="AS62" s="110" t="str">
        <f ca="1">VLOOKUP(T62,Товары!A:B,2,FALSE)</f>
        <v>02-181-06</v>
      </c>
      <c r="AT62" s="108" t="str">
        <f ca="1">VLOOKUP(T62,Товары!A:B,1,FALSE)</f>
        <v>Шляпа STETSON арт. 2541109 TRAVELLER COTTON (синий) {23}</v>
      </c>
    </row>
    <row r="63" spans="1:46" x14ac:dyDescent="0.25">
      <c r="A63" s="124" t="str">
        <f t="shared" ca="1" si="5"/>
        <v>02-181-06</v>
      </c>
      <c r="B63" s="121" t="str">
        <f ca="1">UPPER(_xlfn.XLOOKUP($A63,Строчный!$A:$A,Строчный!B:B,"ERR",0))</f>
        <v>2541109 TRAVELLER COTTON</v>
      </c>
      <c r="C63" s="95" t="str">
        <f ca="1">PROPER(_xlfn.XLOOKUP($A63,Строчный!$A:$A,Строчный!C:C,"ERR",0))</f>
        <v>Шляпы</v>
      </c>
      <c r="D63" s="95" t="str">
        <f ca="1">_xlfn.LET(_xlpm.DATA,(_xlfn.XLOOKUP($A63,Строчный!$A:$A,Строчный!D:D,"ERR",0)),UPPER(MID(_xlpm.DATA,1,1))&amp;LOWER(MID(_xlpm.DATA,2,LEN(_xlpm.DATA)-1)))</f>
        <v>Шляпа федора</v>
      </c>
      <c r="E63" s="95" t="str">
        <f ca="1">PROPER(_xlfn.XLOOKUP($A63,Строчный!$A:$A,Строчный!E:E,"ERR",0))</f>
        <v>Stetson</v>
      </c>
      <c r="F63" s="95" t="str">
        <f ca="1">LOWER(_xlfn.XLOOKUP($A63,Строчный!$A:$A,Строчный!F:F,"ERR",0))</f>
        <v>летний</v>
      </c>
      <c r="G63" s="95" t="str">
        <f ca="1">UPPER(_xlfn.XLOOKUP($A63,Строчный!$A:$A,Строчный!G:G,"ERR",0))</f>
        <v>STETSON</v>
      </c>
      <c r="H63" s="95" t="str">
        <f ca="1">LOWER(_xlfn.XLOOKUP($A63,Строчный!$A:$A,Строчный!H:H,"ERR",0))</f>
        <v>23</v>
      </c>
      <c r="I63" s="95" t="str">
        <f ca="1">LOWER(_xlfn.XLOOKUP($A63,Строчный!$A:$A,Строчный!I:I,"ERR",0))</f>
        <v>синий</v>
      </c>
      <c r="J63" s="95" t="str">
        <f ca="1">SUBSTITUTE(LOWER(_xlfn.XLOOKUP($A63,Строчный!$A:$A,Строчный!J:J,"ERR",0)),"подклад","Подклад")</f>
        <v>100% хлопок / Подклад: 100% хлопок</v>
      </c>
      <c r="K63" s="95" t="str">
        <f ca="1">LOWER(_xlfn.XLOOKUP($A63,Строчный!$A:$A,Строчный!K:K,"ERR",0))</f>
        <v>хлопковые</v>
      </c>
      <c r="L63" s="95" t="str">
        <f ca="1">PROPER(_xlfn.XLOOKUP($A63,Строчный!$A:$A,Строчный!L:L,"ERR",0))</f>
        <v>Унисекс</v>
      </c>
      <c r="M63" s="95" t="str">
        <f ca="1">PROPER(_xlfn.XLOOKUP($A63,Строчный!$A:$A,Строчный!N:N,"ERR",0))</f>
        <v>Шри-Ланка</v>
      </c>
      <c r="N63" s="104">
        <f ca="1">VALUE(_xlfn.XLOOKUP($A63,Строчный!$A:$A,Строчный!O:O,"ERR",0))</f>
        <v>1811.8479999999997</v>
      </c>
      <c r="O63" s="103" t="str">
        <f ca="1">_xlfn.XLOOKUP($A63,Строчный!$A:$A,Строчный!M:M,"ERR",0)</f>
        <v>Friedrich W. Schneider GmbH &amp; Co. KG; Oskar-Schindler-Str. 11, D 50769 Köln, Germany</v>
      </c>
      <c r="P63" s="94">
        <f ca="1">_xlfn.XLOOKUP(MID(X63,11,2),Размеры!D:D,Размеры!A:A,"ERR",0)</f>
        <v>57</v>
      </c>
      <c r="Q63" s="94">
        <f ca="1">VALUE(_xlfn.XLOOKUP($A63,Строчный!$A:$A,Строчный!R:R,"ERR",0))</f>
        <v>3</v>
      </c>
      <c r="R63" s="14" t="s">
        <v>283</v>
      </c>
      <c r="S63" s="115" t="str">
        <f t="shared" ca="1" si="11"/>
        <v>Шляпа STETSON арт. 2541109 TRAVELLER COTTON (синий)</v>
      </c>
      <c r="T63" s="114" t="str">
        <f t="shared" ca="1" si="12"/>
        <v>Шляпа STETSON арт. 2541109 TRAVELLER COTTON (синий) {23}</v>
      </c>
      <c r="U63" s="18" t="str">
        <f t="shared" ca="1" si="13"/>
        <v>синий</v>
      </c>
      <c r="V63" s="18" t="str">
        <f t="shared" ca="1" si="14"/>
        <v>синий</v>
      </c>
      <c r="W63" s="132" t="str">
        <f t="shared" ca="1" si="15"/>
        <v>синий</v>
      </c>
      <c r="X63" s="87" t="str">
        <f ca="1"/>
        <v>02-181-06-57</v>
      </c>
      <c r="Y63" s="89" t="str">
        <f ca="1">VLOOKUP(C63,Группа!A:B,2,FALSE)</f>
        <v>Шляпа</v>
      </c>
      <c r="Z63" s="111" t="str">
        <f ca="1">IFERROR(VLOOKUP(P63,Размеры!A:C,3,FALSE),"")</f>
        <v>57 M</v>
      </c>
      <c r="AA63" s="111" t="str">
        <f ca="1">VLOOKUP(I63,ЦветПолный!A:B,2,FALSE)</f>
        <v>06</v>
      </c>
      <c r="AB63" s="111" t="str">
        <f ca="1">IFERROR(VLOOKUP(P63,Размеры!A:D,4,FALSE),"")</f>
        <v>57</v>
      </c>
      <c r="AC63" s="111">
        <f ca="1">IF(LEFT(IFERROR(VLOOKUP(LOOKUP(2,1/SEARCH(B63,Товары!A:A),Товары!A:A),Товары!A:B,2,0),""),6)=MID(X63,1,6),1,0)</f>
        <v>1</v>
      </c>
      <c r="AE63" s="111">
        <f ca="1">SUMIF(Группа!A:A,C63,Группа!C:C)</f>
        <v>1</v>
      </c>
      <c r="AF63" s="111">
        <f ca="1">SUMIF(Группа!B:B,Y63,Группа!C:C)</f>
        <v>1</v>
      </c>
      <c r="AG63" s="111">
        <f ca="1">SUMIF(Формы!A:A,D63,Формы!B:B)</f>
        <v>1</v>
      </c>
      <c r="AH63" s="111">
        <f ca="1">SUMIF(Материал!A:A,K63,Материал!B:B)</f>
        <v>1</v>
      </c>
      <c r="AI63" s="111">
        <f ca="1">SUMIF(Размеры!A:A,P63,Размеры!E:E)</f>
        <v>1</v>
      </c>
      <c r="AJ63" s="111">
        <f ca="1">SUMIF(Сезон!A:A,F63,Сезон!B:B)</f>
        <v>1</v>
      </c>
      <c r="AK63" s="111">
        <f ca="1">SUMIF(Состав!A:A,J63,Состав!B:B)</f>
        <v>0</v>
      </c>
      <c r="AL63" s="111">
        <f ca="1">SUMIF(ЦветПолный!A:A,I63,ЦветПолный!C:C)</f>
        <v>8</v>
      </c>
      <c r="AM63" s="111">
        <f ca="1">SUMIF(Цвет!A:A,W63,Цвет!B:B)</f>
        <v>1</v>
      </c>
      <c r="AN63" s="111">
        <f ca="1">SUMIF(Пол!B:B,L63,Пол!C:C)</f>
        <v>1</v>
      </c>
      <c r="AO63" s="111">
        <f ca="1">SUMIF(Марка!A:A,G63,Марка!B:B)</f>
        <v>1</v>
      </c>
      <c r="AP63" s="111">
        <f ca="1">SUMIF(Страна!A:A,M63,Страна!B:B)</f>
        <v>1</v>
      </c>
      <c r="AQ63" s="77" t="str">
        <f ca="1">IF(VLOOKUP(T63,Товары!A:B,2,FALSE)=A63,"Есть в 1С","ERR")</f>
        <v>Есть в 1С</v>
      </c>
      <c r="AR63" s="78" t="str">
        <f ca="1">IF(VLOOKUP(A63,Товары!B:B,1,FALSE)=A63,"Есть в 1С","ERR")</f>
        <v>Есть в 1С</v>
      </c>
      <c r="AS63" s="110" t="str">
        <f ca="1">VLOOKUP(T63,Товары!A:B,2,FALSE)</f>
        <v>02-181-06</v>
      </c>
      <c r="AT63" s="108" t="str">
        <f ca="1">VLOOKUP(T63,Товары!A:B,1,FALSE)</f>
        <v>Шляпа STETSON арт. 2541109 TRAVELLER COTTON (синий) {23}</v>
      </c>
    </row>
    <row r="64" spans="1:46" x14ac:dyDescent="0.25">
      <c r="A64" s="124" t="str">
        <f t="shared" ca="1" si="5"/>
        <v>02-098-91</v>
      </c>
      <c r="B64" s="121" t="str">
        <f ca="1">UPPER(_xlfn.XLOOKUP($A64,Строчный!$A:$A,Строчный!B:B,"ERR",0))</f>
        <v>7497105 ARMY CAP PIGSKIN</v>
      </c>
      <c r="C64" s="95" t="str">
        <f ca="1">PROPER(_xlfn.XLOOKUP($A64,Строчный!$A:$A,Строчный!C:C,"ERR",0))</f>
        <v>Кепки</v>
      </c>
      <c r="D64" s="95" t="str">
        <f ca="1">_xlfn.LET(_xlpm.DATA,(_xlfn.XLOOKUP($A64,Строчный!$A:$A,Строчный!D:D,"ERR",0)),UPPER(MID(_xlpm.DATA,1,1))&amp;LOWER(MID(_xlpm.DATA,2,LEN(_xlpm.DATA)-1)))</f>
        <v>Кепка кадетка</v>
      </c>
      <c r="E64" s="95" t="str">
        <f ca="1">PROPER(_xlfn.XLOOKUP($A64,Строчный!$A:$A,Строчный!E:E,"ERR",0))</f>
        <v>Stetson</v>
      </c>
      <c r="F64" s="95" t="str">
        <f ca="1">LOWER(_xlfn.XLOOKUP($A64,Строчный!$A:$A,Строчный!F:F,"ERR",0))</f>
        <v>всесезон</v>
      </c>
      <c r="G64" s="95" t="str">
        <f ca="1">UPPER(_xlfn.XLOOKUP($A64,Строчный!$A:$A,Строчный!G:G,"ERR",0))</f>
        <v>STETSON</v>
      </c>
      <c r="H64" s="95" t="str">
        <f ca="1">LOWER(_xlfn.XLOOKUP($A64,Строчный!$A:$A,Строчный!H:H,"ERR",0))</f>
        <v>62</v>
      </c>
      <c r="I64" s="95" t="str">
        <f ca="1">LOWER(_xlfn.XLOOKUP($A64,Строчный!$A:$A,Строчный!I:I,"ERR",0))</f>
        <v>темно-коричневый</v>
      </c>
      <c r="J64" s="95" t="str">
        <f ca="1">SUBSTITUTE(LOWER(_xlfn.XLOOKUP($A64,Строчный!$A:$A,Строчный!J:J,"ERR",0)),"подклад","Подклад")</f>
        <v>100% натуральная кожа / Подклад: 100% хлопок</v>
      </c>
      <c r="K64" s="95" t="str">
        <f ca="1">LOWER(_xlfn.XLOOKUP($A64,Строчный!$A:$A,Строчный!K:K,"ERR",0))</f>
        <v>кожаные</v>
      </c>
      <c r="L64" s="95" t="str">
        <f ca="1">PROPER(_xlfn.XLOOKUP($A64,Строчный!$A:$A,Строчный!L:L,"ERR",0))</f>
        <v>Унисекс</v>
      </c>
      <c r="M64" s="95" t="str">
        <f ca="1">PROPER(_xlfn.XLOOKUP($A64,Строчный!$A:$A,Строчный!N:N,"ERR",0))</f>
        <v>Китай</v>
      </c>
      <c r="N64" s="104">
        <f ca="1">VALUE(_xlfn.XLOOKUP($A64,Строчный!$A:$A,Строчный!O:O,"ERR",0))</f>
        <v>2128.328</v>
      </c>
      <c r="O64" s="103" t="str">
        <f ca="1">_xlfn.XLOOKUP($A64,Строчный!$A:$A,Строчный!M:M,"ERR",0)</f>
        <v>Friedrich W. Schneider GmbH &amp; Co. KG; Oskar-Schindler-Str. 11, D 50769 Köln, Germany</v>
      </c>
      <c r="P64" s="94" t="str">
        <f ca="1">_xlfn.XLOOKUP(MID(X64,11,2),Размеры!D:D,Размеры!A:A,"ERR",0)</f>
        <v>ONE</v>
      </c>
      <c r="Q64" s="94">
        <f ca="1">VALUE(_xlfn.XLOOKUP($A64,Строчный!$A:$A,Строчный!R:R,"ERR",0))</f>
        <v>10</v>
      </c>
      <c r="R64" s="14" t="s">
        <v>283</v>
      </c>
      <c r="S64" s="115" t="str">
        <f t="shared" ca="1" si="11"/>
        <v>Кепка STETSON арт. 7497105 ARMY CAP PIGSKIN (темно-коричневый)</v>
      </c>
      <c r="T64" s="114" t="str">
        <f t="shared" ca="1" si="12"/>
        <v>Кепка STETSON арт. 7497105 ARMY CAP PIGSKIN (темно-коричневый) {62}</v>
      </c>
      <c r="U64" s="18" t="str">
        <f t="shared" ca="1" si="13"/>
        <v>коричневый</v>
      </c>
      <c r="V64" s="18" t="str">
        <f t="shared" ca="1" si="14"/>
        <v>коричневый</v>
      </c>
      <c r="W64" s="132" t="str">
        <f t="shared" ca="1" si="15"/>
        <v>коричневый</v>
      </c>
      <c r="X64" s="87" t="str">
        <f ca="1"/>
        <v>02-098-91-00</v>
      </c>
      <c r="Y64" s="89" t="str">
        <f ca="1">VLOOKUP(C64,Группа!A:B,2,FALSE)</f>
        <v>Кепка</v>
      </c>
      <c r="Z64" s="111" t="str">
        <f ca="1">IFERROR(VLOOKUP(P64,Размеры!A:C,3,FALSE),"")</f>
        <v>ONE</v>
      </c>
      <c r="AA64" s="111" t="str">
        <f ca="1">VLOOKUP(I64,ЦветПолный!A:B,2,FALSE)</f>
        <v>91</v>
      </c>
      <c r="AB64" s="111" t="str">
        <f ca="1">IFERROR(VLOOKUP(P64,Размеры!A:D,4,FALSE),"")</f>
        <v>00</v>
      </c>
      <c r="AC64" s="111">
        <f ca="1">IF(LEFT(IFERROR(VLOOKUP(LOOKUP(2,1/SEARCH(B64,Товары!A:A),Товары!A:A),Товары!A:B,2,0),""),6)=MID(X64,1,6),1,0)</f>
        <v>1</v>
      </c>
      <c r="AE64" s="111">
        <f ca="1">SUMIF(Группа!A:A,C64,Группа!C:C)</f>
        <v>1</v>
      </c>
      <c r="AF64" s="111">
        <f ca="1">SUMIF(Группа!B:B,Y64,Группа!C:C)</f>
        <v>1</v>
      </c>
      <c r="AG64" s="111">
        <f ca="1">SUMIF(Формы!A:A,D64,Формы!B:B)</f>
        <v>1</v>
      </c>
      <c r="AH64" s="111">
        <f ca="1">SUMIF(Материал!A:A,K64,Материал!B:B)</f>
        <v>1</v>
      </c>
      <c r="AI64" s="111">
        <f ca="1">SUMIF(Размеры!A:A,P64,Размеры!E:E)</f>
        <v>1</v>
      </c>
      <c r="AJ64" s="111">
        <f ca="1">SUMIF(Сезон!A:A,F64,Сезон!B:B)</f>
        <v>1</v>
      </c>
      <c r="AK64" s="111">
        <f ca="1">SUMIF(Состав!A:A,J64,Состав!B:B)</f>
        <v>0</v>
      </c>
      <c r="AL64" s="111">
        <f ca="1">SUMIF(ЦветПолный!A:A,I64,ЦветПолный!C:C)</f>
        <v>7</v>
      </c>
      <c r="AM64" s="111">
        <f ca="1">SUMIF(Цвет!A:A,W64,Цвет!B:B)</f>
        <v>1</v>
      </c>
      <c r="AN64" s="111">
        <f ca="1">SUMIF(Пол!B:B,L64,Пол!C:C)</f>
        <v>1</v>
      </c>
      <c r="AO64" s="111">
        <f ca="1">SUMIF(Марка!A:A,G64,Марка!B:B)</f>
        <v>1</v>
      </c>
      <c r="AP64" s="111">
        <f ca="1">SUMIF(Страна!A:A,M64,Страна!B:B)</f>
        <v>1</v>
      </c>
      <c r="AQ64" s="77" t="str">
        <f ca="1">IF(VLOOKUP(T64,Товары!A:B,2,FALSE)=A64,"Есть в 1С","ERR")</f>
        <v>Есть в 1С</v>
      </c>
      <c r="AR64" s="78" t="str">
        <f ca="1">IF(VLOOKUP(A64,Товары!B:B,1,FALSE)=A64,"Есть в 1С","ERR")</f>
        <v>Есть в 1С</v>
      </c>
      <c r="AS64" s="110" t="str">
        <f ca="1">VLOOKUP(T64,Товары!A:B,2,FALSE)</f>
        <v>02-098-91</v>
      </c>
      <c r="AT64" s="108" t="str">
        <f ca="1">VLOOKUP(T64,Товары!A:B,1,FALSE)</f>
        <v>Кепка STETSON арт. 7497105 ARMY CAP PIGSKIN (темно-коричневый) {62}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64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64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64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64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64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64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64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G14" sqref="G14"/>
    </sheetView>
  </sheetViews>
  <sheetFormatPr defaultColWidth="9.140625" defaultRowHeight="12.75" x14ac:dyDescent="0.2"/>
  <cols>
    <col min="1" max="1" width="11.140625" style="129" bestFit="1" customWidth="1"/>
    <col min="2" max="2" width="9.140625" style="129"/>
    <col min="3" max="3" width="12.5703125" style="129" bestFit="1" customWidth="1"/>
    <col min="4" max="4" width="9.140625" style="32"/>
    <col min="5" max="5" width="9.140625" style="129"/>
    <col min="6" max="16384" width="9.140625" style="31"/>
  </cols>
  <sheetData>
    <row r="1" spans="1:5" x14ac:dyDescent="0.2">
      <c r="A1" s="128" t="s">
        <v>3</v>
      </c>
      <c r="B1" s="129" t="s">
        <v>25340</v>
      </c>
      <c r="C1" s="129" t="s">
        <v>25341</v>
      </c>
      <c r="D1" s="32" t="s">
        <v>25342</v>
      </c>
    </row>
    <row r="2" spans="1:5" x14ac:dyDescent="0.2">
      <c r="A2" s="130" t="s">
        <v>25343</v>
      </c>
      <c r="C2" s="130" t="s">
        <v>25343</v>
      </c>
      <c r="D2" s="33" t="s">
        <v>25344</v>
      </c>
      <c r="E2" s="33">
        <v>1</v>
      </c>
    </row>
    <row r="3" spans="1:5" x14ac:dyDescent="0.2">
      <c r="A3" s="130">
        <v>53</v>
      </c>
      <c r="C3" s="130" t="s">
        <v>25345</v>
      </c>
      <c r="D3" s="33" t="s">
        <v>37523</v>
      </c>
      <c r="E3" s="33">
        <v>1</v>
      </c>
    </row>
    <row r="4" spans="1:5" x14ac:dyDescent="0.2">
      <c r="A4" s="130">
        <v>54</v>
      </c>
      <c r="C4" s="130" t="s">
        <v>25346</v>
      </c>
      <c r="D4" s="33" t="s">
        <v>37592</v>
      </c>
      <c r="E4" s="33">
        <v>1</v>
      </c>
    </row>
    <row r="5" spans="1:5" x14ac:dyDescent="0.2">
      <c r="A5" s="130">
        <v>55</v>
      </c>
      <c r="C5" s="130" t="s">
        <v>25347</v>
      </c>
      <c r="D5" s="33" t="s">
        <v>37560</v>
      </c>
      <c r="E5" s="33">
        <v>1</v>
      </c>
    </row>
    <row r="6" spans="1:5" x14ac:dyDescent="0.2">
      <c r="A6" s="130">
        <v>56</v>
      </c>
      <c r="C6" s="130" t="s">
        <v>25348</v>
      </c>
      <c r="D6" s="33" t="s">
        <v>37553</v>
      </c>
      <c r="E6" s="33">
        <v>1</v>
      </c>
    </row>
    <row r="7" spans="1:5" x14ac:dyDescent="0.2">
      <c r="A7" s="130">
        <v>57</v>
      </c>
      <c r="C7" s="130" t="s">
        <v>25349</v>
      </c>
      <c r="D7" s="33" t="s">
        <v>37637</v>
      </c>
      <c r="E7" s="33">
        <v>1</v>
      </c>
    </row>
    <row r="8" spans="1:5" x14ac:dyDescent="0.2">
      <c r="A8" s="130">
        <v>58</v>
      </c>
      <c r="C8" s="130" t="s">
        <v>25350</v>
      </c>
      <c r="D8" s="33" t="s">
        <v>37679</v>
      </c>
      <c r="E8" s="33">
        <v>1</v>
      </c>
    </row>
    <row r="9" spans="1:5" x14ac:dyDescent="0.2">
      <c r="A9" s="130">
        <v>59</v>
      </c>
      <c r="C9" s="130" t="s">
        <v>25351</v>
      </c>
      <c r="D9" s="33" t="s">
        <v>37633</v>
      </c>
      <c r="E9" s="33">
        <v>1</v>
      </c>
    </row>
    <row r="10" spans="1:5" x14ac:dyDescent="0.2">
      <c r="A10" s="130">
        <v>60</v>
      </c>
      <c r="C10" s="130" t="s">
        <v>25352</v>
      </c>
      <c r="D10" s="33" t="s">
        <v>37556</v>
      </c>
      <c r="E10" s="33">
        <v>1</v>
      </c>
    </row>
    <row r="11" spans="1:5" x14ac:dyDescent="0.2">
      <c r="A11" s="130">
        <v>61</v>
      </c>
      <c r="C11" s="130" t="s">
        <v>25353</v>
      </c>
      <c r="D11" s="33" t="s">
        <v>37638</v>
      </c>
      <c r="E11" s="33">
        <v>1</v>
      </c>
    </row>
    <row r="12" spans="1:5" x14ac:dyDescent="0.2">
      <c r="A12" s="130">
        <v>62</v>
      </c>
      <c r="C12" s="130" t="s">
        <v>25354</v>
      </c>
      <c r="D12" s="33" t="s">
        <v>37520</v>
      </c>
      <c r="E12" s="33">
        <v>1</v>
      </c>
    </row>
    <row r="13" spans="1:5" x14ac:dyDescent="0.2">
      <c r="A13" s="130">
        <v>63</v>
      </c>
      <c r="C13" s="130" t="s">
        <v>25355</v>
      </c>
      <c r="D13" s="33" t="s">
        <v>37683</v>
      </c>
      <c r="E13" s="33">
        <v>1</v>
      </c>
    </row>
    <row r="14" spans="1:5" x14ac:dyDescent="0.2">
      <c r="A14" s="130">
        <v>64</v>
      </c>
      <c r="C14" s="130" t="s">
        <v>25356</v>
      </c>
      <c r="D14" s="33" t="s">
        <v>37567</v>
      </c>
      <c r="E14" s="33">
        <v>1</v>
      </c>
    </row>
    <row r="15" spans="1:5" x14ac:dyDescent="0.2">
      <c r="A15" s="130">
        <v>65</v>
      </c>
      <c r="C15" s="130" t="s">
        <v>25357</v>
      </c>
      <c r="D15" s="33" t="s">
        <v>37513</v>
      </c>
      <c r="E15" s="33">
        <v>1</v>
      </c>
    </row>
    <row r="16" spans="1:5" x14ac:dyDescent="0.2">
      <c r="A16" s="130" t="s">
        <v>25358</v>
      </c>
      <c r="C16" s="130" t="s">
        <v>25358</v>
      </c>
      <c r="D16" s="33" t="s">
        <v>25344</v>
      </c>
      <c r="E16" s="33">
        <v>1</v>
      </c>
    </row>
    <row r="17" spans="1:5" x14ac:dyDescent="0.2">
      <c r="A17" s="130" t="s">
        <v>25359</v>
      </c>
      <c r="C17" s="130" t="s">
        <v>25359</v>
      </c>
      <c r="D17" s="33" t="s">
        <v>37566</v>
      </c>
      <c r="E17" s="33">
        <v>1</v>
      </c>
    </row>
    <row r="18" spans="1:5" ht="12" customHeight="1" x14ac:dyDescent="0.2">
      <c r="A18" s="130" t="s">
        <v>25360</v>
      </c>
      <c r="C18" s="130" t="s">
        <v>25360</v>
      </c>
      <c r="D18" s="33" t="s">
        <v>37517</v>
      </c>
      <c r="E18" s="33">
        <v>1</v>
      </c>
    </row>
    <row r="19" spans="1:5" ht="12" customHeight="1" x14ac:dyDescent="0.2">
      <c r="A19" s="130" t="s">
        <v>25361</v>
      </c>
      <c r="C19" s="130" t="s">
        <v>25361</v>
      </c>
      <c r="D19" s="33" t="s">
        <v>37636</v>
      </c>
      <c r="E19" s="33">
        <v>1</v>
      </c>
    </row>
    <row r="20" spans="1:5" x14ac:dyDescent="0.2">
      <c r="A20" s="130" t="s">
        <v>25362</v>
      </c>
      <c r="C20" s="130" t="s">
        <v>25362</v>
      </c>
      <c r="D20" s="33" t="s">
        <v>37614</v>
      </c>
      <c r="E20" s="33">
        <v>1</v>
      </c>
    </row>
    <row r="21" spans="1:5" x14ac:dyDescent="0.2">
      <c r="A21" s="130" t="s">
        <v>25363</v>
      </c>
      <c r="C21" s="130" t="s">
        <v>25363</v>
      </c>
      <c r="D21" s="33" t="s">
        <v>37531</v>
      </c>
      <c r="E21" s="33">
        <v>1</v>
      </c>
    </row>
    <row r="22" spans="1:5" x14ac:dyDescent="0.2">
      <c r="A22" s="130" t="s">
        <v>25364</v>
      </c>
      <c r="C22" s="130" t="s">
        <v>25364</v>
      </c>
      <c r="D22" s="33" t="s">
        <v>37605</v>
      </c>
      <c r="E22" s="33">
        <v>1</v>
      </c>
    </row>
    <row r="23" spans="1:5" x14ac:dyDescent="0.2">
      <c r="A23" s="130" t="s">
        <v>25365</v>
      </c>
      <c r="C23" s="130" t="s">
        <v>25365</v>
      </c>
      <c r="D23" s="33" t="s">
        <v>37523</v>
      </c>
      <c r="E23" s="33">
        <v>1</v>
      </c>
    </row>
    <row r="24" spans="1:5" x14ac:dyDescent="0.2">
      <c r="A24" s="130" t="s">
        <v>25366</v>
      </c>
      <c r="C24" s="130" t="s">
        <v>25366</v>
      </c>
      <c r="D24" s="33" t="s">
        <v>37592</v>
      </c>
      <c r="E24" s="33">
        <v>1</v>
      </c>
    </row>
    <row r="25" spans="1:5" x14ac:dyDescent="0.2">
      <c r="A25" s="130" t="s">
        <v>25367</v>
      </c>
      <c r="C25" s="130" t="s">
        <v>25367</v>
      </c>
      <c r="D25" s="33" t="s">
        <v>37560</v>
      </c>
      <c r="E25" s="33">
        <v>1</v>
      </c>
    </row>
    <row r="26" spans="1:5" x14ac:dyDescent="0.2">
      <c r="A26" s="33">
        <v>6</v>
      </c>
      <c r="C26" s="33">
        <v>6</v>
      </c>
      <c r="D26" s="33" t="s">
        <v>37735</v>
      </c>
      <c r="E26" s="33">
        <v>1</v>
      </c>
    </row>
    <row r="27" spans="1:5" x14ac:dyDescent="0.2">
      <c r="A27" s="33">
        <v>6.5</v>
      </c>
      <c r="C27" s="33">
        <v>6.5</v>
      </c>
      <c r="D27" s="33" t="s">
        <v>37513</v>
      </c>
      <c r="E27" s="33">
        <v>1</v>
      </c>
    </row>
    <row r="28" spans="1:5" x14ac:dyDescent="0.2">
      <c r="A28" s="33">
        <v>7</v>
      </c>
      <c r="C28" s="33">
        <v>7</v>
      </c>
      <c r="D28" s="33" t="s">
        <v>25368</v>
      </c>
      <c r="E28" s="33">
        <v>1</v>
      </c>
    </row>
    <row r="29" spans="1:5" x14ac:dyDescent="0.2">
      <c r="A29" s="33">
        <v>7.5</v>
      </c>
      <c r="C29" s="33">
        <v>7.5</v>
      </c>
      <c r="D29" s="33" t="s">
        <v>37536</v>
      </c>
      <c r="E29" s="33">
        <v>1</v>
      </c>
    </row>
    <row r="30" spans="1:5" x14ac:dyDescent="0.2">
      <c r="A30" s="33">
        <v>8</v>
      </c>
      <c r="C30" s="33">
        <v>8</v>
      </c>
      <c r="D30" s="33" t="s">
        <v>25369</v>
      </c>
      <c r="E30" s="33">
        <v>1</v>
      </c>
    </row>
    <row r="31" spans="1:5" x14ac:dyDescent="0.2">
      <c r="A31" s="33">
        <v>8.5</v>
      </c>
      <c r="C31" s="33">
        <v>8.5</v>
      </c>
      <c r="D31" s="33" t="s">
        <v>37655</v>
      </c>
      <c r="E31" s="33">
        <v>1</v>
      </c>
    </row>
    <row r="32" spans="1:5" ht="12.6" customHeight="1" x14ac:dyDescent="0.2">
      <c r="A32" s="33">
        <v>9</v>
      </c>
      <c r="C32" s="33">
        <v>9</v>
      </c>
      <c r="D32" s="33" t="s">
        <v>25370</v>
      </c>
      <c r="E32" s="33">
        <v>1</v>
      </c>
    </row>
    <row r="33" spans="1:5" ht="12.6" customHeight="1" x14ac:dyDescent="0.2">
      <c r="A33" s="33">
        <v>9.5</v>
      </c>
      <c r="C33" s="33">
        <v>9.5</v>
      </c>
      <c r="D33" s="33" t="s">
        <v>25371</v>
      </c>
      <c r="E33" s="33">
        <v>1</v>
      </c>
    </row>
    <row r="34" spans="1:5" x14ac:dyDescent="0.2">
      <c r="A34" s="33">
        <v>10</v>
      </c>
      <c r="C34" s="33">
        <v>10</v>
      </c>
      <c r="D34" s="33" t="s">
        <v>37528</v>
      </c>
      <c r="E34" s="33">
        <v>1</v>
      </c>
    </row>
    <row r="35" spans="1:5" x14ac:dyDescent="0.2">
      <c r="A35" s="33">
        <v>10.5</v>
      </c>
      <c r="C35" s="33">
        <v>10.5</v>
      </c>
      <c r="D35" s="33" t="s">
        <v>37581</v>
      </c>
      <c r="E35" s="33">
        <v>1</v>
      </c>
    </row>
    <row r="36" spans="1:5" x14ac:dyDescent="0.2">
      <c r="A36" s="130" t="s">
        <v>25372</v>
      </c>
      <c r="C36" s="130" t="s">
        <v>25372</v>
      </c>
      <c r="D36" s="33" t="s">
        <v>37736</v>
      </c>
      <c r="E36" s="33">
        <v>1</v>
      </c>
    </row>
    <row r="37" spans="1:5" x14ac:dyDescent="0.2">
      <c r="A37" s="130">
        <v>11</v>
      </c>
      <c r="C37" s="130">
        <v>11</v>
      </c>
      <c r="D37" s="33" t="s">
        <v>37527</v>
      </c>
      <c r="E37" s="3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76" t="s">
        <v>144</v>
      </c>
      <c r="B1" s="14" t="s">
        <v>37502</v>
      </c>
      <c r="C1" s="14">
        <v>1</v>
      </c>
    </row>
    <row r="2" spans="1:3" x14ac:dyDescent="0.25">
      <c r="A2" s="14" t="s">
        <v>27</v>
      </c>
      <c r="B2" s="14" t="s">
        <v>37503</v>
      </c>
      <c r="C2" s="14">
        <v>1</v>
      </c>
    </row>
    <row r="3" spans="1:3" x14ac:dyDescent="0.25">
      <c r="A3" s="14" t="s">
        <v>58</v>
      </c>
      <c r="B3" s="14" t="s">
        <v>37504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37505</v>
      </c>
      <c r="C5" s="14">
        <v>1</v>
      </c>
    </row>
    <row r="6" spans="1:3" x14ac:dyDescent="0.25">
      <c r="A6" s="14" t="s">
        <v>37506</v>
      </c>
      <c r="B6" s="14" t="s">
        <v>37503</v>
      </c>
      <c r="C6" s="14">
        <v>1</v>
      </c>
    </row>
    <row r="7" spans="1:3" x14ac:dyDescent="0.25">
      <c r="A7" s="14" t="s">
        <v>238</v>
      </c>
      <c r="B7" s="14" t="s">
        <v>37507</v>
      </c>
      <c r="C7" s="14">
        <v>1</v>
      </c>
    </row>
    <row r="8" spans="1:3" x14ac:dyDescent="0.25">
      <c r="A8" s="14" t="s">
        <v>100</v>
      </c>
      <c r="B8" s="14" t="s">
        <v>37508</v>
      </c>
      <c r="C8" s="14">
        <v>1</v>
      </c>
    </row>
    <row r="9" spans="1:3" x14ac:dyDescent="0.25">
      <c r="A9" s="14" t="s">
        <v>150</v>
      </c>
      <c r="B9" s="14" t="s">
        <v>37509</v>
      </c>
      <c r="C9" s="14">
        <v>1</v>
      </c>
    </row>
    <row r="10" spans="1:3" x14ac:dyDescent="0.25">
      <c r="A10" s="14" t="s">
        <v>26</v>
      </c>
      <c r="B10" s="14" t="s">
        <v>37510</v>
      </c>
      <c r="C10" s="14">
        <v>1</v>
      </c>
    </row>
    <row r="11" spans="1:3" x14ac:dyDescent="0.25">
      <c r="A11" s="14" t="s">
        <v>23</v>
      </c>
      <c r="B11" s="14" t="s">
        <v>37511</v>
      </c>
      <c r="C11" s="14">
        <v>1</v>
      </c>
    </row>
    <row r="12" spans="1:3" x14ac:dyDescent="0.25">
      <c r="A12" s="14" t="s">
        <v>37512</v>
      </c>
      <c r="B12" s="14" t="s">
        <v>37513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37514</v>
      </c>
      <c r="C14" s="14">
        <v>1</v>
      </c>
    </row>
    <row r="15" spans="1:3" x14ac:dyDescent="0.25">
      <c r="A15" s="14" t="s">
        <v>219</v>
      </c>
      <c r="B15" s="14" t="s">
        <v>37515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37516</v>
      </c>
      <c r="C17" s="14">
        <v>1</v>
      </c>
    </row>
    <row r="18" spans="1:3" x14ac:dyDescent="0.25">
      <c r="A18" s="14" t="s">
        <v>25403</v>
      </c>
      <c r="B18" s="14" t="s">
        <v>37514</v>
      </c>
      <c r="C18" s="14">
        <v>1</v>
      </c>
    </row>
    <row r="19" spans="1:3" x14ac:dyDescent="0.25">
      <c r="A19" s="14" t="s">
        <v>109</v>
      </c>
      <c r="B19" s="14" t="s">
        <v>37517</v>
      </c>
      <c r="C19" s="14">
        <v>1</v>
      </c>
    </row>
    <row r="20" spans="1:3" x14ac:dyDescent="0.25">
      <c r="A20" s="14" t="s">
        <v>25508</v>
      </c>
      <c r="B20" s="14" t="s">
        <v>37518</v>
      </c>
      <c r="C20" s="14">
        <v>1</v>
      </c>
    </row>
    <row r="21" spans="1:3" x14ac:dyDescent="0.25">
      <c r="A21" s="14" t="s">
        <v>96</v>
      </c>
      <c r="B21" s="14" t="s">
        <v>37519</v>
      </c>
      <c r="C21" s="14">
        <v>1</v>
      </c>
    </row>
    <row r="22" spans="1:3" x14ac:dyDescent="0.25">
      <c r="A22" s="14" t="s">
        <v>97</v>
      </c>
      <c r="B22" s="14" t="s">
        <v>37520</v>
      </c>
      <c r="C22" s="14">
        <v>1</v>
      </c>
    </row>
    <row r="23" spans="1:3" x14ac:dyDescent="0.25">
      <c r="A23" s="14" t="s">
        <v>133</v>
      </c>
      <c r="B23" s="14" t="s">
        <v>37521</v>
      </c>
      <c r="C23" s="14">
        <v>1</v>
      </c>
    </row>
    <row r="24" spans="1:3" x14ac:dyDescent="0.25">
      <c r="A24" s="14" t="s">
        <v>37522</v>
      </c>
      <c r="B24" s="14" t="s">
        <v>37520</v>
      </c>
      <c r="C24" s="14">
        <v>1</v>
      </c>
    </row>
    <row r="25" spans="1:3" x14ac:dyDescent="0.25">
      <c r="A25" s="14" t="s">
        <v>25571</v>
      </c>
      <c r="B25" s="14" t="s">
        <v>37523</v>
      </c>
      <c r="C25" s="14">
        <v>1</v>
      </c>
    </row>
    <row r="26" spans="1:3" x14ac:dyDescent="0.25">
      <c r="A26" s="14" t="s">
        <v>25525</v>
      </c>
      <c r="B26" s="14" t="s">
        <v>37503</v>
      </c>
      <c r="C26" s="14">
        <v>1</v>
      </c>
    </row>
    <row r="27" spans="1:3" x14ac:dyDescent="0.25">
      <c r="A27" s="14" t="s">
        <v>25464</v>
      </c>
      <c r="B27" s="14" t="s">
        <v>37502</v>
      </c>
      <c r="C27" s="14">
        <v>1</v>
      </c>
    </row>
    <row r="28" spans="1:3" x14ac:dyDescent="0.25">
      <c r="A28" s="14" t="s">
        <v>25546</v>
      </c>
      <c r="B28" s="14" t="s">
        <v>37502</v>
      </c>
      <c r="C28" s="14">
        <v>1</v>
      </c>
    </row>
    <row r="29" spans="1:3" x14ac:dyDescent="0.25">
      <c r="A29" s="14" t="s">
        <v>140</v>
      </c>
      <c r="B29" s="14" t="s">
        <v>37524</v>
      </c>
      <c r="C29" s="14">
        <v>1</v>
      </c>
    </row>
    <row r="30" spans="1:3" x14ac:dyDescent="0.25">
      <c r="A30" s="14" t="s">
        <v>170</v>
      </c>
      <c r="B30" s="14" t="s">
        <v>37525</v>
      </c>
      <c r="C30" s="14">
        <v>1</v>
      </c>
    </row>
    <row r="31" spans="1:3" x14ac:dyDescent="0.25">
      <c r="A31" s="14" t="s">
        <v>37526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37527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37528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37502</v>
      </c>
      <c r="C37" s="14">
        <v>1</v>
      </c>
    </row>
    <row r="38" spans="1:3" x14ac:dyDescent="0.25">
      <c r="A38" s="14" t="s">
        <v>228</v>
      </c>
      <c r="B38" s="14" t="s">
        <v>37524</v>
      </c>
      <c r="C38" s="14">
        <v>1</v>
      </c>
    </row>
    <row r="39" spans="1:3" x14ac:dyDescent="0.25">
      <c r="A39" s="14" t="s">
        <v>25423</v>
      </c>
      <c r="B39" s="14" t="s">
        <v>37509</v>
      </c>
      <c r="C39" s="14">
        <v>1</v>
      </c>
    </row>
    <row r="40" spans="1:3" x14ac:dyDescent="0.25">
      <c r="A40" s="14" t="s">
        <v>215</v>
      </c>
      <c r="B40" s="14" t="s">
        <v>37529</v>
      </c>
      <c r="C40" s="14">
        <v>1</v>
      </c>
    </row>
    <row r="41" spans="1:3" x14ac:dyDescent="0.25">
      <c r="A41" s="14" t="s">
        <v>37530</v>
      </c>
      <c r="B41" s="14" t="s">
        <v>37531</v>
      </c>
      <c r="C41" s="14">
        <v>1</v>
      </c>
    </row>
    <row r="42" spans="1:3" x14ac:dyDescent="0.25">
      <c r="A42" s="14" t="s">
        <v>25568</v>
      </c>
      <c r="B42" s="14" t="s">
        <v>37516</v>
      </c>
      <c r="C42" s="14">
        <v>1</v>
      </c>
    </row>
    <row r="43" spans="1:3" x14ac:dyDescent="0.25">
      <c r="A43" s="14" t="s">
        <v>37532</v>
      </c>
      <c r="B43" s="14" t="s">
        <v>37514</v>
      </c>
      <c r="C43" s="14">
        <v>1</v>
      </c>
    </row>
    <row r="44" spans="1:3" x14ac:dyDescent="0.25">
      <c r="A44" s="14" t="s">
        <v>37533</v>
      </c>
      <c r="B44" s="14" t="s">
        <v>37534</v>
      </c>
      <c r="C44" s="14">
        <v>1</v>
      </c>
    </row>
    <row r="45" spans="1:3" x14ac:dyDescent="0.25">
      <c r="A45" s="14" t="s">
        <v>25507</v>
      </c>
      <c r="B45" s="14" t="s">
        <v>37535</v>
      </c>
      <c r="C45" s="14">
        <v>1</v>
      </c>
    </row>
    <row r="46" spans="1:3" x14ac:dyDescent="0.25">
      <c r="A46" s="14" t="s">
        <v>25410</v>
      </c>
      <c r="B46" s="14" t="s">
        <v>37518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37528</v>
      </c>
      <c r="C48" s="14">
        <v>1</v>
      </c>
    </row>
    <row r="49" spans="1:3" x14ac:dyDescent="0.25">
      <c r="A49" s="14" t="s">
        <v>25517</v>
      </c>
      <c r="B49" s="14" t="s">
        <v>37536</v>
      </c>
      <c r="C49" s="14">
        <v>1</v>
      </c>
    </row>
    <row r="50" spans="1:3" x14ac:dyDescent="0.25">
      <c r="A50" s="14" t="s">
        <v>25521</v>
      </c>
      <c r="B50" s="14" t="s">
        <v>37537</v>
      </c>
      <c r="C50" s="14">
        <v>1</v>
      </c>
    </row>
    <row r="51" spans="1:3" x14ac:dyDescent="0.25">
      <c r="A51" s="14" t="s">
        <v>25446</v>
      </c>
      <c r="B51" s="14" t="s">
        <v>37529</v>
      </c>
      <c r="C51" s="14">
        <v>1</v>
      </c>
    </row>
    <row r="52" spans="1:3" x14ac:dyDescent="0.25">
      <c r="A52" s="14" t="s">
        <v>25430</v>
      </c>
      <c r="B52" s="14" t="s">
        <v>37538</v>
      </c>
      <c r="C52" s="14">
        <v>1</v>
      </c>
    </row>
    <row r="53" spans="1:3" x14ac:dyDescent="0.25">
      <c r="A53" s="14" t="s">
        <v>37539</v>
      </c>
      <c r="B53" s="14" t="s">
        <v>37538</v>
      </c>
      <c r="C53" s="14">
        <v>1</v>
      </c>
    </row>
    <row r="54" spans="1:3" x14ac:dyDescent="0.25">
      <c r="A54" s="14" t="s">
        <v>37540</v>
      </c>
      <c r="B54" s="14" t="s">
        <v>37505</v>
      </c>
      <c r="C54" s="14">
        <v>1</v>
      </c>
    </row>
    <row r="55" spans="1:3" x14ac:dyDescent="0.25">
      <c r="A55" s="14" t="s">
        <v>25528</v>
      </c>
      <c r="B55" s="14" t="s">
        <v>37514</v>
      </c>
      <c r="C55" s="14">
        <v>1</v>
      </c>
    </row>
    <row r="56" spans="1:3" x14ac:dyDescent="0.25">
      <c r="A56" s="14" t="s">
        <v>37541</v>
      </c>
      <c r="B56" s="14" t="s">
        <v>37542</v>
      </c>
      <c r="C56" s="14">
        <v>1</v>
      </c>
    </row>
    <row r="57" spans="1:3" x14ac:dyDescent="0.25">
      <c r="A57" s="14" t="s">
        <v>37543</v>
      </c>
      <c r="B57" s="14" t="s">
        <v>37544</v>
      </c>
      <c r="C57" s="14">
        <v>1</v>
      </c>
    </row>
    <row r="58" spans="1:3" x14ac:dyDescent="0.25">
      <c r="A58" s="14" t="s">
        <v>25551</v>
      </c>
      <c r="B58" s="14" t="s">
        <v>37545</v>
      </c>
      <c r="C58" s="14">
        <v>1</v>
      </c>
    </row>
    <row r="59" spans="1:3" x14ac:dyDescent="0.25">
      <c r="A59" s="14" t="s">
        <v>25373</v>
      </c>
      <c r="B59" s="14" t="s">
        <v>37546</v>
      </c>
      <c r="C59" s="14">
        <v>1</v>
      </c>
    </row>
    <row r="60" spans="1:3" x14ac:dyDescent="0.25">
      <c r="A60" s="14" t="s">
        <v>25390</v>
      </c>
      <c r="B60" s="14" t="s">
        <v>37515</v>
      </c>
      <c r="C60" s="14">
        <v>1</v>
      </c>
    </row>
    <row r="61" spans="1:3" x14ac:dyDescent="0.25">
      <c r="A61" s="14" t="s">
        <v>25373</v>
      </c>
      <c r="B61" s="14" t="s">
        <v>37505</v>
      </c>
      <c r="C61" s="14">
        <v>1</v>
      </c>
    </row>
    <row r="62" spans="1:3" x14ac:dyDescent="0.25">
      <c r="A62" s="14" t="s">
        <v>25469</v>
      </c>
      <c r="B62" s="14" t="s">
        <v>37524</v>
      </c>
      <c r="C62" s="14">
        <v>1</v>
      </c>
    </row>
    <row r="63" spans="1:3" x14ac:dyDescent="0.25">
      <c r="A63" s="14" t="s">
        <v>25403</v>
      </c>
      <c r="B63" s="14" t="s">
        <v>37547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37514</v>
      </c>
      <c r="C65" s="14">
        <v>1</v>
      </c>
    </row>
    <row r="66" spans="1:3" x14ac:dyDescent="0.25">
      <c r="A66" s="14" t="s">
        <v>25482</v>
      </c>
      <c r="B66" s="14" t="s">
        <v>37548</v>
      </c>
      <c r="C66" s="14">
        <v>1</v>
      </c>
    </row>
    <row r="67" spans="1:3" x14ac:dyDescent="0.25">
      <c r="A67" s="14" t="s">
        <v>37549</v>
      </c>
      <c r="B67" s="14" t="s">
        <v>37536</v>
      </c>
      <c r="C67" s="14">
        <v>1</v>
      </c>
    </row>
    <row r="68" spans="1:3" x14ac:dyDescent="0.25">
      <c r="A68" s="14" t="s">
        <v>37550</v>
      </c>
      <c r="B68" s="14" t="s">
        <v>37505</v>
      </c>
      <c r="C68" s="14">
        <v>1</v>
      </c>
    </row>
    <row r="69" spans="1:3" x14ac:dyDescent="0.25">
      <c r="A69" s="14" t="s">
        <v>25567</v>
      </c>
      <c r="B69" s="14" t="s">
        <v>37551</v>
      </c>
      <c r="C69" s="14">
        <v>1</v>
      </c>
    </row>
    <row r="70" spans="1:3" x14ac:dyDescent="0.25">
      <c r="A70" s="14" t="s">
        <v>37552</v>
      </c>
      <c r="B70" s="14" t="s">
        <v>37538</v>
      </c>
      <c r="C70" s="14">
        <v>1</v>
      </c>
    </row>
    <row r="71" spans="1:3" x14ac:dyDescent="0.25">
      <c r="A71" s="14" t="s">
        <v>25561</v>
      </c>
      <c r="B71" s="14" t="s">
        <v>37553</v>
      </c>
      <c r="C71" s="14">
        <v>1</v>
      </c>
    </row>
    <row r="72" spans="1:3" x14ac:dyDescent="0.25">
      <c r="A72" s="14" t="s">
        <v>25573</v>
      </c>
      <c r="B72" s="14" t="s">
        <v>37554</v>
      </c>
      <c r="C72" s="14">
        <v>1</v>
      </c>
    </row>
    <row r="73" spans="1:3" x14ac:dyDescent="0.25">
      <c r="A73" s="14" t="s">
        <v>37555</v>
      </c>
      <c r="B73" s="14" t="s">
        <v>37556</v>
      </c>
      <c r="C73" s="14">
        <v>1</v>
      </c>
    </row>
    <row r="74" spans="1:3" x14ac:dyDescent="0.25">
      <c r="A74" s="14" t="s">
        <v>25533</v>
      </c>
      <c r="B74" s="14" t="s">
        <v>37557</v>
      </c>
      <c r="C74" s="14">
        <v>1</v>
      </c>
    </row>
    <row r="75" spans="1:3" x14ac:dyDescent="0.25">
      <c r="A75" s="14" t="s">
        <v>37555</v>
      </c>
      <c r="B75" s="14" t="s">
        <v>37558</v>
      </c>
      <c r="C75" s="14">
        <v>1</v>
      </c>
    </row>
    <row r="76" spans="1:3" x14ac:dyDescent="0.25">
      <c r="A76" s="14" t="s">
        <v>37559</v>
      </c>
      <c r="B76" s="14" t="s">
        <v>37560</v>
      </c>
      <c r="C76" s="14">
        <v>1</v>
      </c>
    </row>
    <row r="77" spans="1:3" x14ac:dyDescent="0.25">
      <c r="A77" s="14" t="s">
        <v>25553</v>
      </c>
      <c r="B77" s="14" t="s">
        <v>37561</v>
      </c>
      <c r="C77" s="14">
        <v>1</v>
      </c>
    </row>
    <row r="78" spans="1:3" x14ac:dyDescent="0.25">
      <c r="A78" s="14" t="s">
        <v>97</v>
      </c>
      <c r="B78" s="14" t="s">
        <v>37516</v>
      </c>
      <c r="C78" s="14">
        <v>1</v>
      </c>
    </row>
    <row r="79" spans="1:3" x14ac:dyDescent="0.25">
      <c r="A79" s="14" t="s">
        <v>218</v>
      </c>
      <c r="B79" s="14" t="s">
        <v>37562</v>
      </c>
      <c r="C79" s="14">
        <v>1</v>
      </c>
    </row>
    <row r="80" spans="1:3" x14ac:dyDescent="0.25">
      <c r="A80" s="14" t="s">
        <v>37563</v>
      </c>
      <c r="B80" s="14" t="s">
        <v>37564</v>
      </c>
      <c r="C80" s="14">
        <v>1</v>
      </c>
    </row>
    <row r="81" spans="1:3" x14ac:dyDescent="0.25">
      <c r="A81" s="14" t="s">
        <v>52</v>
      </c>
      <c r="B81" s="14" t="s">
        <v>37565</v>
      </c>
      <c r="C81" s="14">
        <v>1</v>
      </c>
    </row>
    <row r="82" spans="1:3" x14ac:dyDescent="0.25">
      <c r="A82" s="14" t="s">
        <v>25399</v>
      </c>
      <c r="B82" s="14" t="s">
        <v>37566</v>
      </c>
      <c r="C82" s="14">
        <v>1</v>
      </c>
    </row>
    <row r="83" spans="1:3" x14ac:dyDescent="0.25">
      <c r="A83" s="14" t="s">
        <v>25520</v>
      </c>
      <c r="B83" s="14" t="s">
        <v>37567</v>
      </c>
      <c r="C83" s="14">
        <v>1</v>
      </c>
    </row>
    <row r="84" spans="1:3" x14ac:dyDescent="0.25">
      <c r="A84" s="14" t="s">
        <v>54</v>
      </c>
      <c r="B84" s="14" t="s">
        <v>37503</v>
      </c>
      <c r="C84" s="14">
        <v>1</v>
      </c>
    </row>
    <row r="85" spans="1:3" x14ac:dyDescent="0.25">
      <c r="A85" s="14" t="s">
        <v>28</v>
      </c>
      <c r="B85" s="14" t="s">
        <v>37568</v>
      </c>
      <c r="C85" s="14">
        <v>1</v>
      </c>
    </row>
    <row r="86" spans="1:3" x14ac:dyDescent="0.25">
      <c r="A86" s="14" t="s">
        <v>25488</v>
      </c>
      <c r="B86" s="14" t="s">
        <v>37568</v>
      </c>
      <c r="C86" s="14">
        <v>1</v>
      </c>
    </row>
    <row r="87" spans="1:3" x14ac:dyDescent="0.25">
      <c r="A87" s="14" t="s">
        <v>22</v>
      </c>
      <c r="B87" s="14" t="s">
        <v>37569</v>
      </c>
      <c r="C87" s="14">
        <v>1</v>
      </c>
    </row>
    <row r="88" spans="1:3" x14ac:dyDescent="0.25">
      <c r="A88" s="14" t="s">
        <v>126</v>
      </c>
      <c r="B88" s="14" t="s">
        <v>37529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37524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37557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37570</v>
      </c>
      <c r="B95" s="14" t="s">
        <v>25370</v>
      </c>
      <c r="C95" s="14">
        <v>1</v>
      </c>
    </row>
    <row r="96" spans="1:3" x14ac:dyDescent="0.25">
      <c r="A96" s="14" t="s">
        <v>37058</v>
      </c>
      <c r="B96" s="14" t="s">
        <v>37503</v>
      </c>
      <c r="C96" s="14">
        <v>1</v>
      </c>
    </row>
    <row r="97" spans="1:3" x14ac:dyDescent="0.25">
      <c r="A97" s="14" t="s">
        <v>37571</v>
      </c>
      <c r="B97" s="14" t="s">
        <v>37511</v>
      </c>
      <c r="C97" s="14">
        <v>1</v>
      </c>
    </row>
    <row r="98" spans="1:3" x14ac:dyDescent="0.25">
      <c r="A98" s="14" t="s">
        <v>25398</v>
      </c>
      <c r="B98" s="14" t="s">
        <v>37508</v>
      </c>
      <c r="C98" s="14">
        <v>1</v>
      </c>
    </row>
    <row r="99" spans="1:3" x14ac:dyDescent="0.25">
      <c r="A99" s="14" t="s">
        <v>37572</v>
      </c>
      <c r="B99" s="14" t="s">
        <v>37511</v>
      </c>
      <c r="C99" s="14">
        <v>1</v>
      </c>
    </row>
    <row r="100" spans="1:3" x14ac:dyDescent="0.25">
      <c r="A100" s="14" t="s">
        <v>25511</v>
      </c>
      <c r="B100" s="14" t="s">
        <v>37537</v>
      </c>
      <c r="C100" s="14">
        <v>1</v>
      </c>
    </row>
    <row r="101" spans="1:3" x14ac:dyDescent="0.25">
      <c r="A101" s="14" t="s">
        <v>218</v>
      </c>
      <c r="B101" s="14" t="s">
        <v>37567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37573</v>
      </c>
      <c r="C104" s="14">
        <v>1</v>
      </c>
    </row>
    <row r="105" spans="1:3" x14ac:dyDescent="0.25">
      <c r="A105" s="14" t="s">
        <v>1</v>
      </c>
      <c r="B105" s="14" t="s">
        <v>37511</v>
      </c>
      <c r="C105" s="14">
        <v>1</v>
      </c>
    </row>
    <row r="106" spans="1:3" x14ac:dyDescent="0.25">
      <c r="A106" s="14" t="s">
        <v>36</v>
      </c>
      <c r="B106" s="14" t="s">
        <v>37503</v>
      </c>
      <c r="C106" s="14">
        <v>1</v>
      </c>
    </row>
    <row r="107" spans="1:3" x14ac:dyDescent="0.25">
      <c r="A107" s="14" t="s">
        <v>25403</v>
      </c>
      <c r="B107" s="14" t="s">
        <v>37508</v>
      </c>
      <c r="C107" s="14">
        <v>1</v>
      </c>
    </row>
    <row r="108" spans="1:3" x14ac:dyDescent="0.25">
      <c r="A108" s="14" t="s">
        <v>25483</v>
      </c>
      <c r="B108" s="14" t="s">
        <v>37529</v>
      </c>
      <c r="C108" s="14">
        <v>1</v>
      </c>
    </row>
    <row r="109" spans="1:3" x14ac:dyDescent="0.25">
      <c r="A109" s="14" t="s">
        <v>25456</v>
      </c>
      <c r="B109" s="14" t="s">
        <v>37524</v>
      </c>
      <c r="C109" s="14">
        <v>1</v>
      </c>
    </row>
    <row r="110" spans="1:3" x14ac:dyDescent="0.25">
      <c r="A110" s="14" t="s">
        <v>37574</v>
      </c>
      <c r="B110" s="14" t="s">
        <v>37504</v>
      </c>
      <c r="C110" s="14">
        <v>1</v>
      </c>
    </row>
    <row r="111" spans="1:3" x14ac:dyDescent="0.25">
      <c r="A111" s="14" t="s">
        <v>58</v>
      </c>
      <c r="B111" s="14" t="s">
        <v>37569</v>
      </c>
      <c r="C111" s="14">
        <v>1</v>
      </c>
    </row>
    <row r="112" spans="1:3" x14ac:dyDescent="0.25">
      <c r="A112" s="14" t="s">
        <v>37575</v>
      </c>
      <c r="B112" s="14" t="s">
        <v>37569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37576</v>
      </c>
      <c r="B114" s="14" t="s">
        <v>37561</v>
      </c>
      <c r="C114" s="14">
        <v>1</v>
      </c>
    </row>
    <row r="115" spans="1:3" x14ac:dyDescent="0.25">
      <c r="A115" s="14" t="s">
        <v>25574</v>
      </c>
      <c r="B115" s="14" t="s">
        <v>37503</v>
      </c>
      <c r="C115" s="14">
        <v>1</v>
      </c>
    </row>
    <row r="116" spans="1:3" x14ac:dyDescent="0.25">
      <c r="A116" s="14" t="s">
        <v>22</v>
      </c>
      <c r="B116" s="14" t="s">
        <v>37510</v>
      </c>
      <c r="C116" s="14">
        <v>1</v>
      </c>
    </row>
    <row r="117" spans="1:3" x14ac:dyDescent="0.25">
      <c r="A117" s="14" t="s">
        <v>35</v>
      </c>
      <c r="B117" s="14" t="s">
        <v>37569</v>
      </c>
      <c r="C117" s="14">
        <v>1</v>
      </c>
    </row>
    <row r="118" spans="1:3" x14ac:dyDescent="0.25">
      <c r="A118" s="14" t="s">
        <v>174</v>
      </c>
      <c r="B118" s="14" t="s">
        <v>37517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37516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37577</v>
      </c>
      <c r="C122" s="14">
        <v>1</v>
      </c>
    </row>
    <row r="123" spans="1:3" x14ac:dyDescent="0.25">
      <c r="A123" s="14" t="s">
        <v>37578</v>
      </c>
      <c r="B123" s="14" t="s">
        <v>37537</v>
      </c>
      <c r="C123" s="14">
        <v>1</v>
      </c>
    </row>
    <row r="124" spans="1:3" x14ac:dyDescent="0.25">
      <c r="A124" s="14" t="s">
        <v>25409</v>
      </c>
      <c r="B124" s="14" t="s">
        <v>37579</v>
      </c>
      <c r="C124" s="14">
        <v>1</v>
      </c>
    </row>
    <row r="125" spans="1:3" x14ac:dyDescent="0.25">
      <c r="A125" s="14" t="s">
        <v>25557</v>
      </c>
      <c r="B125" s="14" t="s">
        <v>37580</v>
      </c>
      <c r="C125" s="14">
        <v>1</v>
      </c>
    </row>
    <row r="126" spans="1:3" x14ac:dyDescent="0.25">
      <c r="A126" s="14" t="s">
        <v>55</v>
      </c>
      <c r="B126" s="14" t="s">
        <v>37569</v>
      </c>
      <c r="C126" s="14">
        <v>1</v>
      </c>
    </row>
    <row r="127" spans="1:3" x14ac:dyDescent="0.25">
      <c r="A127" s="14" t="s">
        <v>43</v>
      </c>
      <c r="B127" s="14" t="s">
        <v>37581</v>
      </c>
      <c r="C127" s="14">
        <v>1</v>
      </c>
    </row>
    <row r="128" spans="1:3" x14ac:dyDescent="0.25">
      <c r="A128" s="14" t="s">
        <v>1</v>
      </c>
      <c r="B128" s="14" t="s">
        <v>37510</v>
      </c>
      <c r="C128" s="14">
        <v>1</v>
      </c>
    </row>
    <row r="129" spans="1:3" x14ac:dyDescent="0.25">
      <c r="A129" s="14" t="s">
        <v>25526</v>
      </c>
      <c r="B129" s="14" t="s">
        <v>37536</v>
      </c>
      <c r="C129" s="14">
        <v>1</v>
      </c>
    </row>
    <row r="130" spans="1:3" x14ac:dyDescent="0.25">
      <c r="A130" s="14" t="s">
        <v>37582</v>
      </c>
      <c r="B130" s="14" t="s">
        <v>37583</v>
      </c>
      <c r="C130" s="14">
        <v>1</v>
      </c>
    </row>
    <row r="131" spans="1:3" x14ac:dyDescent="0.25">
      <c r="A131" s="14" t="s">
        <v>29</v>
      </c>
      <c r="B131" s="14" t="s">
        <v>37565</v>
      </c>
      <c r="C131" s="14">
        <v>1</v>
      </c>
    </row>
    <row r="132" spans="1:3" x14ac:dyDescent="0.25">
      <c r="A132" s="14" t="s">
        <v>42</v>
      </c>
      <c r="B132" s="14" t="s">
        <v>37523</v>
      </c>
      <c r="C132" s="14">
        <v>1</v>
      </c>
    </row>
    <row r="133" spans="1:3" x14ac:dyDescent="0.25">
      <c r="A133" s="14" t="s">
        <v>37584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37509</v>
      </c>
      <c r="C135" s="14">
        <v>1</v>
      </c>
    </row>
    <row r="136" spans="1:3" x14ac:dyDescent="0.25">
      <c r="A136" s="14" t="s">
        <v>37585</v>
      </c>
      <c r="B136" s="14" t="s">
        <v>37507</v>
      </c>
      <c r="C136" s="14">
        <v>1</v>
      </c>
    </row>
    <row r="137" spans="1:3" x14ac:dyDescent="0.25">
      <c r="A137" s="14" t="s">
        <v>25401</v>
      </c>
      <c r="B137" s="14" t="s">
        <v>37527</v>
      </c>
      <c r="C137" s="14">
        <v>1</v>
      </c>
    </row>
    <row r="138" spans="1:3" x14ac:dyDescent="0.25">
      <c r="A138" s="14" t="s">
        <v>28</v>
      </c>
      <c r="B138" s="14" t="s">
        <v>37569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37511</v>
      </c>
      <c r="C142" s="14">
        <v>1</v>
      </c>
    </row>
    <row r="143" spans="1:3" x14ac:dyDescent="0.25">
      <c r="A143" s="14" t="s">
        <v>22</v>
      </c>
      <c r="B143" s="14" t="s">
        <v>37529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37586</v>
      </c>
      <c r="B145" s="14" t="s">
        <v>37529</v>
      </c>
      <c r="C145" s="14">
        <v>1</v>
      </c>
    </row>
    <row r="146" spans="1:3" x14ac:dyDescent="0.25">
      <c r="A146" s="14" t="s">
        <v>99</v>
      </c>
      <c r="B146" s="14" t="s">
        <v>37557</v>
      </c>
      <c r="C146" s="14">
        <v>1</v>
      </c>
    </row>
    <row r="147" spans="1:3" x14ac:dyDescent="0.25">
      <c r="A147" s="14" t="s">
        <v>25460</v>
      </c>
      <c r="B147" s="14" t="s">
        <v>37569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37581</v>
      </c>
      <c r="C149" s="14">
        <v>1</v>
      </c>
    </row>
    <row r="150" spans="1:3" x14ac:dyDescent="0.25">
      <c r="A150" s="14" t="s">
        <v>238</v>
      </c>
      <c r="B150" s="14" t="s">
        <v>37529</v>
      </c>
      <c r="C150" s="14">
        <v>1</v>
      </c>
    </row>
    <row r="151" spans="1:3" x14ac:dyDescent="0.25">
      <c r="A151" s="14" t="s">
        <v>212</v>
      </c>
      <c r="B151" s="14" t="s">
        <v>37508</v>
      </c>
      <c r="C151" s="14">
        <v>1</v>
      </c>
    </row>
    <row r="152" spans="1:3" x14ac:dyDescent="0.25">
      <c r="A152" s="14" t="s">
        <v>25473</v>
      </c>
      <c r="B152" s="14" t="s">
        <v>37580</v>
      </c>
      <c r="C152" s="14">
        <v>1</v>
      </c>
    </row>
    <row r="153" spans="1:3" x14ac:dyDescent="0.25">
      <c r="A153" s="14" t="s">
        <v>25432</v>
      </c>
      <c r="B153" s="14" t="s">
        <v>37587</v>
      </c>
      <c r="C153" s="14">
        <v>1</v>
      </c>
    </row>
    <row r="154" spans="1:3" x14ac:dyDescent="0.25">
      <c r="A154" s="14" t="s">
        <v>27</v>
      </c>
      <c r="B154" s="14" t="s">
        <v>37511</v>
      </c>
      <c r="C154" s="14">
        <v>1</v>
      </c>
    </row>
    <row r="155" spans="1:3" x14ac:dyDescent="0.25">
      <c r="A155" s="14" t="s">
        <v>170</v>
      </c>
      <c r="B155" s="14" t="s">
        <v>37569</v>
      </c>
      <c r="C155" s="14">
        <v>1</v>
      </c>
    </row>
    <row r="156" spans="1:3" x14ac:dyDescent="0.25">
      <c r="A156" s="14" t="s">
        <v>25517</v>
      </c>
      <c r="B156" s="14" t="s">
        <v>37502</v>
      </c>
      <c r="C156" s="14">
        <v>1</v>
      </c>
    </row>
    <row r="157" spans="1:3" x14ac:dyDescent="0.25">
      <c r="A157" s="14" t="s">
        <v>25476</v>
      </c>
      <c r="B157" s="14" t="s">
        <v>37508</v>
      </c>
      <c r="C157" s="14">
        <v>1</v>
      </c>
    </row>
    <row r="158" spans="1:3" x14ac:dyDescent="0.25">
      <c r="A158" s="14" t="s">
        <v>37588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37517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37561</v>
      </c>
      <c r="C162" s="14">
        <v>1</v>
      </c>
    </row>
    <row r="163" spans="1:3" x14ac:dyDescent="0.25">
      <c r="A163" s="14" t="s">
        <v>37058</v>
      </c>
      <c r="B163" s="14" t="s">
        <v>37511</v>
      </c>
      <c r="C163" s="14">
        <v>1</v>
      </c>
    </row>
    <row r="164" spans="1:3" x14ac:dyDescent="0.25">
      <c r="A164" s="14" t="s">
        <v>25497</v>
      </c>
      <c r="B164" s="14" t="s">
        <v>37504</v>
      </c>
      <c r="C164" s="14">
        <v>1</v>
      </c>
    </row>
    <row r="165" spans="1:3" x14ac:dyDescent="0.25">
      <c r="A165" s="14" t="s">
        <v>228</v>
      </c>
      <c r="B165" s="14" t="s">
        <v>37502</v>
      </c>
      <c r="C165" s="14">
        <v>1</v>
      </c>
    </row>
    <row r="166" spans="1:3" x14ac:dyDescent="0.25">
      <c r="A166" s="14" t="s">
        <v>25410</v>
      </c>
      <c r="B166" s="14" t="s">
        <v>37589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37590</v>
      </c>
      <c r="C169" s="14">
        <v>1</v>
      </c>
    </row>
    <row r="170" spans="1:3" x14ac:dyDescent="0.25">
      <c r="A170" s="14" t="s">
        <v>25439</v>
      </c>
      <c r="B170" s="14" t="s">
        <v>37590</v>
      </c>
      <c r="C170" s="14">
        <v>1</v>
      </c>
    </row>
    <row r="171" spans="1:3" x14ac:dyDescent="0.25">
      <c r="A171" s="14" t="s">
        <v>41</v>
      </c>
      <c r="B171" s="14" t="s">
        <v>37544</v>
      </c>
      <c r="C171" s="14">
        <v>1</v>
      </c>
    </row>
    <row r="172" spans="1:3" x14ac:dyDescent="0.25">
      <c r="A172" s="14" t="s">
        <v>37591</v>
      </c>
      <c r="B172" s="14" t="s">
        <v>37508</v>
      </c>
      <c r="C172" s="14">
        <v>1</v>
      </c>
    </row>
    <row r="173" spans="1:3" x14ac:dyDescent="0.25">
      <c r="A173" s="14" t="s">
        <v>25549</v>
      </c>
      <c r="B173" s="14" t="s">
        <v>37537</v>
      </c>
      <c r="C173" s="14">
        <v>1</v>
      </c>
    </row>
    <row r="174" spans="1:3" x14ac:dyDescent="0.25">
      <c r="A174" s="14" t="s">
        <v>25550</v>
      </c>
      <c r="B174" s="14" t="s">
        <v>37545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37569</v>
      </c>
      <c r="C176" s="14">
        <v>1</v>
      </c>
    </row>
    <row r="177" spans="1:3" x14ac:dyDescent="0.25">
      <c r="A177" s="14" t="s">
        <v>25411</v>
      </c>
      <c r="B177" s="14" t="s">
        <v>37592</v>
      </c>
      <c r="C177" s="14">
        <v>1</v>
      </c>
    </row>
    <row r="178" spans="1:3" x14ac:dyDescent="0.25">
      <c r="A178" s="14" t="s">
        <v>25450</v>
      </c>
      <c r="B178" s="14" t="s">
        <v>37569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37593</v>
      </c>
      <c r="C180" s="14">
        <v>1</v>
      </c>
    </row>
    <row r="181" spans="1:3" x14ac:dyDescent="0.25">
      <c r="A181" s="14" t="s">
        <v>25498</v>
      </c>
      <c r="B181" s="14" t="s">
        <v>37518</v>
      </c>
      <c r="C181" s="14">
        <v>1</v>
      </c>
    </row>
    <row r="182" spans="1:3" x14ac:dyDescent="0.25">
      <c r="A182" s="14" t="s">
        <v>28</v>
      </c>
      <c r="B182" s="14" t="s">
        <v>37508</v>
      </c>
      <c r="C182" s="14">
        <v>1</v>
      </c>
    </row>
    <row r="183" spans="1:3" x14ac:dyDescent="0.25">
      <c r="A183" s="14" t="s">
        <v>25401</v>
      </c>
      <c r="B183" s="14" t="s">
        <v>37531</v>
      </c>
      <c r="C183" s="14">
        <v>1</v>
      </c>
    </row>
    <row r="184" spans="1:3" x14ac:dyDescent="0.25">
      <c r="A184" s="14" t="s">
        <v>97</v>
      </c>
      <c r="B184" s="14" t="s">
        <v>37504</v>
      </c>
      <c r="C184" s="14">
        <v>1</v>
      </c>
    </row>
    <row r="185" spans="1:3" x14ac:dyDescent="0.25">
      <c r="A185" s="14" t="s">
        <v>106</v>
      </c>
      <c r="B185" s="14" t="s">
        <v>37504</v>
      </c>
      <c r="C185" s="14">
        <v>1</v>
      </c>
    </row>
    <row r="186" spans="1:3" x14ac:dyDescent="0.25">
      <c r="A186" s="14" t="s">
        <v>25474</v>
      </c>
      <c r="B186" s="14" t="s">
        <v>37535</v>
      </c>
      <c r="C186" s="14">
        <v>1</v>
      </c>
    </row>
    <row r="187" spans="1:3" x14ac:dyDescent="0.25">
      <c r="A187" s="14" t="s">
        <v>37594</v>
      </c>
      <c r="B187" s="14" t="s">
        <v>37535</v>
      </c>
      <c r="C187" s="14">
        <v>1</v>
      </c>
    </row>
    <row r="188" spans="1:3" x14ac:dyDescent="0.25">
      <c r="A188" s="14" t="s">
        <v>25443</v>
      </c>
      <c r="B188" s="14" t="s">
        <v>37538</v>
      </c>
      <c r="C188" s="14">
        <v>1</v>
      </c>
    </row>
    <row r="189" spans="1:3" x14ac:dyDescent="0.25">
      <c r="A189" s="14" t="s">
        <v>25381</v>
      </c>
      <c r="B189" s="14" t="s">
        <v>37595</v>
      </c>
      <c r="C189" s="14">
        <v>1</v>
      </c>
    </row>
    <row r="190" spans="1:3" x14ac:dyDescent="0.25">
      <c r="A190" s="14" t="s">
        <v>27</v>
      </c>
      <c r="B190" s="14" t="s">
        <v>37509</v>
      </c>
      <c r="C190" s="14">
        <v>1</v>
      </c>
    </row>
    <row r="191" spans="1:3" x14ac:dyDescent="0.25">
      <c r="A191" s="14" t="s">
        <v>25521</v>
      </c>
      <c r="B191" s="14" t="s">
        <v>37593</v>
      </c>
      <c r="C191" s="14">
        <v>1</v>
      </c>
    </row>
    <row r="192" spans="1:3" x14ac:dyDescent="0.25">
      <c r="A192" s="14" t="s">
        <v>27</v>
      </c>
      <c r="B192" s="14" t="s">
        <v>37508</v>
      </c>
      <c r="C192" s="14">
        <v>1</v>
      </c>
    </row>
    <row r="193" spans="1:3" x14ac:dyDescent="0.25">
      <c r="A193" s="14" t="s">
        <v>23</v>
      </c>
      <c r="B193" s="14" t="s">
        <v>37503</v>
      </c>
      <c r="C193" s="14">
        <v>1</v>
      </c>
    </row>
    <row r="194" spans="1:3" x14ac:dyDescent="0.25">
      <c r="A194" s="14" t="s">
        <v>25578</v>
      </c>
      <c r="B194" s="14" t="s">
        <v>37509</v>
      </c>
      <c r="C194" s="14">
        <v>1</v>
      </c>
    </row>
    <row r="195" spans="1:3" x14ac:dyDescent="0.25">
      <c r="A195" s="14" t="s">
        <v>25568</v>
      </c>
      <c r="B195" s="14" t="s">
        <v>37538</v>
      </c>
      <c r="C195" s="14">
        <v>1</v>
      </c>
    </row>
    <row r="196" spans="1:3" x14ac:dyDescent="0.25">
      <c r="A196" s="14" t="s">
        <v>54</v>
      </c>
      <c r="B196" s="14" t="s">
        <v>37509</v>
      </c>
      <c r="C196" s="14">
        <v>1</v>
      </c>
    </row>
    <row r="197" spans="1:3" x14ac:dyDescent="0.25">
      <c r="A197" s="14" t="s">
        <v>25495</v>
      </c>
      <c r="B197" s="14" t="s">
        <v>37596</v>
      </c>
      <c r="C197" s="14">
        <v>1</v>
      </c>
    </row>
    <row r="198" spans="1:3" x14ac:dyDescent="0.25">
      <c r="A198" s="14" t="s">
        <v>52</v>
      </c>
      <c r="B198" s="14" t="s">
        <v>37569</v>
      </c>
      <c r="C198" s="14">
        <v>1</v>
      </c>
    </row>
    <row r="199" spans="1:3" x14ac:dyDescent="0.25">
      <c r="A199" s="14" t="s">
        <v>25535</v>
      </c>
      <c r="B199" s="14" t="s">
        <v>37597</v>
      </c>
      <c r="C199" s="14">
        <v>1</v>
      </c>
    </row>
    <row r="200" spans="1:3" x14ac:dyDescent="0.25">
      <c r="A200" s="14" t="s">
        <v>25384</v>
      </c>
      <c r="B200" s="14" t="s">
        <v>37592</v>
      </c>
      <c r="C200" s="14">
        <v>1</v>
      </c>
    </row>
    <row r="201" spans="1:3" x14ac:dyDescent="0.25">
      <c r="A201" s="14" t="s">
        <v>25402</v>
      </c>
      <c r="B201" s="14" t="s">
        <v>37538</v>
      </c>
      <c r="C201" s="14">
        <v>1</v>
      </c>
    </row>
    <row r="202" spans="1:3" x14ac:dyDescent="0.25">
      <c r="A202" s="14" t="s">
        <v>25526</v>
      </c>
      <c r="B202" s="14" t="s">
        <v>37503</v>
      </c>
      <c r="C202" s="14">
        <v>1</v>
      </c>
    </row>
    <row r="203" spans="1:3" x14ac:dyDescent="0.25">
      <c r="A203" s="14" t="s">
        <v>25436</v>
      </c>
      <c r="B203" s="14" t="s">
        <v>37527</v>
      </c>
      <c r="C203" s="14">
        <v>1</v>
      </c>
    </row>
    <row r="204" spans="1:3" x14ac:dyDescent="0.25">
      <c r="A204" s="14" t="s">
        <v>133</v>
      </c>
      <c r="B204" s="14" t="s">
        <v>37503</v>
      </c>
      <c r="C204" s="14">
        <v>1</v>
      </c>
    </row>
    <row r="205" spans="1:3" x14ac:dyDescent="0.25">
      <c r="A205" s="14" t="s">
        <v>25429</v>
      </c>
      <c r="B205" s="14" t="s">
        <v>37538</v>
      </c>
      <c r="C205" s="14">
        <v>1</v>
      </c>
    </row>
    <row r="206" spans="1:3" x14ac:dyDescent="0.25">
      <c r="A206" s="14" t="s">
        <v>25382</v>
      </c>
      <c r="B206" s="14" t="s">
        <v>37595</v>
      </c>
      <c r="C206" s="14">
        <v>1</v>
      </c>
    </row>
    <row r="207" spans="1:3" x14ac:dyDescent="0.25">
      <c r="A207" s="14" t="s">
        <v>25428</v>
      </c>
      <c r="B207" s="14" t="s">
        <v>37516</v>
      </c>
      <c r="C207" s="14">
        <v>1</v>
      </c>
    </row>
    <row r="208" spans="1:3" x14ac:dyDescent="0.25">
      <c r="A208" s="14" t="s">
        <v>25514</v>
      </c>
      <c r="B208" s="14" t="s">
        <v>37544</v>
      </c>
      <c r="C208" s="14">
        <v>1</v>
      </c>
    </row>
    <row r="209" spans="1:3" x14ac:dyDescent="0.25">
      <c r="A209" s="14" t="s">
        <v>25383</v>
      </c>
      <c r="B209" s="14" t="s">
        <v>37592</v>
      </c>
      <c r="C209" s="14">
        <v>1</v>
      </c>
    </row>
    <row r="210" spans="1:3" x14ac:dyDescent="0.25">
      <c r="A210" s="14" t="s">
        <v>25457</v>
      </c>
      <c r="B210" s="14" t="s">
        <v>37595</v>
      </c>
      <c r="C210" s="14">
        <v>1</v>
      </c>
    </row>
    <row r="211" spans="1:3" x14ac:dyDescent="0.25">
      <c r="A211" s="14" t="s">
        <v>25576</v>
      </c>
      <c r="B211" s="14" t="s">
        <v>37509</v>
      </c>
      <c r="C211" s="14">
        <v>1</v>
      </c>
    </row>
    <row r="212" spans="1:3" x14ac:dyDescent="0.25">
      <c r="A212" s="14" t="s">
        <v>25466</v>
      </c>
      <c r="B212" s="14" t="s">
        <v>37598</v>
      </c>
      <c r="C212" s="14">
        <v>1</v>
      </c>
    </row>
    <row r="213" spans="1:3" x14ac:dyDescent="0.25">
      <c r="A213" s="14" t="s">
        <v>233</v>
      </c>
      <c r="B213" s="14" t="s">
        <v>37581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37583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37599</v>
      </c>
      <c r="C218" s="14">
        <v>1</v>
      </c>
    </row>
    <row r="219" spans="1:3" x14ac:dyDescent="0.25">
      <c r="A219" s="14" t="s">
        <v>22</v>
      </c>
      <c r="B219" s="14" t="s">
        <v>37504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37556</v>
      </c>
      <c r="C221" s="14">
        <v>1</v>
      </c>
    </row>
    <row r="222" spans="1:3" x14ac:dyDescent="0.25">
      <c r="A222" s="14" t="s">
        <v>27</v>
      </c>
      <c r="B222" s="14" t="s">
        <v>37557</v>
      </c>
      <c r="C222" s="14">
        <v>1</v>
      </c>
    </row>
    <row r="223" spans="1:3" x14ac:dyDescent="0.25">
      <c r="A223" s="14" t="s">
        <v>25530</v>
      </c>
      <c r="B223" s="14" t="s">
        <v>37592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37502</v>
      </c>
      <c r="C225" s="14">
        <v>1</v>
      </c>
    </row>
    <row r="226" spans="1:3" x14ac:dyDescent="0.25">
      <c r="A226" s="14" t="s">
        <v>25527</v>
      </c>
      <c r="B226" s="14" t="s">
        <v>37503</v>
      </c>
      <c r="C226" s="14">
        <v>1</v>
      </c>
    </row>
    <row r="227" spans="1:3" x14ac:dyDescent="0.25">
      <c r="A227" s="14" t="s">
        <v>37056</v>
      </c>
      <c r="B227" s="14" t="s">
        <v>37519</v>
      </c>
      <c r="C227" s="14">
        <v>1</v>
      </c>
    </row>
    <row r="228" spans="1:3" x14ac:dyDescent="0.25">
      <c r="A228" s="14" t="s">
        <v>37600</v>
      </c>
      <c r="B228" s="14" t="s">
        <v>37508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37601</v>
      </c>
      <c r="C231" s="14">
        <v>1</v>
      </c>
    </row>
    <row r="232" spans="1:3" x14ac:dyDescent="0.25">
      <c r="A232" s="14" t="s">
        <v>37057</v>
      </c>
      <c r="B232" s="14" t="s">
        <v>37511</v>
      </c>
      <c r="C232" s="14">
        <v>1</v>
      </c>
    </row>
    <row r="233" spans="1:3" x14ac:dyDescent="0.25">
      <c r="A233" s="14" t="s">
        <v>37602</v>
      </c>
      <c r="B233" s="14" t="s">
        <v>37502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37529</v>
      </c>
      <c r="C235" s="14">
        <v>1</v>
      </c>
    </row>
    <row r="236" spans="1:3" x14ac:dyDescent="0.25">
      <c r="A236" s="14" t="s">
        <v>37059</v>
      </c>
      <c r="B236" s="14" t="s">
        <v>37569</v>
      </c>
      <c r="C236" s="14">
        <v>1</v>
      </c>
    </row>
    <row r="237" spans="1:3" x14ac:dyDescent="0.25">
      <c r="A237" s="14" t="s">
        <v>37060</v>
      </c>
      <c r="B237" s="14" t="s">
        <v>37504</v>
      </c>
      <c r="C237" s="14">
        <v>1</v>
      </c>
    </row>
    <row r="238" spans="1:3" x14ac:dyDescent="0.25">
      <c r="A238" s="14" t="s">
        <v>25517</v>
      </c>
      <c r="B238" s="14" t="s">
        <v>37508</v>
      </c>
      <c r="C238" s="14">
        <v>1</v>
      </c>
    </row>
    <row r="239" spans="1:3" x14ac:dyDescent="0.25">
      <c r="A239" s="14" t="s">
        <v>37584</v>
      </c>
      <c r="B239" s="14" t="s">
        <v>37538</v>
      </c>
      <c r="C239" s="14">
        <v>1</v>
      </c>
    </row>
    <row r="240" spans="1:3" x14ac:dyDescent="0.25">
      <c r="A240" s="14" t="s">
        <v>25451</v>
      </c>
      <c r="B240" s="14" t="s">
        <v>37569</v>
      </c>
      <c r="C240" s="14">
        <v>1</v>
      </c>
    </row>
    <row r="241" spans="1:3" x14ac:dyDescent="0.25">
      <c r="A241" s="14" t="s">
        <v>25389</v>
      </c>
      <c r="B241" s="14" t="s">
        <v>37592</v>
      </c>
      <c r="C241" s="14">
        <v>1</v>
      </c>
    </row>
    <row r="242" spans="1:3" x14ac:dyDescent="0.25">
      <c r="A242" s="14" t="s">
        <v>140</v>
      </c>
      <c r="B242" s="14" t="s">
        <v>37502</v>
      </c>
      <c r="C242" s="14">
        <v>1</v>
      </c>
    </row>
    <row r="243" spans="1:3" x14ac:dyDescent="0.25">
      <c r="A243" s="14" t="s">
        <v>25573</v>
      </c>
      <c r="B243" s="14" t="s">
        <v>37508</v>
      </c>
      <c r="C243" s="14">
        <v>1</v>
      </c>
    </row>
    <row r="244" spans="1:3" x14ac:dyDescent="0.25">
      <c r="A244" s="14" t="s">
        <v>37603</v>
      </c>
      <c r="B244" s="14" t="s">
        <v>37529</v>
      </c>
      <c r="C244" s="14">
        <v>1</v>
      </c>
    </row>
    <row r="245" spans="1:3" x14ac:dyDescent="0.25">
      <c r="A245" s="14" t="s">
        <v>25460</v>
      </c>
      <c r="B245" s="14" t="s">
        <v>37579</v>
      </c>
      <c r="C245" s="14">
        <v>1</v>
      </c>
    </row>
    <row r="246" spans="1:3" x14ac:dyDescent="0.25">
      <c r="A246" s="14" t="s">
        <v>25446</v>
      </c>
      <c r="B246" s="14" t="s">
        <v>37569</v>
      </c>
      <c r="C246" s="14">
        <v>1</v>
      </c>
    </row>
    <row r="247" spans="1:3" x14ac:dyDescent="0.25">
      <c r="A247" s="14" t="s">
        <v>37604</v>
      </c>
      <c r="B247" s="14" t="s">
        <v>37534</v>
      </c>
      <c r="C247" s="14">
        <v>1</v>
      </c>
    </row>
    <row r="248" spans="1:3" x14ac:dyDescent="0.25">
      <c r="A248" s="14" t="s">
        <v>42</v>
      </c>
      <c r="B248" s="14" t="s">
        <v>37565</v>
      </c>
      <c r="C248" s="14">
        <v>1</v>
      </c>
    </row>
    <row r="249" spans="1:3" x14ac:dyDescent="0.25">
      <c r="A249" s="14" t="s">
        <v>1</v>
      </c>
      <c r="B249" s="14" t="s">
        <v>37605</v>
      </c>
      <c r="C249" s="14">
        <v>1</v>
      </c>
    </row>
    <row r="250" spans="1:3" x14ac:dyDescent="0.25">
      <c r="A250" s="14" t="s">
        <v>25535</v>
      </c>
      <c r="B250" s="14" t="s">
        <v>37580</v>
      </c>
      <c r="C250" s="14">
        <v>1</v>
      </c>
    </row>
    <row r="251" spans="1:3" x14ac:dyDescent="0.25">
      <c r="A251" s="22" t="s">
        <v>37606</v>
      </c>
      <c r="B251" s="14" t="s">
        <v>37593</v>
      </c>
      <c r="C251" s="14">
        <v>1</v>
      </c>
    </row>
    <row r="252" spans="1:3" x14ac:dyDescent="0.25">
      <c r="A252" s="22" t="s">
        <v>25429</v>
      </c>
      <c r="B252" s="14" t="s">
        <v>37607</v>
      </c>
      <c r="C252" s="14">
        <v>1</v>
      </c>
    </row>
    <row r="253" spans="1:3" x14ac:dyDescent="0.25">
      <c r="A253" s="22" t="s">
        <v>25476</v>
      </c>
      <c r="B253" s="14" t="s">
        <v>37608</v>
      </c>
      <c r="C253" s="14">
        <v>1</v>
      </c>
    </row>
    <row r="254" spans="1:3" x14ac:dyDescent="0.25">
      <c r="A254" s="22" t="s">
        <v>34</v>
      </c>
      <c r="B254" s="14" t="s">
        <v>37509</v>
      </c>
      <c r="C254" s="14">
        <v>1</v>
      </c>
    </row>
    <row r="255" spans="1:3" x14ac:dyDescent="0.25">
      <c r="A255" s="14" t="s">
        <v>25548</v>
      </c>
      <c r="B255" s="14" t="s">
        <v>37507</v>
      </c>
      <c r="C255" s="14">
        <v>1</v>
      </c>
    </row>
    <row r="256" spans="1:3" x14ac:dyDescent="0.25">
      <c r="A256" s="14" t="s">
        <v>37609</v>
      </c>
      <c r="B256" s="14" t="s">
        <v>37554</v>
      </c>
      <c r="C256" s="14">
        <v>1</v>
      </c>
    </row>
    <row r="257" spans="1:3" x14ac:dyDescent="0.25">
      <c r="A257" s="14" t="s">
        <v>37610</v>
      </c>
      <c r="B257" s="14" t="s">
        <v>37592</v>
      </c>
      <c r="C257" s="14">
        <v>1</v>
      </c>
    </row>
    <row r="258" spans="1:3" x14ac:dyDescent="0.25">
      <c r="A258" s="14" t="s">
        <v>37611</v>
      </c>
      <c r="B258" s="14" t="s">
        <v>37561</v>
      </c>
      <c r="C258" s="14">
        <v>1</v>
      </c>
    </row>
    <row r="259" spans="1:3" x14ac:dyDescent="0.25">
      <c r="A259" s="14" t="s">
        <v>37612</v>
      </c>
      <c r="B259" s="14" t="s">
        <v>37581</v>
      </c>
      <c r="C259" s="14">
        <v>1</v>
      </c>
    </row>
    <row r="260" spans="1:3" x14ac:dyDescent="0.25">
      <c r="A260" s="14" t="s">
        <v>25484</v>
      </c>
      <c r="B260" s="14" t="s">
        <v>37547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37583</v>
      </c>
      <c r="C262" s="14">
        <v>1</v>
      </c>
    </row>
    <row r="263" spans="1:3" x14ac:dyDescent="0.25">
      <c r="A263" s="14" t="s">
        <v>37613</v>
      </c>
      <c r="B263" s="14" t="s">
        <v>37614</v>
      </c>
      <c r="C263" s="14">
        <v>1</v>
      </c>
    </row>
    <row r="264" spans="1:3" x14ac:dyDescent="0.25">
      <c r="A264" s="14" t="s">
        <v>37615</v>
      </c>
      <c r="B264" s="14" t="s">
        <v>37595</v>
      </c>
      <c r="C264" s="14">
        <v>1</v>
      </c>
    </row>
    <row r="265" spans="1:3" x14ac:dyDescent="0.25">
      <c r="A265" s="14" t="s">
        <v>25540</v>
      </c>
      <c r="B265" s="14" t="s">
        <v>37535</v>
      </c>
      <c r="C265" s="14">
        <v>1</v>
      </c>
    </row>
    <row r="266" spans="1:3" x14ac:dyDescent="0.25">
      <c r="A266" s="14" t="s">
        <v>37616</v>
      </c>
      <c r="B266" s="14" t="s">
        <v>37599</v>
      </c>
      <c r="C266" s="14">
        <v>1</v>
      </c>
    </row>
    <row r="267" spans="1:3" x14ac:dyDescent="0.25">
      <c r="A267" s="14" t="s">
        <v>25578</v>
      </c>
      <c r="B267" s="14" t="s">
        <v>37601</v>
      </c>
      <c r="C267" s="14">
        <v>1</v>
      </c>
    </row>
    <row r="268" spans="1:3" x14ac:dyDescent="0.25">
      <c r="A268" s="14" t="s">
        <v>25484</v>
      </c>
      <c r="B268" s="14" t="s">
        <v>37507</v>
      </c>
      <c r="C268" s="14">
        <v>1</v>
      </c>
    </row>
    <row r="269" spans="1:3" x14ac:dyDescent="0.25">
      <c r="A269" s="14" t="s">
        <v>25382</v>
      </c>
      <c r="B269" s="14" t="s">
        <v>37565</v>
      </c>
      <c r="C269" s="14">
        <v>1</v>
      </c>
    </row>
    <row r="270" spans="1:3" x14ac:dyDescent="0.25">
      <c r="A270" s="14" t="s">
        <v>37617</v>
      </c>
      <c r="B270" s="14" t="s">
        <v>37527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37560</v>
      </c>
      <c r="C272" s="14">
        <v>1</v>
      </c>
    </row>
    <row r="273" spans="1:3" x14ac:dyDescent="0.25">
      <c r="A273" s="14" t="s">
        <v>34</v>
      </c>
      <c r="B273" s="14" t="s">
        <v>37618</v>
      </c>
      <c r="C273" s="14">
        <v>1</v>
      </c>
    </row>
    <row r="274" spans="1:3" x14ac:dyDescent="0.25">
      <c r="A274" s="14" t="s">
        <v>25548</v>
      </c>
      <c r="B274" s="14" t="s">
        <v>37547</v>
      </c>
      <c r="C274" s="14">
        <v>1</v>
      </c>
    </row>
    <row r="275" spans="1:3" x14ac:dyDescent="0.25">
      <c r="A275" s="14" t="s">
        <v>37619</v>
      </c>
      <c r="B275" s="14" t="s">
        <v>37502</v>
      </c>
      <c r="C275" s="14">
        <v>1</v>
      </c>
    </row>
    <row r="276" spans="1:3" x14ac:dyDescent="0.25">
      <c r="A276" s="14" t="s">
        <v>37620</v>
      </c>
      <c r="B276" s="14" t="s">
        <v>37507</v>
      </c>
      <c r="C276" s="14">
        <v>1</v>
      </c>
    </row>
    <row r="277" spans="1:3" x14ac:dyDescent="0.25">
      <c r="A277" s="14" t="s">
        <v>37533</v>
      </c>
      <c r="B277" s="14" t="s">
        <v>37511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37621</v>
      </c>
      <c r="C279" s="14">
        <v>1</v>
      </c>
    </row>
    <row r="280" spans="1:3" x14ac:dyDescent="0.25">
      <c r="A280" s="14" t="s">
        <v>29</v>
      </c>
      <c r="B280" s="14" t="s">
        <v>37593</v>
      </c>
      <c r="C280" s="14">
        <v>1</v>
      </c>
    </row>
    <row r="281" spans="1:3" x14ac:dyDescent="0.25">
      <c r="A281" s="14" t="s">
        <v>238</v>
      </c>
      <c r="B281" s="14" t="s">
        <v>37565</v>
      </c>
      <c r="C281" s="14">
        <v>1</v>
      </c>
    </row>
    <row r="282" spans="1:3" x14ac:dyDescent="0.25">
      <c r="A282" s="14" t="s">
        <v>25530</v>
      </c>
      <c r="B282" s="14" t="s">
        <v>37524</v>
      </c>
      <c r="C282" s="14">
        <v>1</v>
      </c>
    </row>
    <row r="283" spans="1:3" x14ac:dyDescent="0.25">
      <c r="A283" s="14" t="s">
        <v>25535</v>
      </c>
      <c r="B283" s="14" t="s">
        <v>37535</v>
      </c>
      <c r="C283" s="14">
        <v>1</v>
      </c>
    </row>
    <row r="284" spans="1:3" x14ac:dyDescent="0.25">
      <c r="A284" s="14" t="s">
        <v>25547</v>
      </c>
      <c r="B284" s="14" t="s">
        <v>37622</v>
      </c>
      <c r="C284" s="14">
        <v>1</v>
      </c>
    </row>
    <row r="285" spans="1:3" x14ac:dyDescent="0.25">
      <c r="A285" s="14" t="s">
        <v>25424</v>
      </c>
      <c r="B285" s="14" t="s">
        <v>37545</v>
      </c>
      <c r="C285" s="14">
        <v>1</v>
      </c>
    </row>
    <row r="286" spans="1:3" x14ac:dyDescent="0.25">
      <c r="A286" s="14" t="s">
        <v>25461</v>
      </c>
      <c r="B286" s="14" t="s">
        <v>37579</v>
      </c>
      <c r="C286" s="14">
        <v>1</v>
      </c>
    </row>
    <row r="287" spans="1:3" x14ac:dyDescent="0.25">
      <c r="A287" s="14" t="s">
        <v>25555</v>
      </c>
      <c r="B287" s="14" t="s">
        <v>37535</v>
      </c>
      <c r="C287" s="14">
        <v>1</v>
      </c>
    </row>
    <row r="288" spans="1:3" x14ac:dyDescent="0.25">
      <c r="A288" s="14" t="s">
        <v>37623</v>
      </c>
      <c r="B288" s="14" t="s">
        <v>37592</v>
      </c>
      <c r="C288" s="14">
        <v>1</v>
      </c>
    </row>
    <row r="289" spans="1:3" x14ac:dyDescent="0.25">
      <c r="A289" s="14" t="s">
        <v>37624</v>
      </c>
      <c r="B289" s="14" t="s">
        <v>37564</v>
      </c>
      <c r="C289" s="14">
        <v>1</v>
      </c>
    </row>
    <row r="290" spans="1:3" x14ac:dyDescent="0.25">
      <c r="A290" s="14" t="s">
        <v>37625</v>
      </c>
      <c r="B290" s="14" t="s">
        <v>37518</v>
      </c>
      <c r="C290" s="14">
        <v>1</v>
      </c>
    </row>
    <row r="291" spans="1:3" x14ac:dyDescent="0.25">
      <c r="A291" s="14" t="s">
        <v>25512</v>
      </c>
      <c r="B291" s="14" t="s">
        <v>37560</v>
      </c>
      <c r="C291" s="14">
        <v>1</v>
      </c>
    </row>
    <row r="292" spans="1:3" x14ac:dyDescent="0.25">
      <c r="A292" s="14" t="s">
        <v>25379</v>
      </c>
      <c r="B292" s="14" t="s">
        <v>37545</v>
      </c>
      <c r="C292" s="14">
        <v>1</v>
      </c>
    </row>
    <row r="293" spans="1:3" x14ac:dyDescent="0.25">
      <c r="A293" s="14" t="s">
        <v>25389</v>
      </c>
      <c r="B293" s="14" t="s">
        <v>37560</v>
      </c>
      <c r="C293" s="14">
        <v>1</v>
      </c>
    </row>
    <row r="294" spans="1:3" x14ac:dyDescent="0.25">
      <c r="A294" s="14" t="s">
        <v>25391</v>
      </c>
      <c r="B294" s="14" t="s">
        <v>37626</v>
      </c>
      <c r="C294" s="14">
        <v>1</v>
      </c>
    </row>
    <row r="295" spans="1:3" x14ac:dyDescent="0.25">
      <c r="A295" s="14" t="s">
        <v>37522</v>
      </c>
      <c r="B295" s="14" t="s">
        <v>37509</v>
      </c>
      <c r="C295" s="14">
        <v>1</v>
      </c>
    </row>
    <row r="296" spans="1:3" x14ac:dyDescent="0.25">
      <c r="A296" s="14" t="s">
        <v>228</v>
      </c>
      <c r="B296" s="14" t="s">
        <v>37627</v>
      </c>
      <c r="C296" s="14">
        <v>1</v>
      </c>
    </row>
    <row r="297" spans="1:3" x14ac:dyDescent="0.25">
      <c r="A297" s="14" t="s">
        <v>25472</v>
      </c>
      <c r="B297" s="14" t="s">
        <v>37507</v>
      </c>
      <c r="C297" s="14">
        <v>1</v>
      </c>
    </row>
    <row r="298" spans="1:3" x14ac:dyDescent="0.25">
      <c r="A298" s="14" t="s">
        <v>37628</v>
      </c>
      <c r="B298" s="14" t="s">
        <v>37593</v>
      </c>
      <c r="C298" s="14">
        <v>1</v>
      </c>
    </row>
    <row r="299" spans="1:3" x14ac:dyDescent="0.25">
      <c r="A299" s="14" t="s">
        <v>25550</v>
      </c>
      <c r="B299" s="14" t="s">
        <v>37548</v>
      </c>
      <c r="C299" s="14">
        <v>1</v>
      </c>
    </row>
    <row r="300" spans="1:3" x14ac:dyDescent="0.25">
      <c r="A300" s="14" t="s">
        <v>25506</v>
      </c>
      <c r="B300" s="14" t="s">
        <v>37621</v>
      </c>
      <c r="C300" s="14">
        <v>1</v>
      </c>
    </row>
    <row r="301" spans="1:3" x14ac:dyDescent="0.25">
      <c r="A301" s="14" t="s">
        <v>28</v>
      </c>
      <c r="B301" s="14" t="s">
        <v>37510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37629</v>
      </c>
      <c r="B303" s="14" t="s">
        <v>37621</v>
      </c>
      <c r="C303" s="14">
        <v>1</v>
      </c>
    </row>
    <row r="304" spans="1:3" x14ac:dyDescent="0.25">
      <c r="A304" s="14" t="s">
        <v>25388</v>
      </c>
      <c r="B304" s="14" t="s">
        <v>37507</v>
      </c>
      <c r="C304" s="14">
        <v>1</v>
      </c>
    </row>
    <row r="305" spans="1:3" x14ac:dyDescent="0.25">
      <c r="A305" s="14" t="s">
        <v>37563</v>
      </c>
      <c r="B305" s="14" t="s">
        <v>37593</v>
      </c>
      <c r="C305" s="14">
        <v>1</v>
      </c>
    </row>
    <row r="306" spans="1:3" x14ac:dyDescent="0.25">
      <c r="A306" s="14" t="s">
        <v>25485</v>
      </c>
      <c r="B306" s="14" t="s">
        <v>37595</v>
      </c>
      <c r="C306" s="14">
        <v>1</v>
      </c>
    </row>
    <row r="307" spans="1:3" x14ac:dyDescent="0.25">
      <c r="A307" s="14" t="s">
        <v>25486</v>
      </c>
      <c r="B307" s="14" t="s">
        <v>37630</v>
      </c>
      <c r="C307" s="14">
        <v>1</v>
      </c>
    </row>
    <row r="308" spans="1:3" x14ac:dyDescent="0.25">
      <c r="A308" s="14" t="s">
        <v>25490</v>
      </c>
      <c r="B308" s="14" t="s">
        <v>37592</v>
      </c>
      <c r="C308" s="14">
        <v>1</v>
      </c>
    </row>
    <row r="309" spans="1:3" x14ac:dyDescent="0.25">
      <c r="A309" s="14" t="s">
        <v>25531</v>
      </c>
      <c r="B309" s="14" t="s">
        <v>37631</v>
      </c>
      <c r="C309" s="14">
        <v>1</v>
      </c>
    </row>
    <row r="310" spans="1:3" x14ac:dyDescent="0.25">
      <c r="A310" s="14" t="s">
        <v>25536</v>
      </c>
      <c r="B310" s="14" t="s">
        <v>37632</v>
      </c>
      <c r="C310" s="14">
        <v>1</v>
      </c>
    </row>
    <row r="311" spans="1:3" x14ac:dyDescent="0.25">
      <c r="A311" s="14" t="s">
        <v>25537</v>
      </c>
      <c r="B311" s="14" t="s">
        <v>37542</v>
      </c>
      <c r="C311" s="14">
        <v>1</v>
      </c>
    </row>
    <row r="312" spans="1:3" x14ac:dyDescent="0.25">
      <c r="A312" s="14" t="s">
        <v>25538</v>
      </c>
      <c r="B312" s="14" t="s">
        <v>37567</v>
      </c>
      <c r="C312" s="14">
        <v>1</v>
      </c>
    </row>
    <row r="313" spans="1:3" x14ac:dyDescent="0.25">
      <c r="A313" s="14" t="s">
        <v>25570</v>
      </c>
      <c r="B313" s="14" t="s">
        <v>37596</v>
      </c>
      <c r="C313" s="14">
        <v>1</v>
      </c>
    </row>
    <row r="314" spans="1:3" x14ac:dyDescent="0.25">
      <c r="A314" s="14" t="s">
        <v>25575</v>
      </c>
      <c r="B314" s="14" t="s">
        <v>37568</v>
      </c>
      <c r="C314" s="14">
        <v>1</v>
      </c>
    </row>
    <row r="315" spans="1:3" x14ac:dyDescent="0.25">
      <c r="A315" s="14" t="s">
        <v>25406</v>
      </c>
      <c r="B315" s="14" t="s">
        <v>37633</v>
      </c>
      <c r="C315" s="14">
        <v>1</v>
      </c>
    </row>
    <row r="316" spans="1:3" x14ac:dyDescent="0.25">
      <c r="A316" s="14" t="s">
        <v>25502</v>
      </c>
      <c r="B316" s="14" t="s">
        <v>37504</v>
      </c>
      <c r="C316" s="14">
        <v>1</v>
      </c>
    </row>
    <row r="317" spans="1:3" x14ac:dyDescent="0.25">
      <c r="A317" s="14" t="s">
        <v>1</v>
      </c>
      <c r="B317" s="14" t="s">
        <v>37523</v>
      </c>
      <c r="C317" s="14">
        <v>1</v>
      </c>
    </row>
    <row r="318" spans="1:3" x14ac:dyDescent="0.25">
      <c r="A318" s="14" t="s">
        <v>25499</v>
      </c>
      <c r="B318" s="14" t="s">
        <v>37607</v>
      </c>
      <c r="C318" s="14">
        <v>1</v>
      </c>
    </row>
    <row r="319" spans="1:3" x14ac:dyDescent="0.25">
      <c r="A319" s="14" t="s">
        <v>35</v>
      </c>
      <c r="B319" s="14" t="s">
        <v>37503</v>
      </c>
      <c r="C319" s="14">
        <v>1</v>
      </c>
    </row>
    <row r="320" spans="1:3" x14ac:dyDescent="0.25">
      <c r="A320" s="14" t="s">
        <v>25456</v>
      </c>
      <c r="B320" s="14" t="s">
        <v>37601</v>
      </c>
      <c r="C320" s="14">
        <v>1</v>
      </c>
    </row>
    <row r="321" spans="1:3" x14ac:dyDescent="0.25">
      <c r="A321" s="14">
        <v>0</v>
      </c>
      <c r="B321" s="14" t="s">
        <v>37607</v>
      </c>
      <c r="C321" s="14">
        <v>1</v>
      </c>
    </row>
    <row r="322" spans="1:3" x14ac:dyDescent="0.25">
      <c r="A322" s="14">
        <v>0</v>
      </c>
      <c r="B322" s="14" t="s">
        <v>37503</v>
      </c>
      <c r="C322" s="14">
        <v>1</v>
      </c>
    </row>
    <row r="323" spans="1:3" x14ac:dyDescent="0.25">
      <c r="A323" s="14">
        <v>0</v>
      </c>
      <c r="B323" s="14" t="s">
        <v>37593</v>
      </c>
      <c r="C323" s="14">
        <v>1</v>
      </c>
    </row>
    <row r="324" spans="1:3" x14ac:dyDescent="0.25">
      <c r="A324" s="14">
        <v>0</v>
      </c>
      <c r="B324" s="14" t="s">
        <v>37504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37565</v>
      </c>
      <c r="C326" s="14">
        <v>1</v>
      </c>
    </row>
    <row r="327" spans="1:3" x14ac:dyDescent="0.25">
      <c r="A327" s="14">
        <v>0</v>
      </c>
      <c r="B327" s="14" t="s">
        <v>37518</v>
      </c>
      <c r="C327" s="14">
        <v>1</v>
      </c>
    </row>
    <row r="328" spans="1:3" x14ac:dyDescent="0.25">
      <c r="A328" s="14">
        <v>0</v>
      </c>
      <c r="B328" s="14" t="s">
        <v>37510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37569</v>
      </c>
      <c r="C330" s="14">
        <v>1</v>
      </c>
    </row>
    <row r="331" spans="1:3" x14ac:dyDescent="0.25">
      <c r="A331" s="14" t="s">
        <v>25510</v>
      </c>
      <c r="B331" s="14" t="s">
        <v>37569</v>
      </c>
      <c r="C331" s="14">
        <v>1</v>
      </c>
    </row>
    <row r="332" spans="1:3" x14ac:dyDescent="0.25">
      <c r="A332" s="14" t="s">
        <v>25416</v>
      </c>
      <c r="B332" s="14" t="s">
        <v>37569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37569</v>
      </c>
      <c r="C334" s="14">
        <v>1</v>
      </c>
    </row>
    <row r="335" spans="1:3" x14ac:dyDescent="0.25">
      <c r="A335" s="14" t="s">
        <v>37634</v>
      </c>
      <c r="B335" s="14" t="s">
        <v>37599</v>
      </c>
      <c r="C335" s="14">
        <v>1</v>
      </c>
    </row>
    <row r="336" spans="1:3" x14ac:dyDescent="0.25">
      <c r="A336" s="14" t="s">
        <v>26</v>
      </c>
      <c r="B336" s="14" t="s">
        <v>37527</v>
      </c>
      <c r="C336" s="14">
        <v>1</v>
      </c>
    </row>
    <row r="337" spans="1:3" x14ac:dyDescent="0.25">
      <c r="A337" s="14" t="s">
        <v>25459</v>
      </c>
      <c r="B337" s="14" t="s">
        <v>37569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37505</v>
      </c>
      <c r="C340" s="14">
        <v>1</v>
      </c>
    </row>
    <row r="341" spans="1:3" x14ac:dyDescent="0.25">
      <c r="A341" s="14" t="s">
        <v>25508</v>
      </c>
      <c r="B341" s="14" t="s">
        <v>37505</v>
      </c>
      <c r="C341" s="14">
        <v>1</v>
      </c>
    </row>
    <row r="342" spans="1:3" x14ac:dyDescent="0.25">
      <c r="A342" s="14" t="s">
        <v>25524</v>
      </c>
      <c r="B342" s="14" t="s">
        <v>37566</v>
      </c>
      <c r="C342" s="14">
        <v>1</v>
      </c>
    </row>
    <row r="343" spans="1:3" x14ac:dyDescent="0.25">
      <c r="A343" s="14" t="s">
        <v>26</v>
      </c>
      <c r="B343" s="14" t="s">
        <v>37518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37565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37622</v>
      </c>
      <c r="C348" s="14">
        <v>1</v>
      </c>
    </row>
    <row r="349" spans="1:3" x14ac:dyDescent="0.25">
      <c r="A349" s="14" t="s">
        <v>109</v>
      </c>
      <c r="B349" s="14" t="s">
        <v>37523</v>
      </c>
      <c r="C349" s="14">
        <v>1</v>
      </c>
    </row>
    <row r="350" spans="1:3" x14ac:dyDescent="0.25">
      <c r="A350" s="14" t="s">
        <v>37635</v>
      </c>
      <c r="B350" s="14" t="s">
        <v>37517</v>
      </c>
      <c r="C350" s="14">
        <v>1</v>
      </c>
    </row>
    <row r="351" spans="1:3" x14ac:dyDescent="0.25">
      <c r="A351" s="14" t="s">
        <v>1</v>
      </c>
      <c r="B351" s="14" t="s">
        <v>37593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37565</v>
      </c>
      <c r="C353" s="14">
        <v>1</v>
      </c>
    </row>
    <row r="354" spans="1:3" x14ac:dyDescent="0.25">
      <c r="A354" s="14" t="s">
        <v>25404</v>
      </c>
      <c r="B354" s="14" t="s">
        <v>37504</v>
      </c>
      <c r="C354" s="14">
        <v>1</v>
      </c>
    </row>
    <row r="355" spans="1:3" x14ac:dyDescent="0.25">
      <c r="A355" s="14" t="s">
        <v>25419</v>
      </c>
      <c r="B355" s="14" t="s">
        <v>37509</v>
      </c>
      <c r="C355" s="14">
        <v>1</v>
      </c>
    </row>
    <row r="356" spans="1:3" x14ac:dyDescent="0.25">
      <c r="A356" s="14" t="s">
        <v>219</v>
      </c>
      <c r="B356" s="14" t="s">
        <v>37537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37561</v>
      </c>
      <c r="C358" s="14">
        <v>1</v>
      </c>
    </row>
    <row r="359" spans="1:3" x14ac:dyDescent="0.25">
      <c r="A359" s="14" t="s">
        <v>25462</v>
      </c>
      <c r="B359" s="14" t="s">
        <v>37577</v>
      </c>
      <c r="C359" s="14">
        <v>1</v>
      </c>
    </row>
    <row r="360" spans="1:3" x14ac:dyDescent="0.25">
      <c r="A360" s="14" t="s">
        <v>25473</v>
      </c>
      <c r="B360" s="14" t="s">
        <v>37514</v>
      </c>
      <c r="C360" s="14">
        <v>1</v>
      </c>
    </row>
    <row r="361" spans="1:3" x14ac:dyDescent="0.25">
      <c r="A361" s="14" t="s">
        <v>52</v>
      </c>
      <c r="B361" s="14" t="s">
        <v>37538</v>
      </c>
      <c r="C361" s="14">
        <v>1</v>
      </c>
    </row>
    <row r="362" spans="1:3" x14ac:dyDescent="0.25">
      <c r="A362" s="14" t="s">
        <v>25557</v>
      </c>
      <c r="B362" s="14" t="s">
        <v>37519</v>
      </c>
      <c r="C362" s="14">
        <v>1</v>
      </c>
    </row>
    <row r="363" spans="1:3" x14ac:dyDescent="0.25">
      <c r="A363" s="14" t="s">
        <v>219</v>
      </c>
      <c r="B363" s="14" t="s">
        <v>37566</v>
      </c>
      <c r="C363" s="14">
        <v>1</v>
      </c>
    </row>
    <row r="364" spans="1:3" x14ac:dyDescent="0.25">
      <c r="A364" s="14" t="s">
        <v>25450</v>
      </c>
      <c r="B364" s="14" t="s">
        <v>37595</v>
      </c>
      <c r="C364" s="14">
        <v>1</v>
      </c>
    </row>
    <row r="365" spans="1:3" x14ac:dyDescent="0.25">
      <c r="A365" s="14" t="s">
        <v>25460</v>
      </c>
      <c r="B365" s="14" t="s">
        <v>37630</v>
      </c>
      <c r="C365" s="14">
        <v>1</v>
      </c>
    </row>
    <row r="366" spans="1:3" x14ac:dyDescent="0.25">
      <c r="A366" s="14" t="s">
        <v>43</v>
      </c>
      <c r="B366" s="14" t="s">
        <v>37513</v>
      </c>
      <c r="C366" s="14">
        <v>1</v>
      </c>
    </row>
    <row r="367" spans="1:3" x14ac:dyDescent="0.25">
      <c r="A367" s="14" t="s">
        <v>25517</v>
      </c>
      <c r="B367" s="14" t="s">
        <v>37592</v>
      </c>
      <c r="C367" s="14">
        <v>1</v>
      </c>
    </row>
    <row r="368" spans="1:3" x14ac:dyDescent="0.25">
      <c r="A368" s="14" t="s">
        <v>25522</v>
      </c>
      <c r="B368" s="14" t="s">
        <v>37608</v>
      </c>
      <c r="C368" s="14">
        <v>1</v>
      </c>
    </row>
    <row r="369" spans="1:3" x14ac:dyDescent="0.25">
      <c r="A369" s="14" t="s">
        <v>58</v>
      </c>
      <c r="B369" s="14" t="s">
        <v>37527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37636</v>
      </c>
      <c r="C371" s="14">
        <v>1</v>
      </c>
    </row>
    <row r="372" spans="1:3" x14ac:dyDescent="0.25">
      <c r="A372" s="14" t="s">
        <v>56</v>
      </c>
      <c r="B372" s="14" t="s">
        <v>37595</v>
      </c>
      <c r="C372" s="14">
        <v>1</v>
      </c>
    </row>
    <row r="373" spans="1:3" x14ac:dyDescent="0.25">
      <c r="A373" s="14" t="s">
        <v>25517</v>
      </c>
      <c r="B373" s="14" t="s">
        <v>37622</v>
      </c>
      <c r="C373" s="14">
        <v>1</v>
      </c>
    </row>
    <row r="374" spans="1:3" x14ac:dyDescent="0.25">
      <c r="A374" s="14" t="s">
        <v>25533</v>
      </c>
      <c r="B374" s="14" t="s">
        <v>37531</v>
      </c>
      <c r="C374" s="14">
        <v>1</v>
      </c>
    </row>
    <row r="375" spans="1:3" x14ac:dyDescent="0.25">
      <c r="A375" s="14" t="s">
        <v>25442</v>
      </c>
      <c r="B375" s="14" t="s">
        <v>37546</v>
      </c>
      <c r="C375" s="14">
        <v>1</v>
      </c>
    </row>
    <row r="376" spans="1:3" x14ac:dyDescent="0.25">
      <c r="A376" s="14" t="s">
        <v>25447</v>
      </c>
      <c r="B376" s="14" t="s">
        <v>37529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37569</v>
      </c>
      <c r="C378" s="14">
        <v>1</v>
      </c>
    </row>
    <row r="379" spans="1:3" x14ac:dyDescent="0.25">
      <c r="A379" s="14" t="s">
        <v>25448</v>
      </c>
      <c r="B379" s="14" t="s">
        <v>37507</v>
      </c>
      <c r="C379" s="14">
        <v>1</v>
      </c>
    </row>
    <row r="380" spans="1:3" x14ac:dyDescent="0.25">
      <c r="A380" s="14" t="s">
        <v>28</v>
      </c>
      <c r="B380" s="14" t="s">
        <v>37503</v>
      </c>
      <c r="C380" s="14">
        <v>1</v>
      </c>
    </row>
    <row r="381" spans="1:3" x14ac:dyDescent="0.25">
      <c r="A381" s="14" t="s">
        <v>25422</v>
      </c>
      <c r="B381" s="14" t="s">
        <v>37601</v>
      </c>
      <c r="C381" s="14">
        <v>1</v>
      </c>
    </row>
    <row r="382" spans="1:3" x14ac:dyDescent="0.25">
      <c r="A382" s="14" t="s">
        <v>25543</v>
      </c>
      <c r="B382" s="14" t="s">
        <v>37599</v>
      </c>
      <c r="C382" s="14">
        <v>1</v>
      </c>
    </row>
    <row r="383" spans="1:3" x14ac:dyDescent="0.25">
      <c r="A383" s="14" t="s">
        <v>25435</v>
      </c>
      <c r="B383" s="14" t="s">
        <v>37573</v>
      </c>
      <c r="C383" s="14">
        <v>1</v>
      </c>
    </row>
    <row r="384" spans="1:3" x14ac:dyDescent="0.25">
      <c r="A384" s="14" t="s">
        <v>25375</v>
      </c>
      <c r="B384" s="14" t="s">
        <v>37545</v>
      </c>
      <c r="C384" s="14">
        <v>1</v>
      </c>
    </row>
    <row r="385" spans="1:3" x14ac:dyDescent="0.25">
      <c r="A385" s="14" t="s">
        <v>96</v>
      </c>
      <c r="B385" s="14" t="s">
        <v>37502</v>
      </c>
      <c r="C385" s="14">
        <v>1</v>
      </c>
    </row>
    <row r="386" spans="1:3" x14ac:dyDescent="0.25">
      <c r="A386" s="14" t="s">
        <v>25417</v>
      </c>
      <c r="B386" s="14" t="s">
        <v>37535</v>
      </c>
      <c r="C386" s="14">
        <v>1</v>
      </c>
    </row>
    <row r="387" spans="1:3" x14ac:dyDescent="0.25">
      <c r="A387" s="14" t="s">
        <v>25473</v>
      </c>
      <c r="B387" s="14" t="s">
        <v>37622</v>
      </c>
      <c r="C387" s="14">
        <v>1</v>
      </c>
    </row>
    <row r="388" spans="1:3" x14ac:dyDescent="0.25">
      <c r="A388" s="14" t="s">
        <v>22</v>
      </c>
      <c r="B388" s="14" t="s">
        <v>37509</v>
      </c>
      <c r="C388" s="14">
        <v>1</v>
      </c>
    </row>
    <row r="389" spans="1:3" x14ac:dyDescent="0.25">
      <c r="A389" s="14" t="s">
        <v>25545</v>
      </c>
      <c r="B389" s="14" t="s">
        <v>37601</v>
      </c>
      <c r="C389" s="14">
        <v>1</v>
      </c>
    </row>
    <row r="390" spans="1:3" x14ac:dyDescent="0.25">
      <c r="A390" s="14" t="s">
        <v>25487</v>
      </c>
      <c r="B390" s="14" t="s">
        <v>37519</v>
      </c>
      <c r="C390" s="14">
        <v>1</v>
      </c>
    </row>
    <row r="391" spans="1:3" x14ac:dyDescent="0.25">
      <c r="A391" s="14" t="s">
        <v>25501</v>
      </c>
      <c r="B391" s="14" t="s">
        <v>37583</v>
      </c>
      <c r="C391" s="14">
        <v>1</v>
      </c>
    </row>
    <row r="392" spans="1:3" x14ac:dyDescent="0.25">
      <c r="A392" s="14" t="s">
        <v>25500</v>
      </c>
      <c r="B392" s="14" t="s">
        <v>37509</v>
      </c>
      <c r="C392" s="14">
        <v>1</v>
      </c>
    </row>
    <row r="393" spans="1:3" x14ac:dyDescent="0.25">
      <c r="A393" s="14" t="s">
        <v>52</v>
      </c>
      <c r="B393" s="14" t="s">
        <v>37553</v>
      </c>
      <c r="C393" s="14">
        <v>1</v>
      </c>
    </row>
    <row r="394" spans="1:3" x14ac:dyDescent="0.25">
      <c r="A394" s="14" t="s">
        <v>25418</v>
      </c>
      <c r="B394" s="14" t="s">
        <v>37637</v>
      </c>
      <c r="C394" s="14">
        <v>1</v>
      </c>
    </row>
    <row r="395" spans="1:3" x14ac:dyDescent="0.25">
      <c r="A395" s="14" t="s">
        <v>150</v>
      </c>
      <c r="B395" s="14" t="s">
        <v>37589</v>
      </c>
      <c r="C395" s="14">
        <v>1</v>
      </c>
    </row>
    <row r="396" spans="1:3" x14ac:dyDescent="0.25">
      <c r="A396" s="14" t="s">
        <v>25407</v>
      </c>
      <c r="B396" s="14" t="s">
        <v>37614</v>
      </c>
      <c r="C396" s="14">
        <v>1</v>
      </c>
    </row>
    <row r="397" spans="1:3" x14ac:dyDescent="0.25">
      <c r="A397" s="14" t="s">
        <v>52</v>
      </c>
      <c r="B397" s="14" t="s">
        <v>37607</v>
      </c>
      <c r="C397" s="14">
        <v>1</v>
      </c>
    </row>
    <row r="398" spans="1:3" x14ac:dyDescent="0.25">
      <c r="A398" s="14" t="s">
        <v>126</v>
      </c>
      <c r="B398" s="14" t="s">
        <v>37525</v>
      </c>
      <c r="C398" s="14">
        <v>1</v>
      </c>
    </row>
    <row r="399" spans="1:3" x14ac:dyDescent="0.25">
      <c r="A399" s="14" t="s">
        <v>25516</v>
      </c>
      <c r="B399" s="14" t="s">
        <v>37583</v>
      </c>
      <c r="C399" s="14">
        <v>1</v>
      </c>
    </row>
    <row r="400" spans="1:3" x14ac:dyDescent="0.25">
      <c r="A400" s="14" t="s">
        <v>25582</v>
      </c>
      <c r="B400" s="14" t="s">
        <v>37601</v>
      </c>
      <c r="C400" s="14">
        <v>1</v>
      </c>
    </row>
    <row r="401" spans="1:3" x14ac:dyDescent="0.25">
      <c r="A401" s="14" t="s">
        <v>25579</v>
      </c>
      <c r="B401" s="14" t="s">
        <v>37534</v>
      </c>
      <c r="C401" s="14">
        <v>1</v>
      </c>
    </row>
    <row r="402" spans="1:3" x14ac:dyDescent="0.25">
      <c r="A402" s="14" t="s">
        <v>25580</v>
      </c>
      <c r="B402" s="14" t="s">
        <v>37638</v>
      </c>
      <c r="C402" s="14">
        <v>1</v>
      </c>
    </row>
    <row r="403" spans="1:3" x14ac:dyDescent="0.25">
      <c r="A403" s="14" t="s">
        <v>25582</v>
      </c>
      <c r="B403" s="14" t="s">
        <v>37598</v>
      </c>
      <c r="C403" s="14">
        <v>1</v>
      </c>
    </row>
    <row r="404" spans="1:3" x14ac:dyDescent="0.25">
      <c r="A404" s="14" t="s">
        <v>25581</v>
      </c>
      <c r="B404" s="14" t="s">
        <v>37636</v>
      </c>
      <c r="C404" s="14">
        <v>1</v>
      </c>
    </row>
    <row r="405" spans="1:3" x14ac:dyDescent="0.25">
      <c r="A405" s="14" t="s">
        <v>25579</v>
      </c>
      <c r="B405" s="14" t="s">
        <v>37524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37581</v>
      </c>
      <c r="C407" s="14">
        <v>1</v>
      </c>
    </row>
    <row r="408" spans="1:3" x14ac:dyDescent="0.25">
      <c r="A408" s="14" t="s">
        <v>25574</v>
      </c>
      <c r="B408" s="14" t="s">
        <v>37547</v>
      </c>
      <c r="C408" s="14">
        <v>1</v>
      </c>
    </row>
    <row r="409" spans="1:3" x14ac:dyDescent="0.25">
      <c r="A409" s="14" t="s">
        <v>25441</v>
      </c>
      <c r="B409" s="14" t="s">
        <v>37583</v>
      </c>
      <c r="C409" s="14">
        <v>1</v>
      </c>
    </row>
    <row r="410" spans="1:3" x14ac:dyDescent="0.25">
      <c r="A410" s="14" t="s">
        <v>42</v>
      </c>
      <c r="B410" s="14" t="s">
        <v>37557</v>
      </c>
      <c r="C410" s="14">
        <v>1</v>
      </c>
    </row>
    <row r="411" spans="1:3" x14ac:dyDescent="0.25">
      <c r="A411" s="14" t="s">
        <v>22</v>
      </c>
      <c r="B411" s="14" t="s">
        <v>37577</v>
      </c>
      <c r="C411" s="14">
        <v>1</v>
      </c>
    </row>
    <row r="412" spans="1:3" x14ac:dyDescent="0.25">
      <c r="A412" s="14" t="s">
        <v>25504</v>
      </c>
      <c r="B412" s="14" t="s">
        <v>37601</v>
      </c>
      <c r="C412" s="14">
        <v>1</v>
      </c>
    </row>
    <row r="413" spans="1:3" x14ac:dyDescent="0.25">
      <c r="A413" s="14" t="s">
        <v>25454</v>
      </c>
      <c r="B413" s="14" t="s">
        <v>37569</v>
      </c>
      <c r="C413" s="14">
        <v>1</v>
      </c>
    </row>
    <row r="414" spans="1:3" x14ac:dyDescent="0.25">
      <c r="A414" s="14" t="s">
        <v>25413</v>
      </c>
      <c r="B414" s="14" t="s">
        <v>37519</v>
      </c>
      <c r="C414" s="14">
        <v>1</v>
      </c>
    </row>
    <row r="415" spans="1:3" x14ac:dyDescent="0.25">
      <c r="A415" s="14" t="s">
        <v>25530</v>
      </c>
      <c r="B415" s="14" t="s">
        <v>37503</v>
      </c>
      <c r="C415" s="14">
        <v>1</v>
      </c>
    </row>
    <row r="416" spans="1:3" x14ac:dyDescent="0.25">
      <c r="A416" s="14" t="s">
        <v>25454</v>
      </c>
      <c r="B416" s="14" t="s">
        <v>37527</v>
      </c>
      <c r="C416" s="14">
        <v>1</v>
      </c>
    </row>
    <row r="417" spans="1:3" x14ac:dyDescent="0.25">
      <c r="A417" s="14" t="s">
        <v>25460</v>
      </c>
      <c r="B417" s="14" t="s">
        <v>37503</v>
      </c>
      <c r="C417" s="14">
        <v>1</v>
      </c>
    </row>
    <row r="418" spans="1:3" x14ac:dyDescent="0.25">
      <c r="A418" s="14" t="s">
        <v>133</v>
      </c>
      <c r="B418" s="14" t="s">
        <v>37502</v>
      </c>
      <c r="C418" s="14">
        <v>1</v>
      </c>
    </row>
    <row r="419" spans="1:3" x14ac:dyDescent="0.25">
      <c r="A419" s="14" t="s">
        <v>25378</v>
      </c>
      <c r="B419" s="14" t="s">
        <v>37518</v>
      </c>
      <c r="C419" s="14">
        <v>1</v>
      </c>
    </row>
    <row r="420" spans="1:3" x14ac:dyDescent="0.25">
      <c r="A420" s="14" t="s">
        <v>25380</v>
      </c>
      <c r="B420" s="14" t="s">
        <v>37565</v>
      </c>
      <c r="C420" s="14">
        <v>1</v>
      </c>
    </row>
    <row r="421" spans="1:3" x14ac:dyDescent="0.25">
      <c r="A421" s="14" t="s">
        <v>25393</v>
      </c>
      <c r="B421" s="14" t="s">
        <v>37504</v>
      </c>
      <c r="C421" s="14">
        <v>1</v>
      </c>
    </row>
    <row r="422" spans="1:3" x14ac:dyDescent="0.25">
      <c r="A422" s="14" t="s">
        <v>25390</v>
      </c>
      <c r="B422" s="14" t="s">
        <v>37565</v>
      </c>
      <c r="C422" s="14">
        <v>1</v>
      </c>
    </row>
    <row r="423" spans="1:3" x14ac:dyDescent="0.25">
      <c r="A423" s="14" t="s">
        <v>56</v>
      </c>
      <c r="B423" s="14" t="s">
        <v>37569</v>
      </c>
      <c r="C423" s="14">
        <v>1</v>
      </c>
    </row>
    <row r="424" spans="1:3" x14ac:dyDescent="0.25">
      <c r="A424" s="14" t="s">
        <v>233</v>
      </c>
      <c r="B424" s="14" t="s">
        <v>37569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37565</v>
      </c>
      <c r="C426" s="14">
        <v>1</v>
      </c>
    </row>
    <row r="427" spans="1:3" x14ac:dyDescent="0.25">
      <c r="A427" s="14" t="s">
        <v>36</v>
      </c>
      <c r="B427" s="14" t="s">
        <v>37579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37529</v>
      </c>
      <c r="C429" s="14">
        <v>1</v>
      </c>
    </row>
    <row r="430" spans="1:3" x14ac:dyDescent="0.25">
      <c r="A430" s="14" t="s">
        <v>25580</v>
      </c>
      <c r="B430" s="14" t="s">
        <v>37511</v>
      </c>
      <c r="C430" s="14">
        <v>1</v>
      </c>
    </row>
    <row r="431" spans="1:3" x14ac:dyDescent="0.25">
      <c r="A431" s="14" t="s">
        <v>43</v>
      </c>
      <c r="B431" s="14" t="s">
        <v>37527</v>
      </c>
      <c r="C431" s="14">
        <v>1</v>
      </c>
    </row>
    <row r="432" spans="1:3" x14ac:dyDescent="0.25">
      <c r="A432" s="14" t="s">
        <v>37639</v>
      </c>
      <c r="B432" s="14" t="s">
        <v>37511</v>
      </c>
      <c r="C432" s="14">
        <v>1</v>
      </c>
    </row>
    <row r="433" spans="1:3" x14ac:dyDescent="0.25">
      <c r="A433" s="14" t="s">
        <v>27</v>
      </c>
      <c r="B433" s="14" t="s">
        <v>37554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37640</v>
      </c>
      <c r="C435" s="14">
        <v>1</v>
      </c>
    </row>
    <row r="436" spans="1:3" x14ac:dyDescent="0.25">
      <c r="A436" s="14" t="s">
        <v>25401</v>
      </c>
      <c r="B436" s="14" t="s">
        <v>37508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37641</v>
      </c>
      <c r="B438" s="14" t="s">
        <v>37579</v>
      </c>
      <c r="C438" s="14">
        <v>1</v>
      </c>
    </row>
    <row r="439" spans="1:3" x14ac:dyDescent="0.25">
      <c r="A439" s="14" t="s">
        <v>37642</v>
      </c>
      <c r="B439" s="14" t="s">
        <v>37637</v>
      </c>
      <c r="C439" s="14">
        <v>1</v>
      </c>
    </row>
    <row r="440" spans="1:3" x14ac:dyDescent="0.25">
      <c r="A440" s="14" t="s">
        <v>36</v>
      </c>
      <c r="B440" s="14" t="s">
        <v>37643</v>
      </c>
      <c r="C440" s="14">
        <v>1</v>
      </c>
    </row>
    <row r="441" spans="1:3" x14ac:dyDescent="0.25">
      <c r="A441" s="14" t="s">
        <v>25379</v>
      </c>
      <c r="B441" s="14" t="s">
        <v>37565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37644</v>
      </c>
      <c r="B443" s="14" t="s">
        <v>37529</v>
      </c>
      <c r="C443" s="14">
        <v>1</v>
      </c>
    </row>
    <row r="444" spans="1:3" x14ac:dyDescent="0.25">
      <c r="A444" s="14" t="s">
        <v>25454</v>
      </c>
      <c r="B444" s="14" t="s">
        <v>37535</v>
      </c>
      <c r="C444" s="14">
        <v>1</v>
      </c>
    </row>
    <row r="445" spans="1:3" x14ac:dyDescent="0.25">
      <c r="A445" s="14" t="s">
        <v>133</v>
      </c>
      <c r="B445" s="14" t="s">
        <v>37511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37595</v>
      </c>
      <c r="C447" s="14">
        <v>1</v>
      </c>
    </row>
    <row r="448" spans="1:3" x14ac:dyDescent="0.25">
      <c r="A448" s="14" t="s">
        <v>37645</v>
      </c>
      <c r="B448" s="14" t="s">
        <v>37569</v>
      </c>
      <c r="C448" s="14">
        <v>1</v>
      </c>
    </row>
    <row r="449" spans="1:3" x14ac:dyDescent="0.25">
      <c r="A449" s="14" t="s">
        <v>22</v>
      </c>
      <c r="B449" s="14" t="s">
        <v>37595</v>
      </c>
      <c r="C449" s="14">
        <v>1</v>
      </c>
    </row>
    <row r="450" spans="1:3" x14ac:dyDescent="0.25">
      <c r="A450" s="14" t="s">
        <v>37646</v>
      </c>
      <c r="B450" s="14" t="s">
        <v>37503</v>
      </c>
      <c r="C450" s="14">
        <v>1</v>
      </c>
    </row>
    <row r="451" spans="1:3" x14ac:dyDescent="0.25">
      <c r="A451" s="14" t="s">
        <v>43</v>
      </c>
      <c r="B451" s="14" t="s">
        <v>37561</v>
      </c>
      <c r="C451" s="14">
        <v>1</v>
      </c>
    </row>
    <row r="452" spans="1:3" x14ac:dyDescent="0.25">
      <c r="A452" s="14" t="s">
        <v>233</v>
      </c>
      <c r="B452" s="14" t="s">
        <v>37601</v>
      </c>
      <c r="C452" s="14">
        <v>1</v>
      </c>
    </row>
    <row r="453" spans="1:3" x14ac:dyDescent="0.25">
      <c r="A453" s="14" t="s">
        <v>22</v>
      </c>
      <c r="B453" s="14" t="s">
        <v>37561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37644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37545</v>
      </c>
      <c r="C456" s="14">
        <v>1</v>
      </c>
    </row>
    <row r="457" spans="1:3" x14ac:dyDescent="0.25">
      <c r="A457" s="14" t="s">
        <v>37576</v>
      </c>
      <c r="B457" s="14" t="s">
        <v>37504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37503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37537</v>
      </c>
      <c r="C461" s="14">
        <v>1</v>
      </c>
    </row>
    <row r="462" spans="1:3" x14ac:dyDescent="0.25">
      <c r="A462" s="14" t="s">
        <v>25452</v>
      </c>
      <c r="B462" s="14" t="s">
        <v>37569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37647</v>
      </c>
      <c r="B464" s="14" t="s">
        <v>25369</v>
      </c>
      <c r="C464" s="14">
        <v>1</v>
      </c>
    </row>
    <row r="465" spans="1:3" x14ac:dyDescent="0.25">
      <c r="A465" s="14" t="s">
        <v>37648</v>
      </c>
      <c r="B465" s="14" t="s">
        <v>37503</v>
      </c>
      <c r="C465" s="14">
        <v>1</v>
      </c>
    </row>
    <row r="466" spans="1:3" x14ac:dyDescent="0.25">
      <c r="A466" s="14" t="s">
        <v>42</v>
      </c>
      <c r="B466" s="14" t="s">
        <v>37513</v>
      </c>
      <c r="C466" s="14">
        <v>1</v>
      </c>
    </row>
    <row r="467" spans="1:3" x14ac:dyDescent="0.25">
      <c r="A467" s="14" t="s">
        <v>25530</v>
      </c>
      <c r="B467" s="14" t="s">
        <v>37537</v>
      </c>
      <c r="C467" s="14">
        <v>1</v>
      </c>
    </row>
    <row r="468" spans="1:3" x14ac:dyDescent="0.25">
      <c r="A468" s="14" t="s">
        <v>37649</v>
      </c>
      <c r="B468" s="14" t="s">
        <v>37503</v>
      </c>
      <c r="C468" s="14">
        <v>1</v>
      </c>
    </row>
    <row r="469" spans="1:3" x14ac:dyDescent="0.25">
      <c r="A469" s="14" t="s">
        <v>25508</v>
      </c>
      <c r="B469" s="14" t="s">
        <v>37511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37505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37509</v>
      </c>
      <c r="C473" s="14">
        <v>1</v>
      </c>
    </row>
    <row r="474" spans="1:3" x14ac:dyDescent="0.25">
      <c r="A474" s="14" t="s">
        <v>25376</v>
      </c>
      <c r="B474" s="14" t="s">
        <v>37508</v>
      </c>
      <c r="C474" s="14">
        <v>1</v>
      </c>
    </row>
    <row r="475" spans="1:3" x14ac:dyDescent="0.25">
      <c r="A475" s="14" t="s">
        <v>25388</v>
      </c>
      <c r="B475" s="14" t="s">
        <v>37565</v>
      </c>
      <c r="C475" s="14">
        <v>1</v>
      </c>
    </row>
    <row r="476" spans="1:3" x14ac:dyDescent="0.25">
      <c r="A476" s="14" t="s">
        <v>52</v>
      </c>
      <c r="B476" s="14" t="s">
        <v>37593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37538</v>
      </c>
      <c r="C478" s="14">
        <v>1</v>
      </c>
    </row>
    <row r="479" spans="1:3" x14ac:dyDescent="0.25">
      <c r="A479" s="14" t="s">
        <v>25421</v>
      </c>
      <c r="B479" s="14" t="s">
        <v>37509</v>
      </c>
      <c r="C479" s="14">
        <v>1</v>
      </c>
    </row>
    <row r="480" spans="1:3" x14ac:dyDescent="0.25">
      <c r="A480" s="14" t="s">
        <v>25494</v>
      </c>
      <c r="B480" s="14" t="s">
        <v>37567</v>
      </c>
      <c r="C480" s="14">
        <v>1</v>
      </c>
    </row>
    <row r="481" spans="1:3" x14ac:dyDescent="0.25">
      <c r="A481" s="14" t="s">
        <v>25403</v>
      </c>
      <c r="B481" s="14" t="s">
        <v>37524</v>
      </c>
      <c r="C481" s="14">
        <v>1</v>
      </c>
    </row>
    <row r="482" spans="1:3" x14ac:dyDescent="0.25">
      <c r="A482" s="14" t="s">
        <v>25403</v>
      </c>
      <c r="B482" s="14" t="s">
        <v>37502</v>
      </c>
      <c r="C482" s="14">
        <v>1</v>
      </c>
    </row>
    <row r="483" spans="1:3" x14ac:dyDescent="0.25">
      <c r="A483" s="14" t="s">
        <v>37552</v>
      </c>
      <c r="B483" s="14" t="s">
        <v>37643</v>
      </c>
      <c r="C483" s="14">
        <v>1</v>
      </c>
    </row>
    <row r="484" spans="1:3" x14ac:dyDescent="0.25">
      <c r="A484" s="14" t="s">
        <v>37650</v>
      </c>
      <c r="B484" s="14" t="s">
        <v>37538</v>
      </c>
      <c r="C484" s="14">
        <v>1</v>
      </c>
    </row>
    <row r="485" spans="1:3" x14ac:dyDescent="0.25">
      <c r="A485" s="14" t="s">
        <v>25488</v>
      </c>
      <c r="B485" s="14" t="s">
        <v>37503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37651</v>
      </c>
      <c r="B487" s="14" t="s">
        <v>37529</v>
      </c>
      <c r="C487" s="14">
        <v>1</v>
      </c>
    </row>
    <row r="488" spans="1:3" x14ac:dyDescent="0.25">
      <c r="A488" s="14" t="s">
        <v>219</v>
      </c>
      <c r="B488" s="14" t="s">
        <v>37508</v>
      </c>
      <c r="C488" s="14">
        <v>1</v>
      </c>
    </row>
    <row r="489" spans="1:3" x14ac:dyDescent="0.25">
      <c r="A489" s="14" t="s">
        <v>226</v>
      </c>
      <c r="B489" s="14" t="s">
        <v>37524</v>
      </c>
      <c r="C489" s="14">
        <v>1</v>
      </c>
    </row>
    <row r="490" spans="1:3" x14ac:dyDescent="0.25">
      <c r="A490" s="14" t="s">
        <v>25580</v>
      </c>
      <c r="B490" s="14" t="s">
        <v>37524</v>
      </c>
      <c r="C490" s="14">
        <v>1</v>
      </c>
    </row>
    <row r="491" spans="1:3" x14ac:dyDescent="0.25">
      <c r="A491" s="14" t="s">
        <v>23</v>
      </c>
      <c r="B491" s="14" t="s">
        <v>37638</v>
      </c>
      <c r="C491" s="14">
        <v>1</v>
      </c>
    </row>
    <row r="492" spans="1:3" x14ac:dyDescent="0.25">
      <c r="A492" s="14" t="s">
        <v>25492</v>
      </c>
      <c r="B492" s="14" t="s">
        <v>37507</v>
      </c>
      <c r="C492" s="14">
        <v>1</v>
      </c>
    </row>
    <row r="493" spans="1:3" x14ac:dyDescent="0.25">
      <c r="A493" s="14" t="s">
        <v>43</v>
      </c>
      <c r="B493" s="14" t="s">
        <v>37565</v>
      </c>
      <c r="C493" s="14">
        <v>1</v>
      </c>
    </row>
    <row r="494" spans="1:3" x14ac:dyDescent="0.25">
      <c r="A494" s="14" t="s">
        <v>25386</v>
      </c>
      <c r="B494" s="14" t="s">
        <v>37565</v>
      </c>
      <c r="C494" s="14">
        <v>1</v>
      </c>
    </row>
    <row r="495" spans="1:3" x14ac:dyDescent="0.25">
      <c r="A495" s="14" t="s">
        <v>25524</v>
      </c>
      <c r="B495" s="14" t="s">
        <v>37503</v>
      </c>
      <c r="C495" s="14">
        <v>1</v>
      </c>
    </row>
    <row r="496" spans="1:3" x14ac:dyDescent="0.25">
      <c r="A496" s="14" t="s">
        <v>133</v>
      </c>
      <c r="B496" s="14" t="s">
        <v>37524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37515</v>
      </c>
      <c r="C498" s="14">
        <v>1</v>
      </c>
    </row>
    <row r="499" spans="1:3" x14ac:dyDescent="0.25">
      <c r="A499" s="14" t="s">
        <v>25431</v>
      </c>
      <c r="B499" s="14" t="s">
        <v>37538</v>
      </c>
      <c r="C499" s="14">
        <v>1</v>
      </c>
    </row>
    <row r="500" spans="1:3" x14ac:dyDescent="0.25">
      <c r="A500" s="14" t="s">
        <v>25427</v>
      </c>
      <c r="B500" s="14" t="s">
        <v>37509</v>
      </c>
      <c r="C500" s="14">
        <v>1</v>
      </c>
    </row>
    <row r="501" spans="1:3" x14ac:dyDescent="0.25">
      <c r="A501" s="14" t="s">
        <v>25493</v>
      </c>
      <c r="B501" s="14" t="s">
        <v>37507</v>
      </c>
      <c r="C501" s="14">
        <v>1</v>
      </c>
    </row>
    <row r="502" spans="1:3" x14ac:dyDescent="0.25">
      <c r="A502" s="14" t="s">
        <v>25516</v>
      </c>
      <c r="B502" s="14" t="s">
        <v>37510</v>
      </c>
      <c r="C502" s="14">
        <v>1</v>
      </c>
    </row>
    <row r="503" spans="1:3" x14ac:dyDescent="0.25">
      <c r="A503" s="14" t="s">
        <v>25442</v>
      </c>
      <c r="B503" s="14" t="s">
        <v>37527</v>
      </c>
      <c r="C503" s="14">
        <v>1</v>
      </c>
    </row>
    <row r="504" spans="1:3" x14ac:dyDescent="0.25">
      <c r="A504" s="14" t="s">
        <v>25577</v>
      </c>
      <c r="B504" s="14" t="s">
        <v>37504</v>
      </c>
      <c r="C504" s="14">
        <v>1</v>
      </c>
    </row>
    <row r="505" spans="1:3" x14ac:dyDescent="0.25">
      <c r="A505" s="14" t="s">
        <v>126</v>
      </c>
      <c r="B505" s="14" t="s">
        <v>37538</v>
      </c>
      <c r="C505" s="14">
        <v>1</v>
      </c>
    </row>
    <row r="506" spans="1:3" x14ac:dyDescent="0.25">
      <c r="A506" s="14" t="s">
        <v>58</v>
      </c>
      <c r="B506" s="14" t="s">
        <v>37510</v>
      </c>
      <c r="C506" s="14">
        <v>1</v>
      </c>
    </row>
    <row r="507" spans="1:3" x14ac:dyDescent="0.25">
      <c r="A507" s="14" t="s">
        <v>29</v>
      </c>
      <c r="B507" s="14" t="s">
        <v>37538</v>
      </c>
      <c r="C507" s="14">
        <v>1</v>
      </c>
    </row>
    <row r="508" spans="1:3" x14ac:dyDescent="0.25">
      <c r="A508" s="14" t="s">
        <v>25428</v>
      </c>
      <c r="B508" s="14" t="s">
        <v>37509</v>
      </c>
      <c r="C508" s="14">
        <v>1</v>
      </c>
    </row>
    <row r="509" spans="1:3" x14ac:dyDescent="0.25">
      <c r="A509" s="14" t="s">
        <v>1</v>
      </c>
      <c r="B509" s="14" t="s">
        <v>37580</v>
      </c>
      <c r="C509" s="14">
        <v>1</v>
      </c>
    </row>
    <row r="510" spans="1:3" x14ac:dyDescent="0.25">
      <c r="A510" s="14" t="s">
        <v>25420</v>
      </c>
      <c r="B510" s="14" t="s">
        <v>37509</v>
      </c>
      <c r="C510" s="14">
        <v>1</v>
      </c>
    </row>
    <row r="511" spans="1:3" x14ac:dyDescent="0.25">
      <c r="A511" s="14" t="s">
        <v>25565</v>
      </c>
      <c r="B511" s="14" t="s">
        <v>37569</v>
      </c>
      <c r="C511" s="14">
        <v>1</v>
      </c>
    </row>
    <row r="512" spans="1:3" x14ac:dyDescent="0.25">
      <c r="A512" s="14" t="s">
        <v>25417</v>
      </c>
      <c r="B512" s="14" t="s">
        <v>37561</v>
      </c>
      <c r="C512" s="14">
        <v>1</v>
      </c>
    </row>
    <row r="513" spans="1:3" x14ac:dyDescent="0.25">
      <c r="A513" s="14" t="s">
        <v>1</v>
      </c>
      <c r="B513" s="14" t="s">
        <v>37569</v>
      </c>
      <c r="C513" s="14">
        <v>1</v>
      </c>
    </row>
    <row r="514" spans="1:3" x14ac:dyDescent="0.25">
      <c r="A514" s="14" t="s">
        <v>215</v>
      </c>
      <c r="B514" s="14" t="s">
        <v>37504</v>
      </c>
      <c r="C514" s="14">
        <v>1</v>
      </c>
    </row>
    <row r="515" spans="1:3" x14ac:dyDescent="0.25">
      <c r="A515" s="14" t="s">
        <v>25517</v>
      </c>
      <c r="B515" s="14" t="s">
        <v>37637</v>
      </c>
      <c r="C515" s="14">
        <v>1</v>
      </c>
    </row>
    <row r="516" spans="1:3" x14ac:dyDescent="0.25">
      <c r="A516" s="14" t="s">
        <v>25525</v>
      </c>
      <c r="B516" s="14" t="s">
        <v>37509</v>
      </c>
      <c r="C516" s="14">
        <v>1</v>
      </c>
    </row>
    <row r="517" spans="1:3" x14ac:dyDescent="0.25">
      <c r="A517" s="14" t="s">
        <v>25533</v>
      </c>
      <c r="B517" s="14" t="s">
        <v>37583</v>
      </c>
      <c r="C517" s="14">
        <v>1</v>
      </c>
    </row>
    <row r="518" spans="1:3" x14ac:dyDescent="0.25">
      <c r="A518" s="14" t="s">
        <v>37652</v>
      </c>
      <c r="B518" s="14" t="s">
        <v>37580</v>
      </c>
      <c r="C518" s="14">
        <v>1</v>
      </c>
    </row>
    <row r="519" spans="1:3" x14ac:dyDescent="0.25">
      <c r="A519" s="14" t="s">
        <v>130</v>
      </c>
      <c r="B519" s="14" t="s">
        <v>37538</v>
      </c>
      <c r="C519" s="14">
        <v>1</v>
      </c>
    </row>
    <row r="520" spans="1:3" x14ac:dyDescent="0.25">
      <c r="A520" s="14" t="s">
        <v>55</v>
      </c>
      <c r="B520" s="14" t="s">
        <v>37529</v>
      </c>
      <c r="C520" s="14">
        <v>1</v>
      </c>
    </row>
    <row r="521" spans="1:3" x14ac:dyDescent="0.25">
      <c r="A521" s="14" t="s">
        <v>22</v>
      </c>
      <c r="B521" s="14" t="s">
        <v>37508</v>
      </c>
      <c r="C521" s="14">
        <v>1</v>
      </c>
    </row>
    <row r="522" spans="1:3" x14ac:dyDescent="0.25">
      <c r="A522" s="14" t="s">
        <v>35</v>
      </c>
      <c r="B522" s="14" t="s">
        <v>37504</v>
      </c>
      <c r="C522" s="14">
        <v>1</v>
      </c>
    </row>
    <row r="523" spans="1:3" x14ac:dyDescent="0.25">
      <c r="A523" s="14" t="s">
        <v>25544</v>
      </c>
      <c r="B523" s="14" t="s">
        <v>37595</v>
      </c>
      <c r="C523" s="14">
        <v>1</v>
      </c>
    </row>
    <row r="524" spans="1:3" x14ac:dyDescent="0.25">
      <c r="A524" s="14" t="s">
        <v>25449</v>
      </c>
      <c r="B524" s="14" t="s">
        <v>37502</v>
      </c>
      <c r="C524" s="14">
        <v>1</v>
      </c>
    </row>
    <row r="525" spans="1:3" x14ac:dyDescent="0.25">
      <c r="A525" s="14" t="s">
        <v>37575</v>
      </c>
      <c r="B525" s="14" t="s">
        <v>37653</v>
      </c>
      <c r="C525" s="14">
        <v>1</v>
      </c>
    </row>
    <row r="526" spans="1:3" x14ac:dyDescent="0.25">
      <c r="A526" s="14" t="s">
        <v>37571</v>
      </c>
      <c r="B526" s="14" t="s">
        <v>37516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37527</v>
      </c>
      <c r="C528" s="14">
        <v>1</v>
      </c>
    </row>
    <row r="529" spans="1:3" x14ac:dyDescent="0.25">
      <c r="A529" s="14" t="s">
        <v>25552</v>
      </c>
      <c r="B529" s="14" t="s">
        <v>37579</v>
      </c>
      <c r="C529" s="14">
        <v>1</v>
      </c>
    </row>
    <row r="530" spans="1:3" x14ac:dyDescent="0.25">
      <c r="A530" s="14" t="s">
        <v>25513</v>
      </c>
      <c r="B530" s="14" t="s">
        <v>37614</v>
      </c>
      <c r="C530" s="14">
        <v>1</v>
      </c>
    </row>
    <row r="531" spans="1:3" x14ac:dyDescent="0.25">
      <c r="A531" s="14" t="s">
        <v>25553</v>
      </c>
      <c r="B531" s="14" t="s">
        <v>37511</v>
      </c>
      <c r="C531" s="14">
        <v>1</v>
      </c>
    </row>
    <row r="532" spans="1:3" x14ac:dyDescent="0.25">
      <c r="A532" s="14" t="s">
        <v>25430</v>
      </c>
      <c r="B532" s="14" t="s">
        <v>37511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37529</v>
      </c>
      <c r="C534" s="14">
        <v>1</v>
      </c>
    </row>
    <row r="535" spans="1:3" x14ac:dyDescent="0.25">
      <c r="A535" s="14" t="s">
        <v>25519</v>
      </c>
      <c r="B535" s="14" t="s">
        <v>37548</v>
      </c>
      <c r="C535" s="14">
        <v>1</v>
      </c>
    </row>
    <row r="536" spans="1:3" x14ac:dyDescent="0.25">
      <c r="A536" s="14" t="s">
        <v>25540</v>
      </c>
      <c r="B536" s="14" t="s">
        <v>37502</v>
      </c>
      <c r="C536" s="14">
        <v>1</v>
      </c>
    </row>
    <row r="537" spans="1:3" x14ac:dyDescent="0.25">
      <c r="A537" s="14" t="s">
        <v>27</v>
      </c>
      <c r="B537" s="14" t="s">
        <v>37510</v>
      </c>
      <c r="C537" s="14">
        <v>1</v>
      </c>
    </row>
    <row r="538" spans="1:3" x14ac:dyDescent="0.25">
      <c r="A538" s="14" t="s">
        <v>52</v>
      </c>
      <c r="B538" s="14" t="s">
        <v>37505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37654</v>
      </c>
      <c r="C540" s="14">
        <v>1</v>
      </c>
    </row>
    <row r="541" spans="1:3" x14ac:dyDescent="0.25">
      <c r="A541" s="14" t="s">
        <v>52</v>
      </c>
      <c r="B541" s="14" t="s">
        <v>37587</v>
      </c>
      <c r="C541" s="14">
        <v>1</v>
      </c>
    </row>
    <row r="542" spans="1:3" x14ac:dyDescent="0.25">
      <c r="A542" s="14" t="s">
        <v>25542</v>
      </c>
      <c r="B542" s="14" t="s">
        <v>37583</v>
      </c>
      <c r="C542" s="14">
        <v>1</v>
      </c>
    </row>
    <row r="543" spans="1:3" x14ac:dyDescent="0.25">
      <c r="A543" s="14" t="s">
        <v>25374</v>
      </c>
      <c r="B543" s="14" t="s">
        <v>37524</v>
      </c>
      <c r="C543" s="14">
        <v>1</v>
      </c>
    </row>
    <row r="544" spans="1:3" x14ac:dyDescent="0.25">
      <c r="A544" s="14" t="s">
        <v>25455</v>
      </c>
      <c r="B544" s="14" t="s">
        <v>37587</v>
      </c>
      <c r="C544" s="14">
        <v>1</v>
      </c>
    </row>
    <row r="545" spans="1:3" x14ac:dyDescent="0.25">
      <c r="A545" s="14" t="s">
        <v>25562</v>
      </c>
      <c r="B545" s="14" t="s">
        <v>37605</v>
      </c>
      <c r="C545" s="14">
        <v>1</v>
      </c>
    </row>
    <row r="546" spans="1:3" x14ac:dyDescent="0.25">
      <c r="A546" s="14" t="s">
        <v>25477</v>
      </c>
      <c r="B546" s="14" t="s">
        <v>37595</v>
      </c>
      <c r="C546" s="14">
        <v>1</v>
      </c>
    </row>
    <row r="547" spans="1:3" x14ac:dyDescent="0.25">
      <c r="A547" s="14" t="s">
        <v>25504</v>
      </c>
      <c r="B547" s="14" t="s">
        <v>37640</v>
      </c>
      <c r="C547" s="14">
        <v>1</v>
      </c>
    </row>
    <row r="548" spans="1:3" x14ac:dyDescent="0.25">
      <c r="A548" s="14" t="s">
        <v>25566</v>
      </c>
      <c r="B548" s="14" t="s">
        <v>37551</v>
      </c>
      <c r="C548" s="14">
        <v>1</v>
      </c>
    </row>
    <row r="549" spans="1:3" x14ac:dyDescent="0.25">
      <c r="A549" s="14" t="s">
        <v>25429</v>
      </c>
      <c r="B549" s="14" t="s">
        <v>37527</v>
      </c>
      <c r="C549" s="14">
        <v>1</v>
      </c>
    </row>
    <row r="550" spans="1:3" x14ac:dyDescent="0.25">
      <c r="A550" s="14" t="s">
        <v>126</v>
      </c>
      <c r="B550" s="14" t="s">
        <v>37568</v>
      </c>
      <c r="C550" s="14">
        <v>1</v>
      </c>
    </row>
    <row r="551" spans="1:3" x14ac:dyDescent="0.25">
      <c r="A551" s="14" t="s">
        <v>25402</v>
      </c>
      <c r="B551" s="14" t="s">
        <v>37520</v>
      </c>
      <c r="C551" s="14">
        <v>1</v>
      </c>
    </row>
    <row r="552" spans="1:3" x14ac:dyDescent="0.25">
      <c r="A552" s="14" t="s">
        <v>25458</v>
      </c>
      <c r="B552" s="14" t="s">
        <v>37598</v>
      </c>
      <c r="C552" s="14">
        <v>1</v>
      </c>
    </row>
    <row r="553" spans="1:3" x14ac:dyDescent="0.25">
      <c r="A553" s="14" t="s">
        <v>25412</v>
      </c>
      <c r="B553" s="14" t="s">
        <v>37513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37508</v>
      </c>
      <c r="C555" s="14">
        <v>1</v>
      </c>
    </row>
    <row r="556" spans="1:3" x14ac:dyDescent="0.25">
      <c r="A556" s="14" t="s">
        <v>25413</v>
      </c>
      <c r="B556" s="14" t="s">
        <v>37580</v>
      </c>
      <c r="C556" s="14">
        <v>1</v>
      </c>
    </row>
    <row r="557" spans="1:3" x14ac:dyDescent="0.25">
      <c r="A557" s="14" t="s">
        <v>25496</v>
      </c>
      <c r="B557" s="14" t="s">
        <v>37538</v>
      </c>
      <c r="C557" s="14">
        <v>1</v>
      </c>
    </row>
    <row r="558" spans="1:3" x14ac:dyDescent="0.25">
      <c r="A558" s="14" t="s">
        <v>25509</v>
      </c>
      <c r="B558" s="14" t="s">
        <v>37518</v>
      </c>
      <c r="C558" s="14">
        <v>1</v>
      </c>
    </row>
    <row r="559" spans="1:3" x14ac:dyDescent="0.25">
      <c r="A559" s="14" t="s">
        <v>25561</v>
      </c>
      <c r="B559" s="14" t="s">
        <v>37504</v>
      </c>
      <c r="C559" s="14">
        <v>1</v>
      </c>
    </row>
    <row r="560" spans="1:3" x14ac:dyDescent="0.25">
      <c r="A560" s="14" t="s">
        <v>25507</v>
      </c>
      <c r="B560" s="14" t="s">
        <v>37655</v>
      </c>
      <c r="C560" s="14">
        <v>1</v>
      </c>
    </row>
    <row r="561" spans="1:3" x14ac:dyDescent="0.25">
      <c r="A561" s="14" t="s">
        <v>25516</v>
      </c>
      <c r="B561" s="14" t="s">
        <v>37569</v>
      </c>
      <c r="C561" s="14">
        <v>1</v>
      </c>
    </row>
    <row r="562" spans="1:3" x14ac:dyDescent="0.25">
      <c r="A562" s="14" t="s">
        <v>25528</v>
      </c>
      <c r="B562" s="14" t="s">
        <v>37503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37502</v>
      </c>
      <c r="C565" s="14">
        <v>1</v>
      </c>
    </row>
    <row r="566" spans="1:3" x14ac:dyDescent="0.25">
      <c r="A566" s="14" t="s">
        <v>25489</v>
      </c>
      <c r="B566" s="14" t="s">
        <v>37507</v>
      </c>
      <c r="C566" s="14">
        <v>1</v>
      </c>
    </row>
    <row r="567" spans="1:3" x14ac:dyDescent="0.25">
      <c r="A567" s="14" t="s">
        <v>25441</v>
      </c>
      <c r="B567" s="14" t="s">
        <v>37527</v>
      </c>
      <c r="C567" s="14">
        <v>1</v>
      </c>
    </row>
    <row r="568" spans="1:3" x14ac:dyDescent="0.25">
      <c r="A568" s="14" t="s">
        <v>25404</v>
      </c>
      <c r="B568" s="14" t="s">
        <v>37656</v>
      </c>
      <c r="C568" s="14">
        <v>1</v>
      </c>
    </row>
    <row r="569" spans="1:3" x14ac:dyDescent="0.25">
      <c r="A569" s="14" t="s">
        <v>25503</v>
      </c>
      <c r="B569" s="14" t="s">
        <v>37558</v>
      </c>
      <c r="C569" s="14">
        <v>1</v>
      </c>
    </row>
    <row r="570" spans="1:3" x14ac:dyDescent="0.25">
      <c r="A570" s="14" t="s">
        <v>25529</v>
      </c>
      <c r="B570" s="14" t="s">
        <v>37521</v>
      </c>
      <c r="C570" s="14">
        <v>1</v>
      </c>
    </row>
    <row r="571" spans="1:3" x14ac:dyDescent="0.25">
      <c r="A571" s="14" t="s">
        <v>25558</v>
      </c>
      <c r="B571" s="14" t="s">
        <v>37626</v>
      </c>
      <c r="C571" s="14">
        <v>1</v>
      </c>
    </row>
    <row r="572" spans="1:3" x14ac:dyDescent="0.25">
      <c r="A572" s="14" t="s">
        <v>25507</v>
      </c>
      <c r="B572" s="14" t="s">
        <v>37529</v>
      </c>
      <c r="C572" s="14">
        <v>1</v>
      </c>
    </row>
    <row r="573" spans="1:3" x14ac:dyDescent="0.25">
      <c r="A573" s="14" t="s">
        <v>41</v>
      </c>
      <c r="B573" s="14" t="s">
        <v>37542</v>
      </c>
      <c r="C573" s="14">
        <v>1</v>
      </c>
    </row>
    <row r="574" spans="1:3" x14ac:dyDescent="0.25">
      <c r="A574" s="14" t="s">
        <v>25480</v>
      </c>
      <c r="B574" s="14" t="s">
        <v>37548</v>
      </c>
      <c r="C574" s="14">
        <v>1</v>
      </c>
    </row>
    <row r="575" spans="1:3" x14ac:dyDescent="0.25">
      <c r="A575" s="14" t="s">
        <v>25394</v>
      </c>
      <c r="B575" s="14" t="s">
        <v>37565</v>
      </c>
      <c r="C575" s="14">
        <v>1</v>
      </c>
    </row>
    <row r="576" spans="1:3" x14ac:dyDescent="0.25">
      <c r="A576" s="14" t="s">
        <v>25495</v>
      </c>
      <c r="B576" s="14" t="s">
        <v>37580</v>
      </c>
      <c r="C576" s="14">
        <v>1</v>
      </c>
    </row>
    <row r="577" spans="1:3" x14ac:dyDescent="0.25">
      <c r="A577" s="14" t="s">
        <v>28</v>
      </c>
      <c r="B577" s="14" t="s">
        <v>37502</v>
      </c>
      <c r="C577" s="14">
        <v>1</v>
      </c>
    </row>
    <row r="578" spans="1:3" x14ac:dyDescent="0.25">
      <c r="A578" s="14" t="s">
        <v>25410</v>
      </c>
      <c r="B578" s="14" t="s">
        <v>37509</v>
      </c>
      <c r="C578" s="14">
        <v>1</v>
      </c>
    </row>
    <row r="579" spans="1:3" x14ac:dyDescent="0.25">
      <c r="A579" s="14" t="s">
        <v>37635</v>
      </c>
      <c r="B579" s="14" t="s">
        <v>37593</v>
      </c>
      <c r="C579" s="14">
        <v>1</v>
      </c>
    </row>
    <row r="580" spans="1:3" x14ac:dyDescent="0.25">
      <c r="A580" s="14" t="s">
        <v>25554</v>
      </c>
      <c r="B580" s="14" t="s">
        <v>37511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37511</v>
      </c>
      <c r="C582" s="14">
        <v>1</v>
      </c>
    </row>
    <row r="583" spans="1:3" x14ac:dyDescent="0.25">
      <c r="A583" s="14" t="s">
        <v>25533</v>
      </c>
      <c r="B583" s="14" t="s">
        <v>37503</v>
      </c>
      <c r="C583" s="14">
        <v>1</v>
      </c>
    </row>
    <row r="584" spans="1:3" x14ac:dyDescent="0.25">
      <c r="A584" s="14" t="s">
        <v>37559</v>
      </c>
      <c r="B584" s="14" t="s">
        <v>37510</v>
      </c>
      <c r="C584" s="14">
        <v>1</v>
      </c>
    </row>
    <row r="585" spans="1:3" x14ac:dyDescent="0.25">
      <c r="A585" s="14" t="s">
        <v>34</v>
      </c>
      <c r="B585" s="14" t="s">
        <v>37511</v>
      </c>
      <c r="C585" s="14">
        <v>1</v>
      </c>
    </row>
    <row r="586" spans="1:3" x14ac:dyDescent="0.25">
      <c r="A586" s="14" t="s">
        <v>23</v>
      </c>
      <c r="B586" s="14" t="s">
        <v>37618</v>
      </c>
      <c r="C586" s="14">
        <v>1</v>
      </c>
    </row>
    <row r="587" spans="1:3" x14ac:dyDescent="0.25">
      <c r="A587" s="14" t="s">
        <v>54</v>
      </c>
      <c r="B587" s="14" t="s">
        <v>37643</v>
      </c>
      <c r="C587" s="14">
        <v>1</v>
      </c>
    </row>
    <row r="588" spans="1:3" x14ac:dyDescent="0.25">
      <c r="A588" s="14" t="s">
        <v>37057</v>
      </c>
      <c r="B588" s="14" t="s">
        <v>37503</v>
      </c>
      <c r="C588" s="14">
        <v>1</v>
      </c>
    </row>
    <row r="589" spans="1:3" x14ac:dyDescent="0.25">
      <c r="A589" s="14" t="s">
        <v>37532</v>
      </c>
      <c r="B589" s="14" t="s">
        <v>37505</v>
      </c>
      <c r="C589" s="14">
        <v>1</v>
      </c>
    </row>
    <row r="590" spans="1:3" x14ac:dyDescent="0.25">
      <c r="A590" s="14" t="s">
        <v>37657</v>
      </c>
      <c r="B590" s="14" t="s">
        <v>37643</v>
      </c>
      <c r="C590" s="14">
        <v>1</v>
      </c>
    </row>
    <row r="591" spans="1:3" x14ac:dyDescent="0.25">
      <c r="A591" s="14" t="s">
        <v>54</v>
      </c>
      <c r="B591" s="14" t="s">
        <v>37504</v>
      </c>
      <c r="C591" s="14">
        <v>1</v>
      </c>
    </row>
    <row r="592" spans="1:3" x14ac:dyDescent="0.25">
      <c r="A592" s="14" t="s">
        <v>150</v>
      </c>
      <c r="B592" s="14" t="s">
        <v>37503</v>
      </c>
      <c r="C592" s="14">
        <v>1</v>
      </c>
    </row>
    <row r="593" spans="1:3" x14ac:dyDescent="0.25">
      <c r="A593" s="14" t="s">
        <v>218</v>
      </c>
      <c r="B593" s="14" t="s">
        <v>37507</v>
      </c>
      <c r="C593" s="14">
        <v>1</v>
      </c>
    </row>
    <row r="594" spans="1:3" x14ac:dyDescent="0.25">
      <c r="A594" s="14" t="s">
        <v>25412</v>
      </c>
      <c r="B594" s="14" t="s">
        <v>37567</v>
      </c>
      <c r="C594" s="14">
        <v>1</v>
      </c>
    </row>
    <row r="595" spans="1:3" x14ac:dyDescent="0.25">
      <c r="A595" s="14" t="s">
        <v>25559</v>
      </c>
      <c r="B595" s="14" t="s">
        <v>37580</v>
      </c>
      <c r="C595" s="14">
        <v>1</v>
      </c>
    </row>
    <row r="596" spans="1:3" x14ac:dyDescent="0.25">
      <c r="A596" s="14" t="s">
        <v>25436</v>
      </c>
      <c r="B596" s="14" t="s">
        <v>37531</v>
      </c>
      <c r="C596" s="14">
        <v>1</v>
      </c>
    </row>
    <row r="597" spans="1:3" x14ac:dyDescent="0.25">
      <c r="A597" s="14" t="s">
        <v>25483</v>
      </c>
      <c r="B597" s="14" t="s">
        <v>37521</v>
      </c>
      <c r="C597" s="14">
        <v>1</v>
      </c>
    </row>
    <row r="598" spans="1:3" x14ac:dyDescent="0.25">
      <c r="A598" s="14" t="s">
        <v>25517</v>
      </c>
      <c r="B598" s="14" t="s">
        <v>37510</v>
      </c>
      <c r="C598" s="14">
        <v>1</v>
      </c>
    </row>
    <row r="599" spans="1:3" x14ac:dyDescent="0.25">
      <c r="A599" s="14" t="s">
        <v>25532</v>
      </c>
      <c r="B599" s="14" t="s">
        <v>37503</v>
      </c>
      <c r="C599" s="14">
        <v>1</v>
      </c>
    </row>
    <row r="600" spans="1:3" x14ac:dyDescent="0.25">
      <c r="A600" s="14" t="s">
        <v>25523</v>
      </c>
      <c r="B600" s="14" t="s">
        <v>37503</v>
      </c>
      <c r="C600" s="14">
        <v>1</v>
      </c>
    </row>
    <row r="601" spans="1:3" x14ac:dyDescent="0.25">
      <c r="A601" s="14" t="s">
        <v>25400</v>
      </c>
      <c r="B601" s="14" t="s">
        <v>37508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37508</v>
      </c>
      <c r="C603" s="14">
        <v>1</v>
      </c>
    </row>
    <row r="604" spans="1:3" x14ac:dyDescent="0.25">
      <c r="A604" s="14" t="s">
        <v>25528</v>
      </c>
      <c r="B604" s="14" t="s">
        <v>37521</v>
      </c>
      <c r="C604" s="14">
        <v>1</v>
      </c>
    </row>
    <row r="605" spans="1:3" x14ac:dyDescent="0.25">
      <c r="A605" s="14" t="s">
        <v>25437</v>
      </c>
      <c r="B605" s="14" t="s">
        <v>37527</v>
      </c>
      <c r="C605" s="14">
        <v>1</v>
      </c>
    </row>
    <row r="606" spans="1:3" x14ac:dyDescent="0.25">
      <c r="A606" s="14" t="s">
        <v>25398</v>
      </c>
      <c r="B606" s="14" t="s">
        <v>37524</v>
      </c>
      <c r="C606" s="14">
        <v>1</v>
      </c>
    </row>
    <row r="607" spans="1:3" x14ac:dyDescent="0.25">
      <c r="A607" s="14" t="s">
        <v>25425</v>
      </c>
      <c r="B607" s="14" t="s">
        <v>37509</v>
      </c>
      <c r="C607" s="14">
        <v>1</v>
      </c>
    </row>
    <row r="608" spans="1:3" x14ac:dyDescent="0.25">
      <c r="A608" s="14" t="s">
        <v>25491</v>
      </c>
      <c r="B608" s="14" t="s">
        <v>37507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37609</v>
      </c>
      <c r="B610" s="14" t="s">
        <v>37507</v>
      </c>
      <c r="C610" s="14">
        <v>1</v>
      </c>
    </row>
    <row r="611" spans="1:3" x14ac:dyDescent="0.25">
      <c r="A611" s="14" t="s">
        <v>37658</v>
      </c>
      <c r="B611" s="14" t="s">
        <v>25344</v>
      </c>
      <c r="C611" s="14">
        <v>1</v>
      </c>
    </row>
    <row r="612" spans="1:3" x14ac:dyDescent="0.25">
      <c r="A612" s="14" t="s">
        <v>37658</v>
      </c>
      <c r="B612" s="14" t="s">
        <v>37597</v>
      </c>
      <c r="C612" s="14">
        <v>1</v>
      </c>
    </row>
    <row r="613" spans="1:3" x14ac:dyDescent="0.25">
      <c r="A613" s="14" t="s">
        <v>25388</v>
      </c>
      <c r="B613" s="14" t="s">
        <v>37508</v>
      </c>
      <c r="C613" s="14">
        <v>1</v>
      </c>
    </row>
    <row r="614" spans="1:3" x14ac:dyDescent="0.25">
      <c r="A614" s="14" t="s">
        <v>37659</v>
      </c>
      <c r="B614" s="14" t="s">
        <v>37508</v>
      </c>
      <c r="C614" s="14">
        <v>1</v>
      </c>
    </row>
    <row r="615" spans="1:3" x14ac:dyDescent="0.25">
      <c r="A615" s="14" t="s">
        <v>37660</v>
      </c>
      <c r="B615" s="14" t="s">
        <v>37519</v>
      </c>
      <c r="C615" s="14">
        <v>1</v>
      </c>
    </row>
    <row r="616" spans="1:3" x14ac:dyDescent="0.25">
      <c r="A616" s="14" t="s">
        <v>37661</v>
      </c>
      <c r="B616" s="14" t="s">
        <v>37503</v>
      </c>
      <c r="C616" s="14">
        <v>1</v>
      </c>
    </row>
    <row r="617" spans="1:3" x14ac:dyDescent="0.25">
      <c r="A617" s="14" t="s">
        <v>37604</v>
      </c>
      <c r="B617" s="14" t="s">
        <v>37527</v>
      </c>
      <c r="C617" s="14">
        <v>1</v>
      </c>
    </row>
    <row r="618" spans="1:3" x14ac:dyDescent="0.25">
      <c r="A618" s="14" t="s">
        <v>37662</v>
      </c>
      <c r="B618" s="14" t="s">
        <v>37527</v>
      </c>
      <c r="C618" s="14">
        <v>1</v>
      </c>
    </row>
    <row r="619" spans="1:3" x14ac:dyDescent="0.25">
      <c r="A619" s="14" t="s">
        <v>37663</v>
      </c>
      <c r="B619" s="14" t="s">
        <v>37565</v>
      </c>
      <c r="C619" s="14">
        <v>1</v>
      </c>
    </row>
    <row r="620" spans="1:3" x14ac:dyDescent="0.25">
      <c r="A620" s="14" t="s">
        <v>37664</v>
      </c>
      <c r="B620" s="14" t="s">
        <v>37519</v>
      </c>
      <c r="C620" s="14">
        <v>1</v>
      </c>
    </row>
    <row r="621" spans="1:3" x14ac:dyDescent="0.25">
      <c r="A621" s="14" t="s">
        <v>37665</v>
      </c>
      <c r="B621" s="14" t="s">
        <v>37519</v>
      </c>
      <c r="C621" s="14">
        <v>1</v>
      </c>
    </row>
    <row r="622" spans="1:3" x14ac:dyDescent="0.25">
      <c r="A622" s="14" t="s">
        <v>28</v>
      </c>
      <c r="B622" s="14" t="s">
        <v>37518</v>
      </c>
      <c r="C622" s="14">
        <v>1</v>
      </c>
    </row>
    <row r="623" spans="1:3" x14ac:dyDescent="0.25">
      <c r="A623" s="14" t="s">
        <v>25459</v>
      </c>
      <c r="B623" s="14" t="s">
        <v>37666</v>
      </c>
      <c r="C623" s="14">
        <v>1</v>
      </c>
    </row>
    <row r="624" spans="1:3" x14ac:dyDescent="0.25">
      <c r="A624" s="14" t="s">
        <v>37667</v>
      </c>
      <c r="B624" s="14" t="s">
        <v>37538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37544</v>
      </c>
      <c r="C626" s="14">
        <v>1</v>
      </c>
    </row>
    <row r="627" spans="1:3" x14ac:dyDescent="0.25">
      <c r="A627" s="14" t="s">
        <v>25521</v>
      </c>
      <c r="B627" s="14" t="s">
        <v>37528</v>
      </c>
      <c r="C627" s="14">
        <v>1</v>
      </c>
    </row>
    <row r="628" spans="1:3" x14ac:dyDescent="0.25">
      <c r="A628" s="14" t="s">
        <v>37668</v>
      </c>
      <c r="B628" s="14" t="s">
        <v>37509</v>
      </c>
      <c r="C628" s="14">
        <v>1</v>
      </c>
    </row>
    <row r="629" spans="1:3" x14ac:dyDescent="0.25">
      <c r="A629" s="14" t="s">
        <v>37669</v>
      </c>
      <c r="B629" s="14" t="s">
        <v>37527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37593</v>
      </c>
      <c r="C631" s="14">
        <v>1</v>
      </c>
    </row>
    <row r="632" spans="1:3" x14ac:dyDescent="0.25">
      <c r="A632" s="14" t="s">
        <v>22</v>
      </c>
      <c r="B632" s="14" t="s">
        <v>37518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37525</v>
      </c>
      <c r="C634" s="14">
        <v>1</v>
      </c>
    </row>
    <row r="635" spans="1:3" x14ac:dyDescent="0.25">
      <c r="A635" s="14" t="s">
        <v>25475</v>
      </c>
      <c r="B635" s="14" t="s">
        <v>37608</v>
      </c>
      <c r="C635" s="14">
        <v>1</v>
      </c>
    </row>
    <row r="636" spans="1:3" x14ac:dyDescent="0.25">
      <c r="A636" s="14" t="s">
        <v>25440</v>
      </c>
      <c r="B636" s="14" t="s">
        <v>37670</v>
      </c>
      <c r="C636" s="14">
        <v>1</v>
      </c>
    </row>
    <row r="637" spans="1:3" x14ac:dyDescent="0.25">
      <c r="A637" s="14" t="s">
        <v>37671</v>
      </c>
      <c r="B637" s="14" t="s">
        <v>37508</v>
      </c>
      <c r="C637" s="14">
        <v>1</v>
      </c>
    </row>
    <row r="638" spans="1:3" x14ac:dyDescent="0.25">
      <c r="A638" s="14" t="s">
        <v>37672</v>
      </c>
      <c r="B638" s="14" t="s">
        <v>37529</v>
      </c>
      <c r="C638" s="14">
        <v>1</v>
      </c>
    </row>
    <row r="639" spans="1:3" x14ac:dyDescent="0.25">
      <c r="A639" s="14" t="s">
        <v>37673</v>
      </c>
      <c r="B639" s="14" t="s">
        <v>37507</v>
      </c>
      <c r="C639" s="14">
        <v>1</v>
      </c>
    </row>
    <row r="640" spans="1:3" x14ac:dyDescent="0.25">
      <c r="A640" s="14" t="s">
        <v>37674</v>
      </c>
      <c r="B640" s="14" t="s">
        <v>37507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37502</v>
      </c>
      <c r="C642" s="14">
        <v>1</v>
      </c>
    </row>
    <row r="643" spans="1:3" x14ac:dyDescent="0.25">
      <c r="A643" s="14" t="s">
        <v>25434</v>
      </c>
      <c r="B643" s="14" t="s">
        <v>37538</v>
      </c>
      <c r="C643" s="14">
        <v>1</v>
      </c>
    </row>
    <row r="644" spans="1:3" x14ac:dyDescent="0.25">
      <c r="A644" s="14" t="s">
        <v>150</v>
      </c>
      <c r="B644" s="14" t="s">
        <v>37502</v>
      </c>
      <c r="C644" s="14">
        <v>1</v>
      </c>
    </row>
    <row r="645" spans="1:3" x14ac:dyDescent="0.25">
      <c r="A645" s="14" t="s">
        <v>25522</v>
      </c>
      <c r="B645" s="14" t="s">
        <v>37505</v>
      </c>
      <c r="C645" s="14">
        <v>1</v>
      </c>
    </row>
    <row r="646" spans="1:3" x14ac:dyDescent="0.25">
      <c r="A646" s="14" t="s">
        <v>25502</v>
      </c>
      <c r="B646" s="14" t="s">
        <v>37527</v>
      </c>
      <c r="C646" s="14">
        <v>1</v>
      </c>
    </row>
    <row r="647" spans="1:3" x14ac:dyDescent="0.25">
      <c r="A647" s="14" t="s">
        <v>25548</v>
      </c>
      <c r="B647" s="14" t="s">
        <v>37535</v>
      </c>
      <c r="C647" s="14">
        <v>1</v>
      </c>
    </row>
    <row r="648" spans="1:3" x14ac:dyDescent="0.25">
      <c r="A648" s="14" t="s">
        <v>25515</v>
      </c>
      <c r="B648" s="14" t="s">
        <v>37510</v>
      </c>
      <c r="C648" s="14">
        <v>1</v>
      </c>
    </row>
    <row r="649" spans="1:3" x14ac:dyDescent="0.25">
      <c r="A649" s="14" t="s">
        <v>37675</v>
      </c>
      <c r="B649" s="14" t="s">
        <v>37527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37612</v>
      </c>
      <c r="B651" s="14" t="s">
        <v>37516</v>
      </c>
      <c r="C651" s="14">
        <v>1</v>
      </c>
    </row>
    <row r="652" spans="1:3" x14ac:dyDescent="0.25">
      <c r="A652" s="14" t="s">
        <v>144</v>
      </c>
      <c r="B652" s="14" t="s">
        <v>37529</v>
      </c>
      <c r="C652" s="14">
        <v>1</v>
      </c>
    </row>
    <row r="653" spans="1:3" x14ac:dyDescent="0.25">
      <c r="A653" s="14" t="s">
        <v>126</v>
      </c>
      <c r="B653" s="14" t="s">
        <v>37502</v>
      </c>
      <c r="C653" s="14">
        <v>1</v>
      </c>
    </row>
    <row r="654" spans="1:3" x14ac:dyDescent="0.25">
      <c r="A654" s="14" t="s">
        <v>25463</v>
      </c>
      <c r="B654" s="14" t="s">
        <v>37561</v>
      </c>
      <c r="C654" s="14">
        <v>1</v>
      </c>
    </row>
    <row r="655" spans="1:3" x14ac:dyDescent="0.25">
      <c r="A655" s="14" t="s">
        <v>215</v>
      </c>
      <c r="B655" s="14" t="s">
        <v>37581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37583</v>
      </c>
      <c r="C657" s="14">
        <v>1</v>
      </c>
    </row>
    <row r="658" spans="1:3" x14ac:dyDescent="0.25">
      <c r="A658" s="14" t="s">
        <v>233</v>
      </c>
      <c r="B658" s="14" t="s">
        <v>37593</v>
      </c>
      <c r="C658" s="14">
        <v>1</v>
      </c>
    </row>
    <row r="659" spans="1:3" x14ac:dyDescent="0.25">
      <c r="A659" s="14" t="s">
        <v>25402</v>
      </c>
      <c r="B659" s="14" t="s">
        <v>37554</v>
      </c>
      <c r="C659" s="14">
        <v>1</v>
      </c>
    </row>
    <row r="660" spans="1:3" x14ac:dyDescent="0.25">
      <c r="A660" s="14" t="s">
        <v>25385</v>
      </c>
      <c r="B660" s="14" t="s">
        <v>37595</v>
      </c>
      <c r="C660" s="14">
        <v>1</v>
      </c>
    </row>
    <row r="661" spans="1:3" x14ac:dyDescent="0.25">
      <c r="A661" s="14" t="s">
        <v>25402</v>
      </c>
      <c r="B661" s="14" t="s">
        <v>37638</v>
      </c>
      <c r="C661" s="14">
        <v>1</v>
      </c>
    </row>
    <row r="662" spans="1:3" x14ac:dyDescent="0.25">
      <c r="A662" s="14" t="s">
        <v>109</v>
      </c>
      <c r="B662" s="14" t="s">
        <v>37579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37676</v>
      </c>
      <c r="B664" s="14" t="s">
        <v>37505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37561</v>
      </c>
      <c r="C666" s="14">
        <v>1</v>
      </c>
    </row>
    <row r="667" spans="1:3" x14ac:dyDescent="0.25">
      <c r="A667" s="14" t="s">
        <v>25446</v>
      </c>
      <c r="B667" s="14" t="s">
        <v>37554</v>
      </c>
      <c r="C667" s="14">
        <v>1</v>
      </c>
    </row>
    <row r="668" spans="1:3" x14ac:dyDescent="0.25">
      <c r="A668" s="14" t="s">
        <v>25505</v>
      </c>
      <c r="B668" s="14" t="s">
        <v>37504</v>
      </c>
      <c r="C668" s="14">
        <v>1</v>
      </c>
    </row>
    <row r="669" spans="1:3" x14ac:dyDescent="0.25">
      <c r="A669" s="14" t="s">
        <v>25508</v>
      </c>
      <c r="B669" s="14" t="s">
        <v>37565</v>
      </c>
      <c r="C669" s="14">
        <v>1</v>
      </c>
    </row>
    <row r="670" spans="1:3" x14ac:dyDescent="0.25">
      <c r="A670" s="14" t="s">
        <v>25399</v>
      </c>
      <c r="B670" s="14" t="s">
        <v>37509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37511</v>
      </c>
      <c r="C673" s="14">
        <v>1</v>
      </c>
    </row>
    <row r="674" spans="1:3" x14ac:dyDescent="0.25">
      <c r="A674" s="14" t="s">
        <v>25390</v>
      </c>
      <c r="B674" s="14" t="s">
        <v>37523</v>
      </c>
      <c r="C674" s="14">
        <v>1</v>
      </c>
    </row>
    <row r="675" spans="1:3" x14ac:dyDescent="0.25">
      <c r="A675" s="14" t="s">
        <v>42</v>
      </c>
      <c r="B675" s="14" t="s">
        <v>37517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37517</v>
      </c>
      <c r="C677" s="14">
        <v>1</v>
      </c>
    </row>
    <row r="678" spans="1:3" x14ac:dyDescent="0.25">
      <c r="A678" s="14" t="s">
        <v>25382</v>
      </c>
      <c r="B678" s="14" t="s">
        <v>37524</v>
      </c>
      <c r="C678" s="14">
        <v>1</v>
      </c>
    </row>
    <row r="679" spans="1:3" x14ac:dyDescent="0.25">
      <c r="A679" s="14" t="s">
        <v>52</v>
      </c>
      <c r="B679" s="14" t="s">
        <v>37581</v>
      </c>
      <c r="C679" s="14">
        <v>1</v>
      </c>
    </row>
    <row r="680" spans="1:3" x14ac:dyDescent="0.25">
      <c r="A680" s="14" t="s">
        <v>100</v>
      </c>
      <c r="B680" s="14" t="s">
        <v>37565</v>
      </c>
      <c r="C680" s="14">
        <v>1</v>
      </c>
    </row>
    <row r="681" spans="1:3" x14ac:dyDescent="0.25">
      <c r="A681" s="14" t="s">
        <v>43</v>
      </c>
      <c r="B681" s="14" t="s">
        <v>37593</v>
      </c>
      <c r="C681" s="14">
        <v>1</v>
      </c>
    </row>
    <row r="682" spans="1:3" x14ac:dyDescent="0.25">
      <c r="A682" s="14" t="s">
        <v>37677</v>
      </c>
      <c r="B682" s="14" t="s">
        <v>37567</v>
      </c>
      <c r="C682" s="14">
        <v>1</v>
      </c>
    </row>
    <row r="683" spans="1:3" x14ac:dyDescent="0.25">
      <c r="A683" s="14" t="s">
        <v>25390</v>
      </c>
      <c r="B683" s="14" t="s">
        <v>37618</v>
      </c>
      <c r="C683" s="14">
        <v>1</v>
      </c>
    </row>
    <row r="684" spans="1:3" x14ac:dyDescent="0.25">
      <c r="A684" s="14" t="s">
        <v>37555</v>
      </c>
      <c r="B684" s="14" t="s">
        <v>37551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37550</v>
      </c>
      <c r="B686" s="14" t="s">
        <v>37565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37513</v>
      </c>
      <c r="C688" s="14">
        <v>1</v>
      </c>
    </row>
    <row r="689" spans="1:3" x14ac:dyDescent="0.25">
      <c r="A689" s="14" t="s">
        <v>96</v>
      </c>
      <c r="B689" s="14" t="s">
        <v>37521</v>
      </c>
      <c r="C689" s="14">
        <v>1</v>
      </c>
    </row>
    <row r="690" spans="1:3" x14ac:dyDescent="0.25">
      <c r="A690" s="14" t="s">
        <v>37634</v>
      </c>
      <c r="B690" s="14" t="s">
        <v>37583</v>
      </c>
      <c r="C690" s="14">
        <v>1</v>
      </c>
    </row>
    <row r="691" spans="1:3" x14ac:dyDescent="0.25">
      <c r="A691" s="14" t="s">
        <v>25447</v>
      </c>
      <c r="B691" s="14" t="s">
        <v>37520</v>
      </c>
      <c r="C691" s="14">
        <v>1</v>
      </c>
    </row>
    <row r="692" spans="1:3" x14ac:dyDescent="0.25">
      <c r="A692" s="14" t="s">
        <v>37678</v>
      </c>
      <c r="B692" s="14" t="s">
        <v>37653</v>
      </c>
      <c r="C692" s="14">
        <v>1</v>
      </c>
    </row>
    <row r="693" spans="1:3" x14ac:dyDescent="0.25">
      <c r="A693" s="14" t="s">
        <v>215</v>
      </c>
      <c r="B693" s="14" t="s">
        <v>37595</v>
      </c>
      <c r="C693" s="14">
        <v>1</v>
      </c>
    </row>
    <row r="694" spans="1:3" x14ac:dyDescent="0.25">
      <c r="A694" s="14" t="s">
        <v>25505</v>
      </c>
      <c r="B694" s="14" t="s">
        <v>37679</v>
      </c>
      <c r="C694" s="14">
        <v>1</v>
      </c>
    </row>
    <row r="695" spans="1:3" x14ac:dyDescent="0.25">
      <c r="A695" s="14" t="s">
        <v>25540</v>
      </c>
      <c r="B695" s="14" t="s">
        <v>37519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37529</v>
      </c>
      <c r="C697" s="14">
        <v>1</v>
      </c>
    </row>
    <row r="698" spans="1:3" x14ac:dyDescent="0.25">
      <c r="A698" s="14" t="s">
        <v>37680</v>
      </c>
      <c r="B698" s="14" t="s">
        <v>37593</v>
      </c>
      <c r="C698" s="14">
        <v>1</v>
      </c>
    </row>
    <row r="699" spans="1:3" x14ac:dyDescent="0.25">
      <c r="A699" s="14" t="s">
        <v>25445</v>
      </c>
      <c r="B699" s="14" t="s">
        <v>37516</v>
      </c>
      <c r="C699" s="14">
        <v>1</v>
      </c>
    </row>
    <row r="700" spans="1:3" x14ac:dyDescent="0.25">
      <c r="A700" s="14" t="s">
        <v>25446</v>
      </c>
      <c r="B700" s="14" t="s">
        <v>37598</v>
      </c>
      <c r="C700" s="14">
        <v>1</v>
      </c>
    </row>
    <row r="701" spans="1:3" x14ac:dyDescent="0.25">
      <c r="A701" s="14" t="s">
        <v>43</v>
      </c>
      <c r="B701" s="14" t="s">
        <v>37569</v>
      </c>
      <c r="C701" s="14">
        <v>1</v>
      </c>
    </row>
    <row r="702" spans="1:3" x14ac:dyDescent="0.25">
      <c r="A702" s="14" t="s">
        <v>215</v>
      </c>
      <c r="B702" s="14" t="s">
        <v>37538</v>
      </c>
      <c r="C702" s="14">
        <v>1</v>
      </c>
    </row>
    <row r="703" spans="1:3" x14ac:dyDescent="0.25">
      <c r="A703" s="14" t="s">
        <v>1</v>
      </c>
      <c r="B703" s="14" t="s">
        <v>37528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37681</v>
      </c>
      <c r="B705" s="14" t="s">
        <v>37531</v>
      </c>
      <c r="C705" s="14">
        <v>1</v>
      </c>
    </row>
    <row r="706" spans="1:3" x14ac:dyDescent="0.25">
      <c r="A706" s="14" t="s">
        <v>25447</v>
      </c>
      <c r="B706" s="14" t="s">
        <v>37581</v>
      </c>
      <c r="C706" s="14">
        <v>1</v>
      </c>
    </row>
    <row r="707" spans="1:3" x14ac:dyDescent="0.25">
      <c r="A707" s="14" t="s">
        <v>43</v>
      </c>
      <c r="B707" s="14" t="s">
        <v>37546</v>
      </c>
      <c r="C707" s="14">
        <v>1</v>
      </c>
    </row>
    <row r="708" spans="1:3" x14ac:dyDescent="0.25">
      <c r="A708" s="14" t="s">
        <v>37675</v>
      </c>
      <c r="B708" s="14" t="s">
        <v>37538</v>
      </c>
      <c r="C708" s="14">
        <v>1</v>
      </c>
    </row>
    <row r="709" spans="1:3" x14ac:dyDescent="0.25">
      <c r="A709" s="14" t="s">
        <v>35</v>
      </c>
      <c r="B709" s="14" t="s">
        <v>37527</v>
      </c>
      <c r="C709" s="14">
        <v>1</v>
      </c>
    </row>
    <row r="710" spans="1:3" x14ac:dyDescent="0.25">
      <c r="A710" s="14" t="s">
        <v>25389</v>
      </c>
      <c r="B710" s="14" t="s">
        <v>37565</v>
      </c>
      <c r="C710" s="14">
        <v>1</v>
      </c>
    </row>
    <row r="711" spans="1:3" x14ac:dyDescent="0.25">
      <c r="A711" s="14" t="s">
        <v>215</v>
      </c>
      <c r="B711" s="14" t="s">
        <v>37565</v>
      </c>
      <c r="C711" s="14">
        <v>1</v>
      </c>
    </row>
    <row r="712" spans="1:3" x14ac:dyDescent="0.25">
      <c r="A712" s="14" t="s">
        <v>25521</v>
      </c>
      <c r="B712" s="14" t="s">
        <v>37518</v>
      </c>
      <c r="C712" s="14">
        <v>1</v>
      </c>
    </row>
    <row r="713" spans="1:3" x14ac:dyDescent="0.25">
      <c r="A713" s="14" t="s">
        <v>96</v>
      </c>
      <c r="B713" s="14" t="s">
        <v>37627</v>
      </c>
      <c r="C713" s="14">
        <v>1</v>
      </c>
    </row>
    <row r="714" spans="1:3" x14ac:dyDescent="0.25">
      <c r="A714" s="14" t="s">
        <v>37639</v>
      </c>
      <c r="B714" s="14" t="s">
        <v>37621</v>
      </c>
      <c r="C714" s="14">
        <v>1</v>
      </c>
    </row>
    <row r="715" spans="1:3" x14ac:dyDescent="0.25">
      <c r="A715" s="14" t="s">
        <v>28</v>
      </c>
      <c r="B715" s="14" t="s">
        <v>37565</v>
      </c>
      <c r="C715" s="14">
        <v>1</v>
      </c>
    </row>
    <row r="716" spans="1:3" x14ac:dyDescent="0.25">
      <c r="A716" s="14" t="s">
        <v>25539</v>
      </c>
      <c r="B716" s="14" t="s">
        <v>37581</v>
      </c>
      <c r="C716" s="14">
        <v>1</v>
      </c>
    </row>
    <row r="717" spans="1:3" x14ac:dyDescent="0.25">
      <c r="A717" s="14" t="s">
        <v>37682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37627</v>
      </c>
      <c r="C718" s="14">
        <v>1</v>
      </c>
    </row>
    <row r="719" spans="1:3" x14ac:dyDescent="0.25">
      <c r="A719" s="14" t="s">
        <v>150</v>
      </c>
      <c r="B719" s="14" t="s">
        <v>37556</v>
      </c>
      <c r="C719" s="14">
        <v>1</v>
      </c>
    </row>
    <row r="720" spans="1:3" x14ac:dyDescent="0.25">
      <c r="A720" s="14" t="s">
        <v>25469</v>
      </c>
      <c r="B720" s="14" t="s">
        <v>37599</v>
      </c>
      <c r="C720" s="14">
        <v>1</v>
      </c>
    </row>
    <row r="721" spans="1:3" x14ac:dyDescent="0.25">
      <c r="A721" s="14" t="s">
        <v>25523</v>
      </c>
      <c r="B721" s="14" t="s">
        <v>37569</v>
      </c>
      <c r="C721" s="14">
        <v>1</v>
      </c>
    </row>
    <row r="722" spans="1:3" x14ac:dyDescent="0.25">
      <c r="A722" s="14" t="s">
        <v>25530</v>
      </c>
      <c r="B722" s="14" t="s">
        <v>37561</v>
      </c>
      <c r="C722" s="14">
        <v>1</v>
      </c>
    </row>
    <row r="723" spans="1:3" x14ac:dyDescent="0.25">
      <c r="A723" s="14" t="s">
        <v>25560</v>
      </c>
      <c r="B723" s="14" t="s">
        <v>37622</v>
      </c>
      <c r="C723" s="14">
        <v>1</v>
      </c>
    </row>
    <row r="724" spans="1:3" x14ac:dyDescent="0.25">
      <c r="A724" s="14" t="s">
        <v>25470</v>
      </c>
      <c r="B724" s="14" t="s">
        <v>37505</v>
      </c>
      <c r="C724" s="14">
        <v>1</v>
      </c>
    </row>
    <row r="725" spans="1:3" x14ac:dyDescent="0.25">
      <c r="A725" s="14" t="s">
        <v>25522</v>
      </c>
      <c r="B725" s="14" t="s">
        <v>37630</v>
      </c>
      <c r="C725" s="14">
        <v>1</v>
      </c>
    </row>
    <row r="726" spans="1:3" x14ac:dyDescent="0.25">
      <c r="A726" s="14" t="s">
        <v>25499</v>
      </c>
      <c r="B726" s="14" t="s">
        <v>37564</v>
      </c>
      <c r="C726" s="14">
        <v>1</v>
      </c>
    </row>
    <row r="727" spans="1:3" x14ac:dyDescent="0.25">
      <c r="A727" s="14" t="s">
        <v>25508</v>
      </c>
      <c r="B727" s="14" t="s">
        <v>37508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37657</v>
      </c>
      <c r="B729" s="14" t="s">
        <v>37504</v>
      </c>
      <c r="C729" s="14">
        <v>1</v>
      </c>
    </row>
    <row r="730" spans="1:3" x14ac:dyDescent="0.25">
      <c r="A730" s="14" t="s">
        <v>25376</v>
      </c>
      <c r="B730" s="14" t="s">
        <v>37505</v>
      </c>
      <c r="C730" s="14">
        <v>1</v>
      </c>
    </row>
    <row r="731" spans="1:3" x14ac:dyDescent="0.25">
      <c r="A731" s="14" t="s">
        <v>25563</v>
      </c>
      <c r="B731" s="14" t="s">
        <v>37523</v>
      </c>
      <c r="C731" s="14">
        <v>1</v>
      </c>
    </row>
    <row r="732" spans="1:3" x14ac:dyDescent="0.25">
      <c r="A732" s="14" t="s">
        <v>25499</v>
      </c>
      <c r="B732" s="14" t="s">
        <v>37654</v>
      </c>
      <c r="C732" s="14">
        <v>1</v>
      </c>
    </row>
    <row r="733" spans="1:3" x14ac:dyDescent="0.25">
      <c r="A733" s="14" t="s">
        <v>25563</v>
      </c>
      <c r="B733" s="14" t="s">
        <v>37517</v>
      </c>
      <c r="C733" s="14">
        <v>1</v>
      </c>
    </row>
    <row r="734" spans="1:3" x14ac:dyDescent="0.25">
      <c r="A734" s="14" t="s">
        <v>25383</v>
      </c>
      <c r="B734" s="14" t="s">
        <v>37557</v>
      </c>
      <c r="C734" s="14">
        <v>1</v>
      </c>
    </row>
    <row r="735" spans="1:3" x14ac:dyDescent="0.25">
      <c r="A735" s="14" t="s">
        <v>25396</v>
      </c>
      <c r="B735" s="14" t="s">
        <v>37636</v>
      </c>
      <c r="C735" s="14">
        <v>1</v>
      </c>
    </row>
    <row r="736" spans="1:3" x14ac:dyDescent="0.25">
      <c r="A736" s="14" t="s">
        <v>25400</v>
      </c>
      <c r="B736" s="14" t="s">
        <v>37538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37618</v>
      </c>
      <c r="C738" s="14">
        <v>1</v>
      </c>
    </row>
    <row r="739" spans="1:3" x14ac:dyDescent="0.25">
      <c r="A739" s="14" t="s">
        <v>25523</v>
      </c>
      <c r="B739" s="14" t="s">
        <v>37545</v>
      </c>
      <c r="C739" s="14">
        <v>1</v>
      </c>
    </row>
    <row r="740" spans="1:3" x14ac:dyDescent="0.25">
      <c r="A740" s="14" t="s">
        <v>25569</v>
      </c>
      <c r="B740" s="14" t="s">
        <v>37551</v>
      </c>
      <c r="C740" s="14">
        <v>1</v>
      </c>
    </row>
    <row r="741" spans="1:3" x14ac:dyDescent="0.25">
      <c r="A741" s="14" t="s">
        <v>25396</v>
      </c>
      <c r="B741" s="14" t="s">
        <v>37508</v>
      </c>
      <c r="C741" s="14">
        <v>1</v>
      </c>
    </row>
    <row r="742" spans="1:3" x14ac:dyDescent="0.25">
      <c r="A742" s="14" t="s">
        <v>25446</v>
      </c>
      <c r="B742" s="14" t="s">
        <v>37535</v>
      </c>
      <c r="C742" s="14">
        <v>1</v>
      </c>
    </row>
    <row r="743" spans="1:3" x14ac:dyDescent="0.25">
      <c r="A743" s="14" t="s">
        <v>25535</v>
      </c>
      <c r="B743" s="14" t="s">
        <v>37519</v>
      </c>
      <c r="C743" s="14">
        <v>1</v>
      </c>
    </row>
    <row r="744" spans="1:3" x14ac:dyDescent="0.25">
      <c r="A744" s="14" t="s">
        <v>25379</v>
      </c>
      <c r="B744" s="14" t="s">
        <v>37509</v>
      </c>
      <c r="C744" s="14">
        <v>1</v>
      </c>
    </row>
    <row r="745" spans="1:3" x14ac:dyDescent="0.25">
      <c r="A745" s="14" t="s">
        <v>25396</v>
      </c>
      <c r="B745" s="14" t="s">
        <v>37633</v>
      </c>
      <c r="C745" s="14">
        <v>1</v>
      </c>
    </row>
    <row r="746" spans="1:3" x14ac:dyDescent="0.25">
      <c r="A746" s="14" t="s">
        <v>25406</v>
      </c>
      <c r="B746" s="14" t="s">
        <v>37508</v>
      </c>
      <c r="C746" s="14">
        <v>1</v>
      </c>
    </row>
    <row r="747" spans="1:3" x14ac:dyDescent="0.25">
      <c r="A747" s="14" t="s">
        <v>25405</v>
      </c>
      <c r="B747" s="14" t="s">
        <v>37633</v>
      </c>
      <c r="C747" s="14">
        <v>1</v>
      </c>
    </row>
    <row r="748" spans="1:3" x14ac:dyDescent="0.25">
      <c r="A748" s="14" t="s">
        <v>25406</v>
      </c>
      <c r="B748" s="14" t="s">
        <v>37507</v>
      </c>
      <c r="C748" s="14">
        <v>1</v>
      </c>
    </row>
    <row r="749" spans="1:3" x14ac:dyDescent="0.25">
      <c r="A749" s="14" t="s">
        <v>25414</v>
      </c>
      <c r="B749" s="14" t="s">
        <v>37519</v>
      </c>
      <c r="C749" s="14">
        <v>1</v>
      </c>
    </row>
    <row r="750" spans="1:3" x14ac:dyDescent="0.25">
      <c r="A750" s="14" t="s">
        <v>25430</v>
      </c>
      <c r="B750" s="14" t="s">
        <v>37529</v>
      </c>
      <c r="C750" s="14">
        <v>1</v>
      </c>
    </row>
    <row r="751" spans="1:3" x14ac:dyDescent="0.25">
      <c r="A751" s="14" t="s">
        <v>25499</v>
      </c>
      <c r="B751" s="14" t="s">
        <v>37536</v>
      </c>
      <c r="C751" s="14">
        <v>1</v>
      </c>
    </row>
    <row r="752" spans="1:3" x14ac:dyDescent="0.25">
      <c r="A752" s="14" t="s">
        <v>25507</v>
      </c>
      <c r="B752" s="14" t="s">
        <v>37545</v>
      </c>
      <c r="C752" s="14">
        <v>1</v>
      </c>
    </row>
    <row r="753" spans="1:3" x14ac:dyDescent="0.25">
      <c r="A753" s="14" t="s">
        <v>34</v>
      </c>
      <c r="B753" s="14" t="s">
        <v>37626</v>
      </c>
      <c r="C753" s="14">
        <v>1</v>
      </c>
    </row>
    <row r="754" spans="1:3" x14ac:dyDescent="0.25">
      <c r="A754" s="14" t="s">
        <v>37613</v>
      </c>
      <c r="B754" s="14" t="s">
        <v>37567</v>
      </c>
      <c r="C754" s="14">
        <v>1</v>
      </c>
    </row>
    <row r="755" spans="1:3" x14ac:dyDescent="0.25">
      <c r="A755" s="14" t="s">
        <v>25524</v>
      </c>
      <c r="B755" s="14" t="s">
        <v>37511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37650</v>
      </c>
      <c r="B757" s="14" t="s">
        <v>37643</v>
      </c>
      <c r="C757" s="14">
        <v>1</v>
      </c>
    </row>
    <row r="758" spans="1:3" x14ac:dyDescent="0.25">
      <c r="A758" s="14" t="s">
        <v>37613</v>
      </c>
      <c r="B758" s="14" t="s">
        <v>37638</v>
      </c>
      <c r="C758" s="14">
        <v>1</v>
      </c>
    </row>
    <row r="759" spans="1:3" x14ac:dyDescent="0.25">
      <c r="A759" s="14" t="s">
        <v>25539</v>
      </c>
      <c r="B759" s="14" t="s">
        <v>37633</v>
      </c>
      <c r="C759" s="14">
        <v>1</v>
      </c>
    </row>
    <row r="760" spans="1:3" x14ac:dyDescent="0.25">
      <c r="A760" s="14" t="s">
        <v>25541</v>
      </c>
      <c r="B760" s="14" t="s">
        <v>37683</v>
      </c>
      <c r="C760" s="14">
        <v>1</v>
      </c>
    </row>
    <row r="761" spans="1:3" x14ac:dyDescent="0.25">
      <c r="A761" s="14" t="s">
        <v>1</v>
      </c>
      <c r="B761" s="14" t="s">
        <v>37517</v>
      </c>
      <c r="C761" s="14">
        <v>1</v>
      </c>
    </row>
    <row r="762" spans="1:3" x14ac:dyDescent="0.25">
      <c r="A762" s="14" t="s">
        <v>25540</v>
      </c>
      <c r="B762" s="14" t="s">
        <v>37569</v>
      </c>
      <c r="C762" s="14">
        <v>1</v>
      </c>
    </row>
    <row r="763" spans="1:3" x14ac:dyDescent="0.25">
      <c r="A763" s="14" t="s">
        <v>25478</v>
      </c>
      <c r="B763" s="14" t="s">
        <v>37504</v>
      </c>
      <c r="C763" s="14">
        <v>1</v>
      </c>
    </row>
    <row r="764" spans="1:3" x14ac:dyDescent="0.25">
      <c r="A764" s="14" t="s">
        <v>25479</v>
      </c>
      <c r="B764" s="14" t="s">
        <v>37529</v>
      </c>
      <c r="C764" s="14">
        <v>1</v>
      </c>
    </row>
    <row r="765" spans="1:3" x14ac:dyDescent="0.25">
      <c r="A765" s="14" t="s">
        <v>25377</v>
      </c>
      <c r="B765" s="14" t="s">
        <v>37565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37684</v>
      </c>
      <c r="B767" s="14" t="s">
        <v>37511</v>
      </c>
      <c r="C767" s="14">
        <v>1</v>
      </c>
    </row>
    <row r="768" spans="1:3" x14ac:dyDescent="0.25">
      <c r="A768" s="14" t="s">
        <v>37613</v>
      </c>
      <c r="B768" s="14" t="s">
        <v>37580</v>
      </c>
      <c r="C768" s="14">
        <v>1</v>
      </c>
    </row>
    <row r="769" spans="1:3" x14ac:dyDescent="0.25">
      <c r="A769" s="14" t="s">
        <v>25410</v>
      </c>
      <c r="B769" s="14" t="s">
        <v>37503</v>
      </c>
      <c r="C769" s="14">
        <v>1</v>
      </c>
    </row>
    <row r="770" spans="1:3" x14ac:dyDescent="0.25">
      <c r="A770" s="14" t="s">
        <v>25548</v>
      </c>
      <c r="B770" s="14" t="s">
        <v>37640</v>
      </c>
      <c r="C770" s="14">
        <v>1</v>
      </c>
    </row>
    <row r="771" spans="1:3" x14ac:dyDescent="0.25">
      <c r="A771" s="14" t="s">
        <v>37685</v>
      </c>
      <c r="B771" s="14" t="s">
        <v>37513</v>
      </c>
      <c r="C771" s="14">
        <v>1</v>
      </c>
    </row>
    <row r="772" spans="1:3" x14ac:dyDescent="0.25">
      <c r="A772" s="14" t="s">
        <v>25429</v>
      </c>
      <c r="B772" s="14" t="s">
        <v>37529</v>
      </c>
      <c r="C772" s="14">
        <v>1</v>
      </c>
    </row>
    <row r="773" spans="1:3" x14ac:dyDescent="0.25">
      <c r="A773" s="14" t="s">
        <v>215</v>
      </c>
      <c r="B773" s="14" t="s">
        <v>37561</v>
      </c>
      <c r="C773" s="14">
        <v>1</v>
      </c>
    </row>
    <row r="774" spans="1:3" x14ac:dyDescent="0.25">
      <c r="A774" s="14" t="s">
        <v>25396</v>
      </c>
      <c r="B774" s="14" t="s">
        <v>37656</v>
      </c>
      <c r="C774" s="14">
        <v>1</v>
      </c>
    </row>
    <row r="775" spans="1:3" x14ac:dyDescent="0.25">
      <c r="A775" s="14" t="s">
        <v>25396</v>
      </c>
      <c r="B775" s="14" t="s">
        <v>37614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37565</v>
      </c>
      <c r="C777" s="14">
        <v>1</v>
      </c>
    </row>
    <row r="778" spans="1:3" x14ac:dyDescent="0.25">
      <c r="A778" s="14" t="s">
        <v>25563</v>
      </c>
      <c r="B778" s="14" t="s">
        <v>37524</v>
      </c>
      <c r="C778" s="14">
        <v>1</v>
      </c>
    </row>
    <row r="779" spans="1:3" x14ac:dyDescent="0.25">
      <c r="A779" s="14" t="s">
        <v>25377</v>
      </c>
      <c r="B779" s="14" t="s">
        <v>37595</v>
      </c>
      <c r="C779" s="14">
        <v>1</v>
      </c>
    </row>
    <row r="780" spans="1:3" x14ac:dyDescent="0.25">
      <c r="A780" s="14" t="s">
        <v>109</v>
      </c>
      <c r="B780" s="14" t="s">
        <v>37508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37656</v>
      </c>
      <c r="C782" s="14">
        <v>1</v>
      </c>
    </row>
    <row r="783" spans="1:3" x14ac:dyDescent="0.25">
      <c r="A783" s="14" t="s">
        <v>58</v>
      </c>
      <c r="B783" s="14" t="s">
        <v>37565</v>
      </c>
      <c r="C783" s="14">
        <v>1</v>
      </c>
    </row>
    <row r="784" spans="1:3" x14ac:dyDescent="0.25">
      <c r="A784" s="14" t="s">
        <v>109</v>
      </c>
      <c r="B784" s="14" t="s">
        <v>37524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37653</v>
      </c>
      <c r="C786" s="14">
        <v>1</v>
      </c>
    </row>
    <row r="787" spans="1:3" x14ac:dyDescent="0.25">
      <c r="A787" s="14" t="s">
        <v>25502</v>
      </c>
      <c r="B787" s="14" t="s">
        <v>37510</v>
      </c>
      <c r="C787" s="14">
        <v>1</v>
      </c>
    </row>
    <row r="788" spans="1:3" x14ac:dyDescent="0.25">
      <c r="A788" s="14" t="s">
        <v>25511</v>
      </c>
      <c r="B788" s="14" t="s">
        <v>37509</v>
      </c>
      <c r="C788" s="14">
        <v>1</v>
      </c>
    </row>
    <row r="789" spans="1:3" x14ac:dyDescent="0.25">
      <c r="A789" s="14" t="s">
        <v>25390</v>
      </c>
      <c r="B789" s="14" t="s">
        <v>37503</v>
      </c>
      <c r="C789" s="14">
        <v>1</v>
      </c>
    </row>
    <row r="790" spans="1:3" x14ac:dyDescent="0.25">
      <c r="A790" s="14" t="s">
        <v>212</v>
      </c>
      <c r="B790" s="14" t="s">
        <v>37568</v>
      </c>
      <c r="C790" s="14">
        <v>1</v>
      </c>
    </row>
    <row r="791" spans="1:3" x14ac:dyDescent="0.25">
      <c r="A791" s="14" t="s">
        <v>25395</v>
      </c>
      <c r="B791" s="14" t="s">
        <v>37565</v>
      </c>
      <c r="C791" s="14">
        <v>1</v>
      </c>
    </row>
    <row r="792" spans="1:3" x14ac:dyDescent="0.25">
      <c r="A792" s="14" t="s">
        <v>52</v>
      </c>
      <c r="B792" s="14" t="s">
        <v>37529</v>
      </c>
      <c r="C792" s="14">
        <v>1</v>
      </c>
    </row>
    <row r="793" spans="1:3" x14ac:dyDescent="0.25">
      <c r="A793" s="14" t="s">
        <v>96</v>
      </c>
      <c r="B793" s="14" t="s">
        <v>37580</v>
      </c>
      <c r="C793" s="14">
        <v>1</v>
      </c>
    </row>
    <row r="794" spans="1:3" x14ac:dyDescent="0.25">
      <c r="A794" s="14" t="s">
        <v>25426</v>
      </c>
      <c r="B794" s="14" t="s">
        <v>37608</v>
      </c>
      <c r="C794" s="14">
        <v>1</v>
      </c>
    </row>
    <row r="795" spans="1:3" x14ac:dyDescent="0.25">
      <c r="A795" s="14" t="s">
        <v>25390</v>
      </c>
      <c r="B795" s="14" t="s">
        <v>37505</v>
      </c>
      <c r="C795" s="14">
        <v>1</v>
      </c>
    </row>
    <row r="796" spans="1:3" x14ac:dyDescent="0.25">
      <c r="A796" s="14" t="s">
        <v>25383</v>
      </c>
      <c r="B796" s="14" t="s">
        <v>37653</v>
      </c>
      <c r="C796" s="14">
        <v>1</v>
      </c>
    </row>
    <row r="797" spans="1:3" x14ac:dyDescent="0.25">
      <c r="A797" s="14" t="s">
        <v>25469</v>
      </c>
      <c r="B797" s="14" t="s">
        <v>37503</v>
      </c>
      <c r="C797" s="14">
        <v>1</v>
      </c>
    </row>
    <row r="798" spans="1:3" x14ac:dyDescent="0.25">
      <c r="A798" s="14" t="s">
        <v>25481</v>
      </c>
      <c r="B798" s="14" t="s">
        <v>37529</v>
      </c>
      <c r="C798" s="14">
        <v>1</v>
      </c>
    </row>
    <row r="799" spans="1:3" x14ac:dyDescent="0.25">
      <c r="A799" s="14" t="s">
        <v>25383</v>
      </c>
      <c r="B799" s="14" t="s">
        <v>37502</v>
      </c>
      <c r="C799" s="14">
        <v>1</v>
      </c>
    </row>
    <row r="800" spans="1:3" x14ac:dyDescent="0.25">
      <c r="A800" s="14" t="s">
        <v>25377</v>
      </c>
      <c r="B800" s="14" t="s">
        <v>37502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37505</v>
      </c>
      <c r="C802" s="14">
        <v>1</v>
      </c>
    </row>
    <row r="803" spans="1:3" x14ac:dyDescent="0.25">
      <c r="A803" s="14" t="s">
        <v>25463</v>
      </c>
      <c r="B803" s="14" t="s">
        <v>37581</v>
      </c>
      <c r="C803" s="14">
        <v>1</v>
      </c>
    </row>
    <row r="804" spans="1:3" x14ac:dyDescent="0.25">
      <c r="A804" s="14" t="s">
        <v>25381</v>
      </c>
      <c r="B804" s="14" t="s">
        <v>37527</v>
      </c>
      <c r="C804" s="14">
        <v>1</v>
      </c>
    </row>
    <row r="805" spans="1:3" x14ac:dyDescent="0.25">
      <c r="A805" s="14" t="s">
        <v>25377</v>
      </c>
      <c r="B805" s="14" t="s">
        <v>37519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37608</v>
      </c>
      <c r="C807" s="14">
        <v>1</v>
      </c>
    </row>
    <row r="808" spans="1:3" x14ac:dyDescent="0.25">
      <c r="A808" s="14" t="s">
        <v>52</v>
      </c>
      <c r="B808" s="14" t="s">
        <v>37508</v>
      </c>
      <c r="C808" s="14">
        <v>1</v>
      </c>
    </row>
    <row r="809" spans="1:3" x14ac:dyDescent="0.25">
      <c r="A809" s="14" t="s">
        <v>42</v>
      </c>
      <c r="B809" s="14" t="s">
        <v>37524</v>
      </c>
      <c r="C809" s="14">
        <v>1</v>
      </c>
    </row>
    <row r="810" spans="1:3" x14ac:dyDescent="0.25">
      <c r="A810" s="14" t="s">
        <v>25397</v>
      </c>
      <c r="B810" s="14" t="s">
        <v>37508</v>
      </c>
      <c r="C810" s="14">
        <v>1</v>
      </c>
    </row>
    <row r="811" spans="1:3" x14ac:dyDescent="0.25">
      <c r="A811" s="14" t="s">
        <v>37686</v>
      </c>
      <c r="B811" s="14" t="s">
        <v>37523</v>
      </c>
      <c r="C811" s="14">
        <v>1</v>
      </c>
    </row>
    <row r="812" spans="1:3" x14ac:dyDescent="0.25">
      <c r="A812" s="14" t="s">
        <v>25387</v>
      </c>
      <c r="B812" s="14" t="s">
        <v>37568</v>
      </c>
      <c r="C812" s="14">
        <v>1</v>
      </c>
    </row>
    <row r="813" spans="1:3" x14ac:dyDescent="0.25">
      <c r="A813" s="14" t="s">
        <v>25386</v>
      </c>
      <c r="B813" s="14" t="s">
        <v>37592</v>
      </c>
      <c r="C813" s="14">
        <v>1</v>
      </c>
    </row>
    <row r="814" spans="1:3" x14ac:dyDescent="0.25">
      <c r="A814" s="14" t="s">
        <v>25388</v>
      </c>
      <c r="B814" s="14" t="s">
        <v>37595</v>
      </c>
      <c r="C814" s="14">
        <v>1</v>
      </c>
    </row>
    <row r="815" spans="1:3" x14ac:dyDescent="0.25">
      <c r="A815" s="14" t="s">
        <v>25376</v>
      </c>
      <c r="B815" s="14" t="s">
        <v>37565</v>
      </c>
      <c r="C815" s="14">
        <v>1</v>
      </c>
    </row>
    <row r="816" spans="1:3" x14ac:dyDescent="0.25">
      <c r="A816" s="14" t="s">
        <v>25465</v>
      </c>
      <c r="B816" s="14" t="s">
        <v>37595</v>
      </c>
      <c r="C816" s="14">
        <v>1</v>
      </c>
    </row>
    <row r="817" spans="1:3" x14ac:dyDescent="0.25">
      <c r="A817" s="14" t="s">
        <v>25405</v>
      </c>
      <c r="B817" s="14" t="s">
        <v>37508</v>
      </c>
      <c r="C817" s="14">
        <v>1</v>
      </c>
    </row>
    <row r="818" spans="1:3" x14ac:dyDescent="0.25">
      <c r="A818" s="14" t="s">
        <v>25516</v>
      </c>
      <c r="B818" s="14" t="s">
        <v>37560</v>
      </c>
      <c r="C818" s="14">
        <v>1</v>
      </c>
    </row>
    <row r="819" spans="1:3" x14ac:dyDescent="0.25">
      <c r="A819" s="14" t="s">
        <v>25392</v>
      </c>
      <c r="B819" s="14" t="s">
        <v>37565</v>
      </c>
      <c r="C819" s="14">
        <v>1</v>
      </c>
    </row>
    <row r="820" spans="1:3" x14ac:dyDescent="0.25">
      <c r="A820" s="14" t="s">
        <v>212</v>
      </c>
      <c r="B820" s="14" t="s">
        <v>37537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7"/>
  <sheetViews>
    <sheetView workbookViewId="0">
      <selection activeCell="D40" sqref="D40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34" t="s">
        <v>52</v>
      </c>
      <c r="B1" s="34">
        <v>1</v>
      </c>
      <c r="D1" s="14" t="s">
        <v>212</v>
      </c>
      <c r="E1" s="14" t="s">
        <v>29</v>
      </c>
    </row>
    <row r="2" spans="1:5" x14ac:dyDescent="0.25">
      <c r="A2" s="34" t="s">
        <v>100</v>
      </c>
      <c r="B2" s="34">
        <v>1</v>
      </c>
    </row>
    <row r="3" spans="1:5" x14ac:dyDescent="0.25">
      <c r="A3" s="34" t="s">
        <v>96</v>
      </c>
      <c r="B3" s="34">
        <v>1</v>
      </c>
    </row>
    <row r="4" spans="1:5" x14ac:dyDescent="0.25">
      <c r="A4" s="34" t="s">
        <v>150</v>
      </c>
      <c r="B4" s="34">
        <v>1</v>
      </c>
      <c r="D4" s="14" t="s">
        <v>25410</v>
      </c>
    </row>
    <row r="5" spans="1:5" x14ac:dyDescent="0.25">
      <c r="A5" s="34" t="s">
        <v>25430</v>
      </c>
      <c r="B5" s="34">
        <v>1</v>
      </c>
      <c r="D5" s="14" t="s">
        <v>25444</v>
      </c>
    </row>
    <row r="6" spans="1:5" x14ac:dyDescent="0.25">
      <c r="A6" s="34" t="s">
        <v>54</v>
      </c>
      <c r="B6" s="34">
        <v>1</v>
      </c>
    </row>
    <row r="7" spans="1:5" x14ac:dyDescent="0.25">
      <c r="A7" s="34" t="s">
        <v>22</v>
      </c>
      <c r="B7" s="34">
        <v>1</v>
      </c>
      <c r="D7" s="14" t="s">
        <v>25446</v>
      </c>
    </row>
    <row r="8" spans="1:5" x14ac:dyDescent="0.25">
      <c r="A8" s="34" t="s">
        <v>144</v>
      </c>
      <c r="B8" s="34">
        <v>1</v>
      </c>
    </row>
    <row r="9" spans="1:5" x14ac:dyDescent="0.25">
      <c r="A9" s="34" t="s">
        <v>58</v>
      </c>
      <c r="B9" s="34">
        <v>1</v>
      </c>
      <c r="D9" s="14" t="s">
        <v>25561</v>
      </c>
    </row>
    <row r="10" spans="1:5" x14ac:dyDescent="0.25">
      <c r="A10" s="34" t="s">
        <v>126</v>
      </c>
      <c r="B10" s="34">
        <v>1</v>
      </c>
      <c r="D10" s="14" t="s">
        <v>215</v>
      </c>
    </row>
    <row r="11" spans="1:5" x14ac:dyDescent="0.25">
      <c r="A11" s="34" t="s">
        <v>25487</v>
      </c>
      <c r="B11" s="34">
        <v>1</v>
      </c>
    </row>
    <row r="12" spans="1:5" x14ac:dyDescent="0.25">
      <c r="A12" s="34" t="s">
        <v>25488</v>
      </c>
      <c r="B12" s="34">
        <v>1</v>
      </c>
    </row>
    <row r="13" spans="1:5" x14ac:dyDescent="0.25">
      <c r="A13" s="34" t="s">
        <v>238</v>
      </c>
      <c r="B13" s="34">
        <v>1</v>
      </c>
    </row>
    <row r="14" spans="1:5" x14ac:dyDescent="0.25">
      <c r="A14" s="34" t="s">
        <v>28</v>
      </c>
      <c r="B14" s="34">
        <v>1</v>
      </c>
    </row>
    <row r="15" spans="1:5" x14ac:dyDescent="0.25">
      <c r="A15" s="34" t="s">
        <v>27</v>
      </c>
      <c r="B15" s="34">
        <v>1</v>
      </c>
    </row>
    <row r="16" spans="1:5" x14ac:dyDescent="0.25">
      <c r="A16" s="34" t="s">
        <v>25557</v>
      </c>
      <c r="B16" s="34">
        <v>1</v>
      </c>
    </row>
    <row r="17" spans="1:2" x14ac:dyDescent="0.25">
      <c r="A17" s="34" t="s">
        <v>1</v>
      </c>
      <c r="B17" s="3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6" sqref="D6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35" t="s">
        <v>25583</v>
      </c>
      <c r="B1" s="14">
        <v>1</v>
      </c>
    </row>
    <row r="2" spans="1:2" x14ac:dyDescent="0.25">
      <c r="A2" s="35" t="s">
        <v>25584</v>
      </c>
      <c r="B2" s="14">
        <v>1</v>
      </c>
    </row>
    <row r="3" spans="1:2" x14ac:dyDescent="0.25">
      <c r="A3" s="35" t="s">
        <v>47</v>
      </c>
      <c r="B3" s="14">
        <v>1</v>
      </c>
    </row>
    <row r="4" spans="1:2" x14ac:dyDescent="0.25">
      <c r="A4" s="35" t="s">
        <v>25585</v>
      </c>
      <c r="B4" s="14">
        <v>1</v>
      </c>
    </row>
    <row r="5" spans="1:2" x14ac:dyDescent="0.25">
      <c r="A5" s="35" t="s">
        <v>37726</v>
      </c>
      <c r="B5" s="14">
        <v>1</v>
      </c>
    </row>
    <row r="6" spans="1:2" x14ac:dyDescent="0.25">
      <c r="A6" s="35" t="s">
        <v>25586</v>
      </c>
      <c r="B6" s="14">
        <v>1</v>
      </c>
    </row>
    <row r="7" spans="1:2" x14ac:dyDescent="0.25">
      <c r="A7" s="35" t="s">
        <v>92</v>
      </c>
      <c r="B7" s="14">
        <v>1</v>
      </c>
    </row>
    <row r="8" spans="1:2" x14ac:dyDescent="0.25">
      <c r="A8" s="35" t="s">
        <v>25587</v>
      </c>
      <c r="B8" s="14">
        <v>1</v>
      </c>
    </row>
    <row r="9" spans="1:2" x14ac:dyDescent="0.25">
      <c r="A9" s="35" t="s">
        <v>25588</v>
      </c>
      <c r="B9" s="14">
        <v>1</v>
      </c>
    </row>
    <row r="10" spans="1:2" x14ac:dyDescent="0.25">
      <c r="A10" s="35" t="s">
        <v>25589</v>
      </c>
      <c r="B10" s="14">
        <v>1</v>
      </c>
    </row>
    <row r="11" spans="1:2" x14ac:dyDescent="0.25">
      <c r="A11" s="35" t="s">
        <v>25590</v>
      </c>
      <c r="B11" s="14">
        <v>1</v>
      </c>
    </row>
    <row r="12" spans="1:2" x14ac:dyDescent="0.25">
      <c r="A12" s="35" t="s">
        <v>25591</v>
      </c>
      <c r="B12" s="14">
        <v>1</v>
      </c>
    </row>
    <row r="13" spans="1:2" x14ac:dyDescent="0.25">
      <c r="A13" s="35" t="s">
        <v>39</v>
      </c>
      <c r="B13" s="14">
        <v>1</v>
      </c>
    </row>
    <row r="14" spans="1:2" x14ac:dyDescent="0.25">
      <c r="A14" s="35" t="s">
        <v>25592</v>
      </c>
      <c r="B14" s="14">
        <v>1</v>
      </c>
    </row>
    <row r="15" spans="1:2" x14ac:dyDescent="0.25">
      <c r="A15" s="35" t="s">
        <v>25593</v>
      </c>
      <c r="B15" s="14">
        <v>1</v>
      </c>
    </row>
    <row r="16" spans="1:2" x14ac:dyDescent="0.25">
      <c r="A16" s="35" t="s">
        <v>25594</v>
      </c>
      <c r="B16" s="14">
        <v>1</v>
      </c>
    </row>
    <row r="17" spans="1:2" x14ac:dyDescent="0.25">
      <c r="A17" s="35" t="s">
        <v>25595</v>
      </c>
      <c r="B17" s="14">
        <v>1</v>
      </c>
    </row>
    <row r="18" spans="1:2" x14ac:dyDescent="0.25">
      <c r="A18" s="35" t="s">
        <v>25596</v>
      </c>
      <c r="B18" s="14">
        <v>1</v>
      </c>
    </row>
    <row r="19" spans="1:2" x14ac:dyDescent="0.25">
      <c r="A19" s="35" t="s">
        <v>44</v>
      </c>
      <c r="B19" s="14">
        <v>1</v>
      </c>
    </row>
    <row r="20" spans="1:2" x14ac:dyDescent="0.25">
      <c r="A20" s="35" t="s">
        <v>32</v>
      </c>
      <c r="B20" s="14">
        <v>1</v>
      </c>
    </row>
    <row r="21" spans="1:2" x14ac:dyDescent="0.25">
      <c r="A21" s="35" t="s">
        <v>37</v>
      </c>
      <c r="B21" s="14">
        <v>1</v>
      </c>
    </row>
    <row r="22" spans="1:2" x14ac:dyDescent="0.25">
      <c r="A22" s="35" t="s">
        <v>25597</v>
      </c>
      <c r="B22" s="14">
        <v>1</v>
      </c>
    </row>
    <row r="23" spans="1:2" x14ac:dyDescent="0.25">
      <c r="A23" s="35" t="s">
        <v>25598</v>
      </c>
      <c r="B23" s="14">
        <v>1</v>
      </c>
    </row>
    <row r="24" spans="1:2" x14ac:dyDescent="0.25">
      <c r="A24" s="35" t="s">
        <v>25599</v>
      </c>
      <c r="B24" s="14">
        <v>1</v>
      </c>
    </row>
    <row r="25" spans="1:2" x14ac:dyDescent="0.25">
      <c r="A25" s="35" t="s">
        <v>25600</v>
      </c>
      <c r="B25" s="14">
        <v>1</v>
      </c>
    </row>
    <row r="26" spans="1:2" x14ac:dyDescent="0.25">
      <c r="A26" s="35" t="s">
        <v>25601</v>
      </c>
      <c r="B26" s="14">
        <v>1</v>
      </c>
    </row>
    <row r="27" spans="1:2" x14ac:dyDescent="0.25">
      <c r="A27" s="35" t="s">
        <v>217</v>
      </c>
      <c r="B27" s="14">
        <v>1</v>
      </c>
    </row>
    <row r="28" spans="1:2" x14ac:dyDescent="0.25">
      <c r="A28" s="35" t="s">
        <v>25602</v>
      </c>
      <c r="B28" s="14">
        <v>1</v>
      </c>
    </row>
    <row r="29" spans="1:2" x14ac:dyDescent="0.25">
      <c r="A29" s="35" t="s">
        <v>25603</v>
      </c>
      <c r="B29" s="14">
        <v>1</v>
      </c>
    </row>
    <row r="30" spans="1:2" x14ac:dyDescent="0.25">
      <c r="A30" s="35" t="s">
        <v>25604</v>
      </c>
      <c r="B30" s="14">
        <v>1</v>
      </c>
    </row>
    <row r="31" spans="1:2" x14ac:dyDescent="0.25">
      <c r="A31" s="35" t="s">
        <v>25605</v>
      </c>
      <c r="B31" s="14">
        <v>1</v>
      </c>
    </row>
    <row r="32" spans="1:2" x14ac:dyDescent="0.25">
      <c r="A32" s="35" t="s">
        <v>25606</v>
      </c>
      <c r="B32" s="14">
        <v>1</v>
      </c>
    </row>
    <row r="33" spans="1:2" x14ac:dyDescent="0.25">
      <c r="A33" s="35" t="s">
        <v>25607</v>
      </c>
      <c r="B33" s="14">
        <v>1</v>
      </c>
    </row>
    <row r="34" spans="1:2" x14ac:dyDescent="0.25">
      <c r="A34" s="35" t="s">
        <v>25608</v>
      </c>
      <c r="B34" s="14">
        <v>1</v>
      </c>
    </row>
    <row r="35" spans="1:2" x14ac:dyDescent="0.25">
      <c r="A35" s="35" t="s">
        <v>25609</v>
      </c>
      <c r="B35" s="14">
        <v>1</v>
      </c>
    </row>
    <row r="36" spans="1:2" x14ac:dyDescent="0.25">
      <c r="A36" s="35" t="s">
        <v>25610</v>
      </c>
      <c r="B36" s="14">
        <v>1</v>
      </c>
    </row>
    <row r="37" spans="1:2" x14ac:dyDescent="0.25">
      <c r="A37" s="35" t="s">
        <v>25611</v>
      </c>
      <c r="B37" s="14">
        <v>1</v>
      </c>
    </row>
    <row r="38" spans="1:2" x14ac:dyDescent="0.25">
      <c r="A38" s="35" t="s">
        <v>230</v>
      </c>
      <c r="B38" s="14">
        <v>1</v>
      </c>
    </row>
    <row r="39" spans="1:2" x14ac:dyDescent="0.25">
      <c r="A39" s="35" t="s">
        <v>25612</v>
      </c>
      <c r="B39" s="14">
        <v>1</v>
      </c>
    </row>
    <row r="40" spans="1:2" x14ac:dyDescent="0.25">
      <c r="A40" s="35" t="s">
        <v>25613</v>
      </c>
      <c r="B40" s="14">
        <v>1</v>
      </c>
    </row>
    <row r="41" spans="1:2" x14ac:dyDescent="0.25">
      <c r="A41" s="35" t="s">
        <v>25614</v>
      </c>
      <c r="B41" s="14">
        <v>1</v>
      </c>
    </row>
    <row r="42" spans="1:2" x14ac:dyDescent="0.25">
      <c r="A42" s="35" t="s">
        <v>25615</v>
      </c>
      <c r="B42" s="14">
        <v>1</v>
      </c>
    </row>
    <row r="43" spans="1:2" x14ac:dyDescent="0.25">
      <c r="A43" s="35" t="s">
        <v>25616</v>
      </c>
      <c r="B43" s="14">
        <v>1</v>
      </c>
    </row>
    <row r="44" spans="1:2" x14ac:dyDescent="0.25">
      <c r="A44" s="35" t="s">
        <v>57</v>
      </c>
      <c r="B44" s="14">
        <v>1</v>
      </c>
    </row>
    <row r="45" spans="1:2" x14ac:dyDescent="0.25">
      <c r="A45" s="35" t="s">
        <v>25617</v>
      </c>
      <c r="B45" s="14">
        <v>1</v>
      </c>
    </row>
    <row r="46" spans="1:2" x14ac:dyDescent="0.25">
      <c r="A46" s="35" t="s">
        <v>25618</v>
      </c>
      <c r="B46" s="14">
        <v>1</v>
      </c>
    </row>
    <row r="47" spans="1:2" x14ac:dyDescent="0.25">
      <c r="A47" s="35" t="s">
        <v>25619</v>
      </c>
      <c r="B47" s="14">
        <v>1</v>
      </c>
    </row>
    <row r="48" spans="1:2" x14ac:dyDescent="0.25">
      <c r="A48" s="35" t="s">
        <v>30</v>
      </c>
      <c r="B48" s="14">
        <v>1</v>
      </c>
    </row>
    <row r="49" spans="1:2" x14ac:dyDescent="0.25">
      <c r="A49" s="35" t="s">
        <v>25620</v>
      </c>
      <c r="B49" s="14">
        <v>1</v>
      </c>
    </row>
    <row r="50" spans="1:2" x14ac:dyDescent="0.25">
      <c r="A50" s="35" t="s">
        <v>17</v>
      </c>
      <c r="B50" s="14">
        <v>1</v>
      </c>
    </row>
    <row r="51" spans="1:2" x14ac:dyDescent="0.25">
      <c r="A51" s="35" t="s">
        <v>25621</v>
      </c>
      <c r="B51" s="14">
        <v>1</v>
      </c>
    </row>
    <row r="52" spans="1:2" x14ac:dyDescent="0.25">
      <c r="A52" s="35" t="s">
        <v>9</v>
      </c>
      <c r="B52" s="14">
        <v>1</v>
      </c>
    </row>
    <row r="53" spans="1:2" x14ac:dyDescent="0.25">
      <c r="A53" s="35" t="s">
        <v>21</v>
      </c>
      <c r="B53" s="14">
        <v>1</v>
      </c>
    </row>
    <row r="54" spans="1:2" x14ac:dyDescent="0.25">
      <c r="A54" s="35" t="s">
        <v>14</v>
      </c>
      <c r="B54" s="14">
        <v>1</v>
      </c>
    </row>
    <row r="55" spans="1:2" x14ac:dyDescent="0.25">
      <c r="A55" s="35" t="s">
        <v>25622</v>
      </c>
      <c r="B55" s="14">
        <v>1</v>
      </c>
    </row>
    <row r="56" spans="1:2" x14ac:dyDescent="0.25">
      <c r="A56" s="35" t="s">
        <v>25623</v>
      </c>
      <c r="B56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36">
        <v>3012</v>
      </c>
      <c r="B1" s="37" t="s">
        <v>30024</v>
      </c>
      <c r="C1" s="36">
        <v>1</v>
      </c>
    </row>
    <row r="2" spans="1:3" x14ac:dyDescent="0.25">
      <c r="A2" s="36">
        <v>3018</v>
      </c>
      <c r="B2" s="37" t="s">
        <v>30025</v>
      </c>
      <c r="C2" s="36">
        <v>1</v>
      </c>
    </row>
    <row r="3" spans="1:3" x14ac:dyDescent="0.25">
      <c r="A3" s="36">
        <v>3081</v>
      </c>
      <c r="B3" s="37" t="s">
        <v>30026</v>
      </c>
      <c r="C3" s="36">
        <v>1</v>
      </c>
    </row>
    <row r="4" spans="1:3" x14ac:dyDescent="0.25">
      <c r="A4" s="36">
        <v>3172</v>
      </c>
      <c r="B4" s="37" t="s">
        <v>30027</v>
      </c>
      <c r="C4" s="3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38" t="s">
        <v>30028</v>
      </c>
      <c r="B1" s="14">
        <v>1</v>
      </c>
    </row>
    <row r="2" spans="1:2" x14ac:dyDescent="0.25">
      <c r="A2" s="38" t="s">
        <v>30029</v>
      </c>
      <c r="B2" s="14">
        <v>1</v>
      </c>
    </row>
    <row r="3" spans="1:2" x14ac:dyDescent="0.25">
      <c r="A3" s="38" t="s">
        <v>30030</v>
      </c>
      <c r="B3" s="14">
        <v>1</v>
      </c>
    </row>
    <row r="4" spans="1:2" x14ac:dyDescent="0.25">
      <c r="A4" s="38" t="s">
        <v>30031</v>
      </c>
      <c r="B4" s="14">
        <v>1</v>
      </c>
    </row>
    <row r="5" spans="1:2" x14ac:dyDescent="0.25">
      <c r="A5" s="38" t="s">
        <v>30032</v>
      </c>
      <c r="B5" s="14">
        <v>1</v>
      </c>
    </row>
    <row r="6" spans="1:2" x14ac:dyDescent="0.25">
      <c r="A6" s="38" t="s">
        <v>94</v>
      </c>
      <c r="B6" s="14">
        <v>1</v>
      </c>
    </row>
    <row r="7" spans="1:2" x14ac:dyDescent="0.25">
      <c r="A7" s="38" t="s">
        <v>30033</v>
      </c>
      <c r="B7" s="14">
        <v>1</v>
      </c>
    </row>
    <row r="8" spans="1:2" x14ac:dyDescent="0.25">
      <c r="A8" s="38" t="s">
        <v>30034</v>
      </c>
      <c r="B8" s="14">
        <v>1</v>
      </c>
    </row>
    <row r="9" spans="1:2" x14ac:dyDescent="0.25">
      <c r="A9" s="38" t="s">
        <v>30035</v>
      </c>
      <c r="B9" s="14">
        <v>1</v>
      </c>
    </row>
    <row r="10" spans="1:2" x14ac:dyDescent="0.25">
      <c r="A10" s="38" t="s">
        <v>30036</v>
      </c>
      <c r="B10" s="14">
        <v>1</v>
      </c>
    </row>
    <row r="11" spans="1:2" x14ac:dyDescent="0.25">
      <c r="A11" s="38" t="s">
        <v>30037</v>
      </c>
      <c r="B11" s="14">
        <v>1</v>
      </c>
    </row>
    <row r="12" spans="1:2" x14ac:dyDescent="0.25">
      <c r="A12" s="38" t="s">
        <v>30038</v>
      </c>
      <c r="B12" s="14">
        <v>1</v>
      </c>
    </row>
    <row r="13" spans="1:2" x14ac:dyDescent="0.25">
      <c r="A13" s="38" t="s">
        <v>30039</v>
      </c>
      <c r="B13" s="14">
        <v>1</v>
      </c>
    </row>
    <row r="14" spans="1:2" x14ac:dyDescent="0.25">
      <c r="A14" s="38" t="s">
        <v>30040</v>
      </c>
      <c r="B14" s="14">
        <v>1</v>
      </c>
    </row>
    <row r="15" spans="1:2" x14ac:dyDescent="0.25">
      <c r="A15" s="38" t="s">
        <v>30041</v>
      </c>
      <c r="B15" s="14">
        <v>1</v>
      </c>
    </row>
    <row r="16" spans="1:2" x14ac:dyDescent="0.25">
      <c r="A16" s="38" t="s">
        <v>30042</v>
      </c>
      <c r="B16" s="14">
        <v>1</v>
      </c>
    </row>
    <row r="17" spans="1:2" x14ac:dyDescent="0.25">
      <c r="A17" s="38" t="s">
        <v>30043</v>
      </c>
      <c r="B17" s="14">
        <v>1</v>
      </c>
    </row>
    <row r="18" spans="1:2" x14ac:dyDescent="0.25">
      <c r="A18" s="38" t="s">
        <v>30044</v>
      </c>
      <c r="B18" s="14">
        <v>1</v>
      </c>
    </row>
    <row r="19" spans="1:2" x14ac:dyDescent="0.25">
      <c r="A19" s="38" t="s">
        <v>30045</v>
      </c>
      <c r="B19" s="14">
        <v>1</v>
      </c>
    </row>
    <row r="20" spans="1:2" x14ac:dyDescent="0.25">
      <c r="A20" s="38" t="s">
        <v>30046</v>
      </c>
      <c r="B20" s="14">
        <v>1</v>
      </c>
    </row>
    <row r="21" spans="1:2" x14ac:dyDescent="0.25">
      <c r="A21" s="38" t="s">
        <v>30047</v>
      </c>
      <c r="B21" s="14">
        <v>1</v>
      </c>
    </row>
    <row r="22" spans="1:2" x14ac:dyDescent="0.25">
      <c r="A22" s="38" t="s">
        <v>30048</v>
      </c>
      <c r="B22" s="14">
        <v>1</v>
      </c>
    </row>
    <row r="23" spans="1:2" x14ac:dyDescent="0.25">
      <c r="A23" s="38" t="s">
        <v>30049</v>
      </c>
      <c r="B23" s="14">
        <v>1</v>
      </c>
    </row>
    <row r="24" spans="1:2" x14ac:dyDescent="0.25">
      <c r="A24" s="38" t="s">
        <v>30050</v>
      </c>
      <c r="B24" s="14">
        <v>1</v>
      </c>
    </row>
    <row r="25" spans="1:2" x14ac:dyDescent="0.25">
      <c r="A25" s="38" t="s">
        <v>30051</v>
      </c>
      <c r="B25" s="14">
        <v>1</v>
      </c>
    </row>
    <row r="26" spans="1:2" x14ac:dyDescent="0.25">
      <c r="A26" s="38" t="s">
        <v>30052</v>
      </c>
      <c r="B26" s="14">
        <v>1</v>
      </c>
    </row>
    <row r="27" spans="1:2" x14ac:dyDescent="0.25">
      <c r="A27" s="38" t="s">
        <v>30053</v>
      </c>
      <c r="B27" s="14">
        <v>1</v>
      </c>
    </row>
    <row r="28" spans="1:2" x14ac:dyDescent="0.25">
      <c r="A28" s="38" t="s">
        <v>30054</v>
      </c>
      <c r="B28" s="14">
        <v>1</v>
      </c>
    </row>
    <row r="29" spans="1:2" x14ac:dyDescent="0.25">
      <c r="A29" s="38" t="s">
        <v>30055</v>
      </c>
      <c r="B29" s="14">
        <v>1</v>
      </c>
    </row>
    <row r="30" spans="1:2" x14ac:dyDescent="0.25">
      <c r="A30" s="38" t="s">
        <v>30056</v>
      </c>
      <c r="B30" s="14">
        <v>1</v>
      </c>
    </row>
    <row r="31" spans="1:2" x14ac:dyDescent="0.25">
      <c r="A31" s="38" t="s">
        <v>30057</v>
      </c>
      <c r="B31" s="14">
        <v>1</v>
      </c>
    </row>
    <row r="32" spans="1:2" x14ac:dyDescent="0.25">
      <c r="A32" s="38" t="s">
        <v>30058</v>
      </c>
      <c r="B32" s="14">
        <v>1</v>
      </c>
    </row>
    <row r="33" spans="1:2" x14ac:dyDescent="0.25">
      <c r="A33" s="38" t="s">
        <v>30059</v>
      </c>
      <c r="B33" s="14">
        <v>1</v>
      </c>
    </row>
    <row r="34" spans="1:2" x14ac:dyDescent="0.25">
      <c r="A34" s="38" t="s">
        <v>30060</v>
      </c>
      <c r="B34" s="14">
        <v>1</v>
      </c>
    </row>
    <row r="35" spans="1:2" x14ac:dyDescent="0.25">
      <c r="A35" s="38" t="s">
        <v>30061</v>
      </c>
      <c r="B35" s="14">
        <v>1</v>
      </c>
    </row>
    <row r="36" spans="1:2" x14ac:dyDescent="0.25">
      <c r="A36" s="38" t="s">
        <v>30062</v>
      </c>
      <c r="B36" s="14">
        <v>1</v>
      </c>
    </row>
    <row r="37" spans="1:2" x14ac:dyDescent="0.25">
      <c r="A37" s="38" t="s">
        <v>185</v>
      </c>
      <c r="B37" s="14">
        <v>1</v>
      </c>
    </row>
    <row r="38" spans="1:2" x14ac:dyDescent="0.25">
      <c r="A38" s="38" t="s">
        <v>30063</v>
      </c>
      <c r="B38" s="14">
        <v>1</v>
      </c>
    </row>
    <row r="39" spans="1:2" x14ac:dyDescent="0.25">
      <c r="A39" s="38" t="s">
        <v>30064</v>
      </c>
      <c r="B39" s="14">
        <v>1</v>
      </c>
    </row>
    <row r="40" spans="1:2" x14ac:dyDescent="0.25">
      <c r="A40" s="38" t="s">
        <v>30065</v>
      </c>
      <c r="B40" s="14">
        <v>1</v>
      </c>
    </row>
    <row r="41" spans="1:2" x14ac:dyDescent="0.25">
      <c r="A41" s="38" t="s">
        <v>30066</v>
      </c>
      <c r="B41" s="14">
        <v>1</v>
      </c>
    </row>
    <row r="42" spans="1:2" x14ac:dyDescent="0.25">
      <c r="A42" s="38" t="s">
        <v>30067</v>
      </c>
      <c r="B42" s="14">
        <v>1</v>
      </c>
    </row>
    <row r="43" spans="1:2" x14ac:dyDescent="0.25">
      <c r="A43" s="38" t="s">
        <v>30068</v>
      </c>
      <c r="B43" s="14">
        <v>1</v>
      </c>
    </row>
    <row r="44" spans="1:2" x14ac:dyDescent="0.25">
      <c r="A44" s="38" t="s">
        <v>30069</v>
      </c>
      <c r="B44" s="14">
        <v>1</v>
      </c>
    </row>
    <row r="45" spans="1:2" x14ac:dyDescent="0.25">
      <c r="A45" s="38" t="s">
        <v>30070</v>
      </c>
      <c r="B45" s="14">
        <v>1</v>
      </c>
    </row>
    <row r="46" spans="1:2" x14ac:dyDescent="0.25">
      <c r="A46" s="38" t="s">
        <v>30071</v>
      </c>
      <c r="B46" s="14">
        <v>1</v>
      </c>
    </row>
    <row r="47" spans="1:2" x14ac:dyDescent="0.25">
      <c r="A47" s="38" t="s">
        <v>30072</v>
      </c>
      <c r="B47" s="14">
        <v>1</v>
      </c>
    </row>
    <row r="48" spans="1:2" x14ac:dyDescent="0.25">
      <c r="A48" s="38" t="s">
        <v>30073</v>
      </c>
      <c r="B48" s="14">
        <v>1</v>
      </c>
    </row>
    <row r="49" spans="1:2" x14ac:dyDescent="0.25">
      <c r="A49" s="38" t="s">
        <v>30074</v>
      </c>
      <c r="B49" s="14">
        <v>1</v>
      </c>
    </row>
    <row r="50" spans="1:2" x14ac:dyDescent="0.25">
      <c r="A50" s="38" t="s">
        <v>30075</v>
      </c>
      <c r="B50" s="14">
        <v>1</v>
      </c>
    </row>
    <row r="51" spans="1:2" x14ac:dyDescent="0.25">
      <c r="A51" s="38" t="s">
        <v>30076</v>
      </c>
      <c r="B51" s="14">
        <v>1</v>
      </c>
    </row>
    <row r="52" spans="1:2" x14ac:dyDescent="0.25">
      <c r="A52" s="38" t="s">
        <v>30077</v>
      </c>
      <c r="B52" s="14">
        <v>1</v>
      </c>
    </row>
    <row r="53" spans="1:2" x14ac:dyDescent="0.25">
      <c r="A53" s="38" t="s">
        <v>30078</v>
      </c>
      <c r="B53" s="14">
        <v>1</v>
      </c>
    </row>
    <row r="54" spans="1:2" x14ac:dyDescent="0.25">
      <c r="A54" s="38" t="s">
        <v>30079</v>
      </c>
      <c r="B54" s="14">
        <v>1</v>
      </c>
    </row>
    <row r="55" spans="1:2" x14ac:dyDescent="0.25">
      <c r="A55" s="38" t="s">
        <v>30080</v>
      </c>
      <c r="B55" s="14">
        <v>1</v>
      </c>
    </row>
    <row r="56" spans="1:2" x14ac:dyDescent="0.25">
      <c r="A56" s="38" t="s">
        <v>30081</v>
      </c>
      <c r="B56" s="14">
        <v>1</v>
      </c>
    </row>
    <row r="57" spans="1:2" x14ac:dyDescent="0.25">
      <c r="A57" s="38" t="s">
        <v>30082</v>
      </c>
      <c r="B57" s="14">
        <v>1</v>
      </c>
    </row>
    <row r="58" spans="1:2" x14ac:dyDescent="0.25">
      <c r="A58" s="38" t="s">
        <v>30083</v>
      </c>
      <c r="B58" s="14">
        <v>1</v>
      </c>
    </row>
    <row r="59" spans="1:2" x14ac:dyDescent="0.25">
      <c r="A59" s="38" t="s">
        <v>30084</v>
      </c>
      <c r="B59" s="14">
        <v>1</v>
      </c>
    </row>
    <row r="60" spans="1:2" x14ac:dyDescent="0.25">
      <c r="A60" s="38" t="s">
        <v>30085</v>
      </c>
      <c r="B60" s="14">
        <v>1</v>
      </c>
    </row>
    <row r="61" spans="1:2" x14ac:dyDescent="0.25">
      <c r="A61" s="38" t="s">
        <v>30086</v>
      </c>
      <c r="B61" s="14">
        <v>1</v>
      </c>
    </row>
    <row r="62" spans="1:2" x14ac:dyDescent="0.25">
      <c r="A62" s="38" t="s">
        <v>30087</v>
      </c>
      <c r="B62" s="14">
        <v>1</v>
      </c>
    </row>
    <row r="63" spans="1:2" x14ac:dyDescent="0.25">
      <c r="A63" s="38" t="s">
        <v>30088</v>
      </c>
      <c r="B63" s="14">
        <v>1</v>
      </c>
    </row>
    <row r="64" spans="1:2" x14ac:dyDescent="0.25">
      <c r="A64" s="38" t="s">
        <v>30089</v>
      </c>
      <c r="B64" s="14">
        <v>1</v>
      </c>
    </row>
    <row r="65" spans="1:2" x14ac:dyDescent="0.25">
      <c r="A65" s="38" t="s">
        <v>30090</v>
      </c>
      <c r="B65" s="14">
        <v>1</v>
      </c>
    </row>
    <row r="66" spans="1:2" x14ac:dyDescent="0.25">
      <c r="A66" s="38" t="s">
        <v>30091</v>
      </c>
      <c r="B66" s="14">
        <v>1</v>
      </c>
    </row>
    <row r="67" spans="1:2" x14ac:dyDescent="0.25">
      <c r="A67" s="38" t="s">
        <v>30092</v>
      </c>
      <c r="B67" s="14">
        <v>1</v>
      </c>
    </row>
    <row r="68" spans="1:2" x14ac:dyDescent="0.25">
      <c r="A68" s="38" t="s">
        <v>30093</v>
      </c>
      <c r="B68" s="14">
        <v>1</v>
      </c>
    </row>
    <row r="69" spans="1:2" x14ac:dyDescent="0.25">
      <c r="A69" s="38" t="s">
        <v>30094</v>
      </c>
      <c r="B69" s="14">
        <v>1</v>
      </c>
    </row>
    <row r="70" spans="1:2" x14ac:dyDescent="0.25">
      <c r="A70" s="38" t="s">
        <v>30095</v>
      </c>
      <c r="B70" s="14">
        <v>1</v>
      </c>
    </row>
    <row r="71" spans="1:2" x14ac:dyDescent="0.25">
      <c r="A71" s="38" t="s">
        <v>30096</v>
      </c>
      <c r="B71" s="14">
        <v>1</v>
      </c>
    </row>
    <row r="72" spans="1:2" x14ac:dyDescent="0.25">
      <c r="A72" s="38" t="s">
        <v>30097</v>
      </c>
      <c r="B72" s="14">
        <v>1</v>
      </c>
    </row>
    <row r="73" spans="1:2" x14ac:dyDescent="0.25">
      <c r="A73" s="38" t="s">
        <v>10</v>
      </c>
      <c r="B73" s="14">
        <v>1</v>
      </c>
    </row>
    <row r="74" spans="1:2" x14ac:dyDescent="0.25">
      <c r="A74" s="38" t="s">
        <v>30098</v>
      </c>
      <c r="B74" s="14">
        <v>1</v>
      </c>
    </row>
    <row r="75" spans="1:2" x14ac:dyDescent="0.25">
      <c r="A75" s="38" t="s">
        <v>30099</v>
      </c>
      <c r="B75" s="14">
        <v>1</v>
      </c>
    </row>
    <row r="76" spans="1:2" x14ac:dyDescent="0.25">
      <c r="A76" s="38" t="s">
        <v>30100</v>
      </c>
      <c r="B76" s="14">
        <v>1</v>
      </c>
    </row>
    <row r="77" spans="1:2" x14ac:dyDescent="0.25">
      <c r="A77" s="38" t="s">
        <v>30101</v>
      </c>
      <c r="B77" s="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39" t="s">
        <v>30102</v>
      </c>
      <c r="B1" s="14">
        <v>1</v>
      </c>
    </row>
    <row r="2" spans="1:2" x14ac:dyDescent="0.25">
      <c r="A2" s="39" t="s">
        <v>30103</v>
      </c>
      <c r="B2" s="14">
        <v>1</v>
      </c>
    </row>
    <row r="3" spans="1:2" x14ac:dyDescent="0.25">
      <c r="A3" s="39" t="s">
        <v>30104</v>
      </c>
      <c r="B3" s="14">
        <v>1</v>
      </c>
    </row>
    <row r="4" spans="1:2" x14ac:dyDescent="0.25">
      <c r="A4" s="39" t="s">
        <v>30105</v>
      </c>
      <c r="B4" s="14">
        <v>1</v>
      </c>
    </row>
    <row r="5" spans="1:2" x14ac:dyDescent="0.25">
      <c r="A5" s="39" t="s">
        <v>30106</v>
      </c>
      <c r="B5" s="14">
        <v>1</v>
      </c>
    </row>
    <row r="6" spans="1:2" x14ac:dyDescent="0.25">
      <c r="A6" s="39" t="s">
        <v>30107</v>
      </c>
      <c r="B6" s="14">
        <v>1</v>
      </c>
    </row>
    <row r="7" spans="1:2" x14ac:dyDescent="0.25">
      <c r="A7" s="39" t="s">
        <v>30108</v>
      </c>
      <c r="B7" s="14">
        <v>1</v>
      </c>
    </row>
    <row r="8" spans="1:2" x14ac:dyDescent="0.25">
      <c r="A8" s="39" t="s">
        <v>30109</v>
      </c>
      <c r="B8" s="14">
        <v>1</v>
      </c>
    </row>
    <row r="9" spans="1:2" x14ac:dyDescent="0.25">
      <c r="A9" s="39" t="s">
        <v>30110</v>
      </c>
      <c r="B9" s="14">
        <v>1</v>
      </c>
    </row>
    <row r="10" spans="1:2" x14ac:dyDescent="0.25">
      <c r="A10" s="39" t="s">
        <v>30111</v>
      </c>
      <c r="B10" s="14">
        <v>1</v>
      </c>
    </row>
    <row r="11" spans="1:2" x14ac:dyDescent="0.25">
      <c r="A11" s="39" t="s">
        <v>30112</v>
      </c>
      <c r="B11" s="14">
        <v>1</v>
      </c>
    </row>
    <row r="12" spans="1:2" x14ac:dyDescent="0.25">
      <c r="A12" s="39" t="s">
        <v>282</v>
      </c>
      <c r="B12" s="14">
        <v>1</v>
      </c>
    </row>
    <row r="13" spans="1:2" x14ac:dyDescent="0.25">
      <c r="A13" s="39" t="s">
        <v>30113</v>
      </c>
      <c r="B13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0" t="s">
        <v>85</v>
      </c>
      <c r="B1" s="40" t="s">
        <v>25342</v>
      </c>
    </row>
    <row r="2" spans="1:2" x14ac:dyDescent="0.25">
      <c r="A2" s="41" t="s">
        <v>30114</v>
      </c>
      <c r="B2" s="42">
        <v>1</v>
      </c>
    </row>
    <row r="3" spans="1:2" x14ac:dyDescent="0.25">
      <c r="A3" s="41" t="s">
        <v>30115</v>
      </c>
      <c r="B3" s="42">
        <v>1</v>
      </c>
    </row>
    <row r="4" spans="1:2" x14ac:dyDescent="0.25">
      <c r="A4" s="41" t="s">
        <v>30116</v>
      </c>
      <c r="B4" s="42">
        <v>1</v>
      </c>
    </row>
    <row r="5" spans="1:2" x14ac:dyDescent="0.25">
      <c r="A5" s="41" t="s">
        <v>30117</v>
      </c>
      <c r="B5" s="42">
        <v>1</v>
      </c>
    </row>
    <row r="6" spans="1:2" x14ac:dyDescent="0.25">
      <c r="A6" s="41" t="s">
        <v>93</v>
      </c>
      <c r="B6" s="42">
        <v>1</v>
      </c>
    </row>
    <row r="7" spans="1:2" x14ac:dyDescent="0.25">
      <c r="A7" s="41" t="s">
        <v>30118</v>
      </c>
      <c r="B7" s="42">
        <v>1</v>
      </c>
    </row>
    <row r="8" spans="1:2" x14ac:dyDescent="0.25">
      <c r="A8" s="41" t="s">
        <v>30071</v>
      </c>
      <c r="B8" s="42">
        <v>1</v>
      </c>
    </row>
    <row r="9" spans="1:2" x14ac:dyDescent="0.25">
      <c r="A9" s="41" t="s">
        <v>30119</v>
      </c>
      <c r="B9" s="42">
        <v>1</v>
      </c>
    </row>
    <row r="10" spans="1:2" x14ac:dyDescent="0.25">
      <c r="A10" s="41" t="s">
        <v>30120</v>
      </c>
      <c r="B10" s="42">
        <v>1</v>
      </c>
    </row>
    <row r="11" spans="1:2" x14ac:dyDescent="0.25">
      <c r="A11" s="41" t="s">
        <v>30121</v>
      </c>
      <c r="B11" s="42">
        <v>1</v>
      </c>
    </row>
    <row r="12" spans="1:2" x14ac:dyDescent="0.25">
      <c r="A12" s="41" t="s">
        <v>30122</v>
      </c>
      <c r="B12" s="42">
        <v>1</v>
      </c>
    </row>
    <row r="13" spans="1:2" x14ac:dyDescent="0.25">
      <c r="A13" s="41" t="s">
        <v>90</v>
      </c>
      <c r="B13" s="42">
        <v>1</v>
      </c>
    </row>
    <row r="14" spans="1:2" x14ac:dyDescent="0.25">
      <c r="A14" s="41" t="s">
        <v>30073</v>
      </c>
      <c r="B14" s="42">
        <v>1</v>
      </c>
    </row>
    <row r="15" spans="1:2" x14ac:dyDescent="0.25">
      <c r="A15" s="41" t="s">
        <v>30123</v>
      </c>
      <c r="B15" s="42">
        <v>1</v>
      </c>
    </row>
    <row r="16" spans="1:2" x14ac:dyDescent="0.25">
      <c r="A16" s="41" t="s">
        <v>30124</v>
      </c>
      <c r="B16" s="42">
        <v>1</v>
      </c>
    </row>
    <row r="17" spans="1:2" x14ac:dyDescent="0.25">
      <c r="A17" s="41" t="s">
        <v>30125</v>
      </c>
      <c r="B17" s="42">
        <v>1</v>
      </c>
    </row>
    <row r="18" spans="1:2" x14ac:dyDescent="0.25">
      <c r="A18" s="43" t="s">
        <v>30126</v>
      </c>
      <c r="B18" s="42">
        <v>1</v>
      </c>
    </row>
    <row r="19" spans="1:2" x14ac:dyDescent="0.25">
      <c r="A19" s="43" t="s">
        <v>30127</v>
      </c>
      <c r="B19" s="42">
        <v>1</v>
      </c>
    </row>
    <row r="20" spans="1:2" x14ac:dyDescent="0.25">
      <c r="A20" s="43" t="s">
        <v>30128</v>
      </c>
      <c r="B20" s="42">
        <v>1</v>
      </c>
    </row>
    <row r="21" spans="1:2" x14ac:dyDescent="0.25">
      <c r="A21" s="43" t="s">
        <v>30129</v>
      </c>
      <c r="B21" s="42">
        <v>1</v>
      </c>
    </row>
    <row r="22" spans="1:2" x14ac:dyDescent="0.25">
      <c r="A22" s="43" t="s">
        <v>30130</v>
      </c>
      <c r="B22" s="42">
        <v>1</v>
      </c>
    </row>
    <row r="23" spans="1:2" x14ac:dyDescent="0.25">
      <c r="A23" s="43" t="s">
        <v>30131</v>
      </c>
      <c r="B23" s="4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44" t="s">
        <v>30132</v>
      </c>
      <c r="B1" s="14">
        <v>1</v>
      </c>
    </row>
    <row r="2" spans="1:2" x14ac:dyDescent="0.25">
      <c r="A2" s="44" t="s">
        <v>231</v>
      </c>
      <c r="B2" s="14">
        <v>1</v>
      </c>
    </row>
    <row r="3" spans="1:2" x14ac:dyDescent="0.25">
      <c r="A3" s="44" t="s">
        <v>30133</v>
      </c>
      <c r="B3" s="14">
        <v>1</v>
      </c>
    </row>
    <row r="4" spans="1:2" x14ac:dyDescent="0.25">
      <c r="A4" s="44" t="s">
        <v>30134</v>
      </c>
      <c r="B4" s="14">
        <v>1</v>
      </c>
    </row>
    <row r="5" spans="1:2" x14ac:dyDescent="0.25">
      <c r="A5" s="44" t="s">
        <v>30135</v>
      </c>
      <c r="B5" s="14">
        <v>1</v>
      </c>
    </row>
    <row r="6" spans="1:2" x14ac:dyDescent="0.25">
      <c r="A6" s="44" t="s">
        <v>30136</v>
      </c>
      <c r="B6" s="14">
        <v>1</v>
      </c>
    </row>
    <row r="7" spans="1:2" x14ac:dyDescent="0.25">
      <c r="A7" s="44" t="s">
        <v>30137</v>
      </c>
      <c r="B7" s="14">
        <v>1</v>
      </c>
    </row>
    <row r="8" spans="1:2" x14ac:dyDescent="0.25">
      <c r="A8" s="44" t="s">
        <v>25</v>
      </c>
      <c r="B8" s="14">
        <v>1</v>
      </c>
    </row>
    <row r="9" spans="1:2" x14ac:dyDescent="0.25">
      <c r="A9" s="44" t="s">
        <v>30138</v>
      </c>
      <c r="B9" s="14">
        <v>1</v>
      </c>
    </row>
    <row r="10" spans="1:2" x14ac:dyDescent="0.25">
      <c r="A10" s="44" t="s">
        <v>30139</v>
      </c>
      <c r="B10" s="14">
        <v>1</v>
      </c>
    </row>
    <row r="11" spans="1:2" x14ac:dyDescent="0.25">
      <c r="A11" s="44" t="s">
        <v>30140</v>
      </c>
      <c r="B11" s="14">
        <v>1</v>
      </c>
    </row>
    <row r="12" spans="1:2" x14ac:dyDescent="0.25">
      <c r="A12" s="44" t="s">
        <v>30141</v>
      </c>
      <c r="B12" s="14">
        <v>1</v>
      </c>
    </row>
    <row r="13" spans="1:2" x14ac:dyDescent="0.25">
      <c r="A13" s="44" t="s">
        <v>30142</v>
      </c>
      <c r="B13" s="14">
        <v>1</v>
      </c>
    </row>
    <row r="14" spans="1:2" x14ac:dyDescent="0.25">
      <c r="A14" s="44" t="s">
        <v>30143</v>
      </c>
      <c r="B14" s="14">
        <v>1</v>
      </c>
    </row>
    <row r="15" spans="1:2" x14ac:dyDescent="0.25">
      <c r="A15" s="44" t="s">
        <v>51</v>
      </c>
      <c r="B15" s="14">
        <v>1</v>
      </c>
    </row>
    <row r="16" spans="1:2" x14ac:dyDescent="0.25">
      <c r="A16" s="44" t="s">
        <v>30144</v>
      </c>
      <c r="B16" s="14">
        <v>1</v>
      </c>
    </row>
    <row r="17" spans="1:2" x14ac:dyDescent="0.25">
      <c r="A17" s="44" t="s">
        <v>30145</v>
      </c>
      <c r="B17" s="14">
        <v>1</v>
      </c>
    </row>
    <row r="18" spans="1:2" x14ac:dyDescent="0.25">
      <c r="A18" s="44" t="s">
        <v>30146</v>
      </c>
      <c r="B18" s="14">
        <v>1</v>
      </c>
    </row>
    <row r="19" spans="1:2" x14ac:dyDescent="0.25">
      <c r="A19" s="44" t="s">
        <v>30147</v>
      </c>
      <c r="B19" s="14">
        <v>1</v>
      </c>
    </row>
    <row r="20" spans="1:2" x14ac:dyDescent="0.25">
      <c r="A20" s="44" t="s">
        <v>30148</v>
      </c>
      <c r="B20" s="14">
        <v>1</v>
      </c>
    </row>
    <row r="21" spans="1:2" x14ac:dyDescent="0.25">
      <c r="A21" s="44" t="s">
        <v>48</v>
      </c>
      <c r="B21" s="14">
        <v>1</v>
      </c>
    </row>
    <row r="22" spans="1:2" x14ac:dyDescent="0.25">
      <c r="A22" s="44" t="s">
        <v>30149</v>
      </c>
      <c r="B22" s="14">
        <v>1</v>
      </c>
    </row>
    <row r="23" spans="1:2" x14ac:dyDescent="0.25">
      <c r="A23" s="44" t="s">
        <v>30150</v>
      </c>
      <c r="B23" s="14">
        <v>1</v>
      </c>
    </row>
    <row r="24" spans="1:2" x14ac:dyDescent="0.25">
      <c r="A24" s="44" t="s">
        <v>30151</v>
      </c>
      <c r="B24" s="14">
        <v>1</v>
      </c>
    </row>
    <row r="25" spans="1:2" x14ac:dyDescent="0.25">
      <c r="A25" s="44" t="s">
        <v>30152</v>
      </c>
      <c r="B25" s="14">
        <v>1</v>
      </c>
    </row>
    <row r="26" spans="1:2" x14ac:dyDescent="0.25">
      <c r="A26" s="44" t="s">
        <v>30153</v>
      </c>
      <c r="B26" s="14">
        <v>1</v>
      </c>
    </row>
    <row r="27" spans="1:2" x14ac:dyDescent="0.25">
      <c r="A27" s="44" t="s">
        <v>30154</v>
      </c>
      <c r="B27" s="14">
        <v>1</v>
      </c>
    </row>
    <row r="28" spans="1:2" x14ac:dyDescent="0.25">
      <c r="A28" s="44" t="s">
        <v>30155</v>
      </c>
      <c r="B28" s="14">
        <v>1</v>
      </c>
    </row>
    <row r="29" spans="1:2" x14ac:dyDescent="0.25">
      <c r="A29" s="44" t="s">
        <v>30156</v>
      </c>
      <c r="B29" s="14">
        <v>1</v>
      </c>
    </row>
    <row r="30" spans="1:2" x14ac:dyDescent="0.25">
      <c r="A30" s="44" t="s">
        <v>30157</v>
      </c>
      <c r="B30" s="14">
        <v>1</v>
      </c>
    </row>
    <row r="31" spans="1:2" x14ac:dyDescent="0.25">
      <c r="A31" s="44" t="s">
        <v>30158</v>
      </c>
      <c r="B31" s="14">
        <v>1</v>
      </c>
    </row>
    <row r="32" spans="1:2" x14ac:dyDescent="0.25">
      <c r="A32" s="44" t="s">
        <v>30159</v>
      </c>
      <c r="B32" s="14">
        <v>1</v>
      </c>
    </row>
    <row r="33" spans="1:2" x14ac:dyDescent="0.25">
      <c r="A33" s="44" t="s">
        <v>30160</v>
      </c>
      <c r="B33" s="14">
        <v>1</v>
      </c>
    </row>
    <row r="34" spans="1:2" x14ac:dyDescent="0.25">
      <c r="A34" s="44" t="s">
        <v>59</v>
      </c>
      <c r="B34" s="14">
        <v>1</v>
      </c>
    </row>
    <row r="35" spans="1:2" x14ac:dyDescent="0.25">
      <c r="A35" s="44" t="s">
        <v>30161</v>
      </c>
      <c r="B35" s="14">
        <v>1</v>
      </c>
    </row>
    <row r="36" spans="1:2" x14ac:dyDescent="0.25">
      <c r="A36" s="44" t="s">
        <v>24</v>
      </c>
      <c r="B36" s="14">
        <v>1</v>
      </c>
    </row>
    <row r="37" spans="1:2" x14ac:dyDescent="0.25">
      <c r="A37" s="44" t="s">
        <v>30162</v>
      </c>
      <c r="B37" s="14">
        <v>1</v>
      </c>
    </row>
    <row r="38" spans="1:2" x14ac:dyDescent="0.25">
      <c r="A38" s="44" t="s">
        <v>30163</v>
      </c>
      <c r="B38" s="14">
        <v>1</v>
      </c>
    </row>
    <row r="39" spans="1:2" x14ac:dyDescent="0.25">
      <c r="A39" s="44" t="s">
        <v>30164</v>
      </c>
      <c r="B39" s="14">
        <v>1</v>
      </c>
    </row>
    <row r="40" spans="1:2" x14ac:dyDescent="0.25">
      <c r="A40" s="44" t="s">
        <v>30165</v>
      </c>
      <c r="B40" s="14">
        <v>1</v>
      </c>
    </row>
    <row r="41" spans="1:2" x14ac:dyDescent="0.25">
      <c r="A41" s="44" t="s">
        <v>30166</v>
      </c>
      <c r="B41" s="14">
        <v>1</v>
      </c>
    </row>
    <row r="42" spans="1:2" x14ac:dyDescent="0.25">
      <c r="A42" s="44" t="s">
        <v>30167</v>
      </c>
      <c r="B42" s="14">
        <v>1</v>
      </c>
    </row>
    <row r="43" spans="1:2" x14ac:dyDescent="0.25">
      <c r="A43" s="44" t="s">
        <v>30168</v>
      </c>
      <c r="B43" s="14">
        <v>1</v>
      </c>
    </row>
    <row r="44" spans="1:2" x14ac:dyDescent="0.25">
      <c r="A44" s="44" t="s">
        <v>30169</v>
      </c>
      <c r="B44" s="14">
        <v>1</v>
      </c>
    </row>
    <row r="45" spans="1:2" x14ac:dyDescent="0.25">
      <c r="A45" s="44" t="s">
        <v>30170</v>
      </c>
      <c r="B45" s="14">
        <v>1</v>
      </c>
    </row>
    <row r="46" spans="1:2" x14ac:dyDescent="0.25">
      <c r="A46" s="44" t="s">
        <v>30171</v>
      </c>
      <c r="B46" s="14">
        <v>1</v>
      </c>
    </row>
    <row r="47" spans="1:2" x14ac:dyDescent="0.25">
      <c r="A47" s="44" t="s">
        <v>30172</v>
      </c>
      <c r="B47" s="14">
        <v>1</v>
      </c>
    </row>
    <row r="48" spans="1:2" x14ac:dyDescent="0.25">
      <c r="A48" s="44" t="s">
        <v>30173</v>
      </c>
      <c r="B48" s="14">
        <v>1</v>
      </c>
    </row>
    <row r="49" spans="1:2" x14ac:dyDescent="0.25">
      <c r="A49" s="44" t="s">
        <v>30174</v>
      </c>
      <c r="B49" s="14">
        <v>1</v>
      </c>
    </row>
    <row r="50" spans="1:2" x14ac:dyDescent="0.25">
      <c r="A50" s="44" t="s">
        <v>30175</v>
      </c>
      <c r="B50" s="14">
        <v>1</v>
      </c>
    </row>
    <row r="51" spans="1:2" x14ac:dyDescent="0.25">
      <c r="A51" s="44" t="s">
        <v>30176</v>
      </c>
      <c r="B51" s="14">
        <v>1</v>
      </c>
    </row>
    <row r="52" spans="1:2" x14ac:dyDescent="0.25">
      <c r="A52" s="44" t="s">
        <v>30177</v>
      </c>
      <c r="B52" s="14">
        <v>1</v>
      </c>
    </row>
    <row r="53" spans="1:2" x14ac:dyDescent="0.25">
      <c r="A53" s="44" t="s">
        <v>30178</v>
      </c>
      <c r="B53" s="14">
        <v>1</v>
      </c>
    </row>
    <row r="54" spans="1:2" x14ac:dyDescent="0.25">
      <c r="A54" s="44" t="s">
        <v>30179</v>
      </c>
      <c r="B54" s="14">
        <v>1</v>
      </c>
    </row>
    <row r="55" spans="1:2" x14ac:dyDescent="0.25">
      <c r="A55" s="44" t="s">
        <v>30180</v>
      </c>
      <c r="B55" s="14">
        <v>1</v>
      </c>
    </row>
    <row r="56" spans="1:2" x14ac:dyDescent="0.25">
      <c r="A56" s="44" t="s">
        <v>11</v>
      </c>
      <c r="B56" s="14">
        <v>1</v>
      </c>
    </row>
    <row r="57" spans="1:2" x14ac:dyDescent="0.25">
      <c r="A57" s="44" t="s">
        <v>30181</v>
      </c>
      <c r="B57" s="14">
        <v>1</v>
      </c>
    </row>
    <row r="58" spans="1:2" x14ac:dyDescent="0.25">
      <c r="A58" s="44" t="s">
        <v>0</v>
      </c>
      <c r="B58" s="14">
        <v>1</v>
      </c>
    </row>
    <row r="59" spans="1:2" x14ac:dyDescent="0.25">
      <c r="A59" s="44" t="s">
        <v>30182</v>
      </c>
      <c r="B59" s="14">
        <v>1</v>
      </c>
    </row>
    <row r="60" spans="1:2" x14ac:dyDescent="0.25">
      <c r="A60" s="44" t="s">
        <v>53</v>
      </c>
      <c r="B60" s="14">
        <v>1</v>
      </c>
    </row>
    <row r="61" spans="1:2" x14ac:dyDescent="0.25">
      <c r="A61" s="44" t="s">
        <v>30183</v>
      </c>
      <c r="B61" s="14">
        <v>1</v>
      </c>
    </row>
    <row r="62" spans="1:2" x14ac:dyDescent="0.25">
      <c r="A62" s="44" t="s">
        <v>30184</v>
      </c>
      <c r="B62" s="14">
        <v>1</v>
      </c>
    </row>
    <row r="63" spans="1:2" x14ac:dyDescent="0.25">
      <c r="A63" s="44" t="s">
        <v>30185</v>
      </c>
      <c r="B63" s="14">
        <v>1</v>
      </c>
    </row>
    <row r="64" spans="1:2" x14ac:dyDescent="0.25">
      <c r="A64" s="44" t="s">
        <v>30186</v>
      </c>
      <c r="B64" s="14">
        <v>1</v>
      </c>
    </row>
    <row r="65" spans="1:2" x14ac:dyDescent="0.25">
      <c r="A65" s="44" t="s">
        <v>30187</v>
      </c>
      <c r="B65" s="14">
        <v>1</v>
      </c>
    </row>
    <row r="66" spans="1:2" x14ac:dyDescent="0.25">
      <c r="A66" s="44" t="s">
        <v>30188</v>
      </c>
      <c r="B66" s="14">
        <v>1</v>
      </c>
    </row>
    <row r="67" spans="1:2" x14ac:dyDescent="0.25">
      <c r="A67" s="44" t="s">
        <v>30189</v>
      </c>
      <c r="B67" s="14">
        <v>1</v>
      </c>
    </row>
    <row r="68" spans="1:2" x14ac:dyDescent="0.25">
      <c r="A68" s="44" t="s">
        <v>30190</v>
      </c>
      <c r="B68" s="14">
        <v>1</v>
      </c>
    </row>
    <row r="69" spans="1:2" x14ac:dyDescent="0.25">
      <c r="A69" s="44" t="s">
        <v>30191</v>
      </c>
      <c r="B69" s="14">
        <v>1</v>
      </c>
    </row>
    <row r="70" spans="1:2" x14ac:dyDescent="0.25">
      <c r="A70" s="44" t="s">
        <v>30192</v>
      </c>
      <c r="B70" s="14">
        <v>1</v>
      </c>
    </row>
    <row r="71" spans="1:2" x14ac:dyDescent="0.25">
      <c r="A71" s="44" t="s">
        <v>30193</v>
      </c>
      <c r="B71" s="14">
        <v>1</v>
      </c>
    </row>
    <row r="72" spans="1:2" x14ac:dyDescent="0.25">
      <c r="A72" s="44" t="s">
        <v>30194</v>
      </c>
      <c r="B72" s="14">
        <v>1</v>
      </c>
    </row>
    <row r="73" spans="1:2" x14ac:dyDescent="0.25">
      <c r="A73" s="44" t="s">
        <v>30195</v>
      </c>
      <c r="B73" s="14">
        <v>1</v>
      </c>
    </row>
    <row r="74" spans="1:2" x14ac:dyDescent="0.25">
      <c r="A74" s="44" t="s">
        <v>30196</v>
      </c>
      <c r="B74" s="14">
        <v>1</v>
      </c>
    </row>
    <row r="75" spans="1:2" x14ac:dyDescent="0.25">
      <c r="A75" s="44" t="s">
        <v>30197</v>
      </c>
      <c r="B75" s="14">
        <v>1</v>
      </c>
    </row>
    <row r="76" spans="1:2" x14ac:dyDescent="0.25">
      <c r="A76" s="44" t="s">
        <v>30198</v>
      </c>
      <c r="B76" s="14">
        <v>1</v>
      </c>
    </row>
    <row r="77" spans="1:2" x14ac:dyDescent="0.25">
      <c r="A77" s="44" t="s">
        <v>30199</v>
      </c>
      <c r="B77" s="14">
        <v>1</v>
      </c>
    </row>
    <row r="78" spans="1:2" x14ac:dyDescent="0.25">
      <c r="A78" s="44" t="s">
        <v>30200</v>
      </c>
      <c r="B78" s="14">
        <v>1</v>
      </c>
    </row>
    <row r="79" spans="1:2" x14ac:dyDescent="0.25">
      <c r="A79" s="44" t="s">
        <v>30201</v>
      </c>
      <c r="B79" s="14">
        <v>1</v>
      </c>
    </row>
    <row r="80" spans="1:2" x14ac:dyDescent="0.25">
      <c r="A80" s="44" t="s">
        <v>30202</v>
      </c>
      <c r="B80" s="14">
        <v>1</v>
      </c>
    </row>
    <row r="81" spans="1:2" x14ac:dyDescent="0.25">
      <c r="A81" s="44" t="s">
        <v>30203</v>
      </c>
      <c r="B81" s="14">
        <v>1</v>
      </c>
    </row>
    <row r="82" spans="1:2" x14ac:dyDescent="0.25">
      <c r="A82" s="44" t="s">
        <v>30204</v>
      </c>
      <c r="B82" s="14">
        <v>1</v>
      </c>
    </row>
    <row r="83" spans="1:2" x14ac:dyDescent="0.25">
      <c r="A83" s="44" t="s">
        <v>30205</v>
      </c>
      <c r="B83" s="14">
        <v>1</v>
      </c>
    </row>
    <row r="84" spans="1:2" x14ac:dyDescent="0.25">
      <c r="A84" s="44" t="s">
        <v>30206</v>
      </c>
      <c r="B84" s="14">
        <v>1</v>
      </c>
    </row>
    <row r="85" spans="1:2" x14ac:dyDescent="0.25">
      <c r="A85" s="44" t="s">
        <v>30207</v>
      </c>
      <c r="B85" s="14">
        <v>1</v>
      </c>
    </row>
    <row r="86" spans="1:2" x14ac:dyDescent="0.25">
      <c r="A86" s="44" t="s">
        <v>30208</v>
      </c>
      <c r="B86" s="14">
        <v>1</v>
      </c>
    </row>
    <row r="87" spans="1:2" x14ac:dyDescent="0.25">
      <c r="A87" s="44" t="s">
        <v>30209</v>
      </c>
      <c r="B87" s="14">
        <v>1</v>
      </c>
    </row>
    <row r="88" spans="1:2" x14ac:dyDescent="0.25">
      <c r="A88" s="44" t="s">
        <v>30210</v>
      </c>
      <c r="B88" s="14">
        <v>1</v>
      </c>
    </row>
    <row r="89" spans="1:2" x14ac:dyDescent="0.25">
      <c r="A89" s="44" t="s">
        <v>30211</v>
      </c>
      <c r="B89" s="14">
        <v>1</v>
      </c>
    </row>
    <row r="90" spans="1:2" x14ac:dyDescent="0.25">
      <c r="A90" s="44" t="s">
        <v>30212</v>
      </c>
      <c r="B90" s="14">
        <v>1</v>
      </c>
    </row>
    <row r="91" spans="1:2" x14ac:dyDescent="0.25">
      <c r="A91" s="44" t="s">
        <v>30213</v>
      </c>
      <c r="B91" s="14">
        <v>1</v>
      </c>
    </row>
    <row r="92" spans="1:2" x14ac:dyDescent="0.25">
      <c r="A92" s="44" t="s">
        <v>30214</v>
      </c>
      <c r="B92" s="14">
        <v>1</v>
      </c>
    </row>
    <row r="93" spans="1:2" x14ac:dyDescent="0.25">
      <c r="A93" s="44" t="s">
        <v>30215</v>
      </c>
      <c r="B93" s="14">
        <v>1</v>
      </c>
    </row>
    <row r="94" spans="1:2" x14ac:dyDescent="0.25">
      <c r="A94" s="44" t="s">
        <v>30216</v>
      </c>
      <c r="B94" s="14">
        <v>1</v>
      </c>
    </row>
    <row r="95" spans="1:2" x14ac:dyDescent="0.25">
      <c r="A95" s="44" t="s">
        <v>30217</v>
      </c>
      <c r="B95" s="14">
        <v>1</v>
      </c>
    </row>
    <row r="96" spans="1:2" x14ac:dyDescent="0.25">
      <c r="A96" s="44" t="s">
        <v>30218</v>
      </c>
      <c r="B96" s="14">
        <v>1</v>
      </c>
    </row>
    <row r="97" spans="1:2" x14ac:dyDescent="0.25">
      <c r="A97" s="44" t="s">
        <v>30219</v>
      </c>
      <c r="B97" s="14">
        <v>1</v>
      </c>
    </row>
    <row r="98" spans="1:2" x14ac:dyDescent="0.25">
      <c r="A98" s="44" t="s">
        <v>30220</v>
      </c>
      <c r="B98" s="14">
        <v>1</v>
      </c>
    </row>
    <row r="99" spans="1:2" x14ac:dyDescent="0.25">
      <c r="A99" s="44" t="s">
        <v>30221</v>
      </c>
      <c r="B99" s="14">
        <v>1</v>
      </c>
    </row>
    <row r="100" spans="1:2" x14ac:dyDescent="0.25">
      <c r="A100" s="44" t="s">
        <v>30222</v>
      </c>
      <c r="B100" s="14">
        <v>1</v>
      </c>
    </row>
    <row r="101" spans="1:2" x14ac:dyDescent="0.25">
      <c r="A101" s="44" t="s">
        <v>30223</v>
      </c>
      <c r="B101" s="14">
        <v>1</v>
      </c>
    </row>
    <row r="102" spans="1:2" x14ac:dyDescent="0.25">
      <c r="A102" s="44" t="s">
        <v>30224</v>
      </c>
      <c r="B102" s="14">
        <v>1</v>
      </c>
    </row>
    <row r="103" spans="1:2" x14ac:dyDescent="0.25">
      <c r="A103" s="44" t="s">
        <v>30225</v>
      </c>
      <c r="B103" s="14">
        <v>1</v>
      </c>
    </row>
    <row r="104" spans="1:2" x14ac:dyDescent="0.25">
      <c r="A104" s="44" t="s">
        <v>30226</v>
      </c>
      <c r="B104" s="14">
        <v>1</v>
      </c>
    </row>
    <row r="105" spans="1:2" x14ac:dyDescent="0.25">
      <c r="A105" s="44" t="s">
        <v>30227</v>
      </c>
      <c r="B105" s="14">
        <v>1</v>
      </c>
    </row>
    <row r="106" spans="1:2" x14ac:dyDescent="0.25">
      <c r="A106" s="44" t="s">
        <v>30228</v>
      </c>
      <c r="B106" s="14">
        <v>1</v>
      </c>
    </row>
    <row r="107" spans="1:2" x14ac:dyDescent="0.25">
      <c r="A107" s="44" t="s">
        <v>30229</v>
      </c>
      <c r="B107" s="14">
        <v>1</v>
      </c>
    </row>
    <row r="108" spans="1:2" x14ac:dyDescent="0.25">
      <c r="A108" s="44" t="s">
        <v>30230</v>
      </c>
      <c r="B108" s="14">
        <v>1</v>
      </c>
    </row>
    <row r="109" spans="1:2" x14ac:dyDescent="0.25">
      <c r="A109" s="44" t="s">
        <v>30231</v>
      </c>
      <c r="B109" s="14">
        <v>1</v>
      </c>
    </row>
    <row r="110" spans="1:2" x14ac:dyDescent="0.25">
      <c r="A110" s="44" t="s">
        <v>30232</v>
      </c>
      <c r="B110" s="14">
        <v>1</v>
      </c>
    </row>
    <row r="111" spans="1:2" x14ac:dyDescent="0.25">
      <c r="A111" s="44" t="s">
        <v>30233</v>
      </c>
      <c r="B111" s="14">
        <v>1</v>
      </c>
    </row>
    <row r="112" spans="1:2" x14ac:dyDescent="0.25">
      <c r="A112" s="44" t="s">
        <v>30234</v>
      </c>
      <c r="B112" s="14">
        <v>1</v>
      </c>
    </row>
    <row r="113" spans="1:2" x14ac:dyDescent="0.25">
      <c r="A113" s="44" t="s">
        <v>30235</v>
      </c>
      <c r="B113" s="14">
        <v>1</v>
      </c>
    </row>
    <row r="114" spans="1:2" x14ac:dyDescent="0.25">
      <c r="A114" s="44" t="s">
        <v>30236</v>
      </c>
      <c r="B114" s="14">
        <v>1</v>
      </c>
    </row>
    <row r="115" spans="1:2" x14ac:dyDescent="0.25">
      <c r="A115" s="44" t="s">
        <v>30237</v>
      </c>
      <c r="B115" s="14">
        <v>1</v>
      </c>
    </row>
    <row r="116" spans="1:2" x14ac:dyDescent="0.25">
      <c r="A116" s="44" t="s">
        <v>30238</v>
      </c>
      <c r="B116" s="14">
        <v>1</v>
      </c>
    </row>
    <row r="117" spans="1:2" x14ac:dyDescent="0.25">
      <c r="A117" s="44" t="s">
        <v>30239</v>
      </c>
      <c r="B117" s="14">
        <v>1</v>
      </c>
    </row>
    <row r="118" spans="1:2" x14ac:dyDescent="0.25">
      <c r="A118" s="44" t="s">
        <v>30240</v>
      </c>
      <c r="B118" s="14">
        <v>1</v>
      </c>
    </row>
    <row r="119" spans="1:2" x14ac:dyDescent="0.25">
      <c r="A119" s="44" t="s">
        <v>30241</v>
      </c>
      <c r="B119" s="14">
        <v>1</v>
      </c>
    </row>
    <row r="120" spans="1:2" x14ac:dyDescent="0.25">
      <c r="A120" s="44" t="s">
        <v>30242</v>
      </c>
      <c r="B120" s="14">
        <v>1</v>
      </c>
    </row>
    <row r="121" spans="1:2" x14ac:dyDescent="0.25">
      <c r="A121" s="44" t="s">
        <v>30243</v>
      </c>
      <c r="B121" s="14">
        <v>1</v>
      </c>
    </row>
    <row r="122" spans="1:2" x14ac:dyDescent="0.25">
      <c r="A122" s="44" t="s">
        <v>30244</v>
      </c>
      <c r="B122" s="14">
        <v>1</v>
      </c>
    </row>
    <row r="123" spans="1:2" x14ac:dyDescent="0.25">
      <c r="A123" s="44" t="s">
        <v>30245</v>
      </c>
      <c r="B123" s="14">
        <v>1</v>
      </c>
    </row>
    <row r="124" spans="1:2" x14ac:dyDescent="0.25">
      <c r="A124" s="44" t="s">
        <v>30246</v>
      </c>
      <c r="B124" s="14">
        <v>1</v>
      </c>
    </row>
    <row r="125" spans="1:2" x14ac:dyDescent="0.25">
      <c r="A125" s="44" t="s">
        <v>30247</v>
      </c>
      <c r="B125" s="14">
        <v>1</v>
      </c>
    </row>
    <row r="126" spans="1:2" x14ac:dyDescent="0.25">
      <c r="A126" s="44" t="s">
        <v>30248</v>
      </c>
      <c r="B126" s="14">
        <v>1</v>
      </c>
    </row>
    <row r="127" spans="1:2" x14ac:dyDescent="0.25">
      <c r="A127" s="44" t="s">
        <v>30249</v>
      </c>
      <c r="B127" s="14">
        <v>1</v>
      </c>
    </row>
    <row r="128" spans="1:2" x14ac:dyDescent="0.25">
      <c r="A128" s="44" t="s">
        <v>30250</v>
      </c>
      <c r="B128" s="14">
        <v>1</v>
      </c>
    </row>
    <row r="129" spans="1:2" x14ac:dyDescent="0.25">
      <c r="A129" s="44" t="s">
        <v>30251</v>
      </c>
      <c r="B129" s="14">
        <v>1</v>
      </c>
    </row>
    <row r="130" spans="1:2" x14ac:dyDescent="0.25">
      <c r="A130" s="44" t="s">
        <v>30252</v>
      </c>
      <c r="B130" s="14">
        <v>1</v>
      </c>
    </row>
    <row r="131" spans="1:2" x14ac:dyDescent="0.25">
      <c r="A131" s="44" t="s">
        <v>30253</v>
      </c>
      <c r="B131" s="14">
        <v>1</v>
      </c>
    </row>
    <row r="132" spans="1:2" x14ac:dyDescent="0.25">
      <c r="A132" s="44" t="s">
        <v>30254</v>
      </c>
      <c r="B132" s="14">
        <v>1</v>
      </c>
    </row>
    <row r="133" spans="1:2" x14ac:dyDescent="0.25">
      <c r="A133" s="44" t="s">
        <v>30255</v>
      </c>
      <c r="B133" s="14">
        <v>1</v>
      </c>
    </row>
    <row r="134" spans="1:2" x14ac:dyDescent="0.25">
      <c r="A134" s="44" t="s">
        <v>30256</v>
      </c>
      <c r="B134" s="14">
        <v>1</v>
      </c>
    </row>
    <row r="135" spans="1:2" x14ac:dyDescent="0.25">
      <c r="A135" s="44" t="s">
        <v>30257</v>
      </c>
      <c r="B135" s="14">
        <v>1</v>
      </c>
    </row>
    <row r="136" spans="1:2" x14ac:dyDescent="0.25">
      <c r="A136" s="44" t="s">
        <v>30258</v>
      </c>
      <c r="B136" s="14">
        <v>1</v>
      </c>
    </row>
    <row r="137" spans="1:2" x14ac:dyDescent="0.25">
      <c r="A137" s="44" t="s">
        <v>30259</v>
      </c>
      <c r="B137" s="14">
        <v>1</v>
      </c>
    </row>
    <row r="138" spans="1:2" x14ac:dyDescent="0.25">
      <c r="A138" s="44" t="s">
        <v>30260</v>
      </c>
      <c r="B138" s="14">
        <v>1</v>
      </c>
    </row>
    <row r="139" spans="1:2" x14ac:dyDescent="0.25">
      <c r="A139" s="44" t="s">
        <v>30261</v>
      </c>
      <c r="B139" s="14">
        <v>1</v>
      </c>
    </row>
    <row r="140" spans="1:2" x14ac:dyDescent="0.25">
      <c r="A140" s="44" t="s">
        <v>30262</v>
      </c>
      <c r="B140" s="14">
        <v>1</v>
      </c>
    </row>
    <row r="141" spans="1:2" x14ac:dyDescent="0.25">
      <c r="A141" s="44" t="s">
        <v>30263</v>
      </c>
      <c r="B141" s="14">
        <v>1</v>
      </c>
    </row>
    <row r="142" spans="1:2" x14ac:dyDescent="0.25">
      <c r="A142" s="44" t="s">
        <v>30264</v>
      </c>
      <c r="B142" s="14">
        <v>1</v>
      </c>
    </row>
    <row r="143" spans="1:2" x14ac:dyDescent="0.25">
      <c r="A143" s="44" t="s">
        <v>30265</v>
      </c>
      <c r="B143" s="14">
        <v>1</v>
      </c>
    </row>
    <row r="144" spans="1:2" x14ac:dyDescent="0.25">
      <c r="A144" s="44" t="s">
        <v>30266</v>
      </c>
      <c r="B144" s="14">
        <v>1</v>
      </c>
    </row>
    <row r="145" spans="1:2" x14ac:dyDescent="0.25">
      <c r="A145" s="44" t="s">
        <v>30267</v>
      </c>
      <c r="B145" s="14">
        <v>1</v>
      </c>
    </row>
    <row r="146" spans="1:2" x14ac:dyDescent="0.25">
      <c r="A146" s="44" t="s">
        <v>30268</v>
      </c>
      <c r="B146" s="14">
        <v>1</v>
      </c>
    </row>
    <row r="147" spans="1:2" x14ac:dyDescent="0.25">
      <c r="A147" s="44" t="s">
        <v>30269</v>
      </c>
      <c r="B147" s="14">
        <v>1</v>
      </c>
    </row>
    <row r="148" spans="1:2" x14ac:dyDescent="0.25">
      <c r="A148" s="44" t="s">
        <v>30270</v>
      </c>
      <c r="B148" s="14">
        <v>1</v>
      </c>
    </row>
    <row r="149" spans="1:2" x14ac:dyDescent="0.25">
      <c r="A149" s="44" t="s">
        <v>30271</v>
      </c>
      <c r="B149" s="14">
        <v>1</v>
      </c>
    </row>
    <row r="150" spans="1:2" x14ac:dyDescent="0.25">
      <c r="A150" s="44" t="s">
        <v>30272</v>
      </c>
      <c r="B150" s="14">
        <v>1</v>
      </c>
    </row>
    <row r="151" spans="1:2" x14ac:dyDescent="0.25">
      <c r="A151" s="44" t="s">
        <v>30273</v>
      </c>
      <c r="B151" s="14">
        <v>1</v>
      </c>
    </row>
    <row r="152" spans="1:2" x14ac:dyDescent="0.25">
      <c r="A152" s="44" t="s">
        <v>30274</v>
      </c>
      <c r="B152" s="14">
        <v>1</v>
      </c>
    </row>
    <row r="153" spans="1:2" x14ac:dyDescent="0.25">
      <c r="A153" s="44" t="s">
        <v>30275</v>
      </c>
      <c r="B153" s="14">
        <v>1</v>
      </c>
    </row>
    <row r="154" spans="1:2" x14ac:dyDescent="0.25">
      <c r="A154" s="44" t="s">
        <v>30276</v>
      </c>
      <c r="B154" s="14">
        <v>1</v>
      </c>
    </row>
    <row r="155" spans="1:2" x14ac:dyDescent="0.25">
      <c r="A155" s="44" t="s">
        <v>30277</v>
      </c>
      <c r="B155" s="14">
        <v>1</v>
      </c>
    </row>
    <row r="156" spans="1:2" x14ac:dyDescent="0.25">
      <c r="A156" s="44" t="s">
        <v>30278</v>
      </c>
      <c r="B156" s="14">
        <v>1</v>
      </c>
    </row>
    <row r="157" spans="1:2" x14ac:dyDescent="0.25">
      <c r="A157" s="44" t="s">
        <v>30279</v>
      </c>
      <c r="B157" s="14">
        <v>1</v>
      </c>
    </row>
    <row r="158" spans="1:2" x14ac:dyDescent="0.25">
      <c r="A158" s="44" t="s">
        <v>30280</v>
      </c>
      <c r="B158" s="14">
        <v>1</v>
      </c>
    </row>
    <row r="159" spans="1:2" x14ac:dyDescent="0.25">
      <c r="A159" s="44" t="s">
        <v>30281</v>
      </c>
      <c r="B159" s="14">
        <v>1</v>
      </c>
    </row>
    <row r="160" spans="1:2" x14ac:dyDescent="0.25">
      <c r="A160" s="44" t="s">
        <v>30282</v>
      </c>
      <c r="B160" s="14">
        <v>1</v>
      </c>
    </row>
    <row r="161" spans="1:2" x14ac:dyDescent="0.25">
      <c r="A161" s="44" t="s">
        <v>30283</v>
      </c>
      <c r="B161" s="14">
        <v>1</v>
      </c>
    </row>
    <row r="162" spans="1:2" x14ac:dyDescent="0.25">
      <c r="A162" s="44" t="s">
        <v>30284</v>
      </c>
      <c r="B162" s="14">
        <v>1</v>
      </c>
    </row>
    <row r="163" spans="1:2" x14ac:dyDescent="0.25">
      <c r="A163" s="44" t="s">
        <v>30285</v>
      </c>
      <c r="B163" s="14">
        <v>1</v>
      </c>
    </row>
    <row r="164" spans="1:2" x14ac:dyDescent="0.25">
      <c r="A164" s="44" t="s">
        <v>30286</v>
      </c>
      <c r="B164" s="14">
        <v>1</v>
      </c>
    </row>
    <row r="165" spans="1:2" x14ac:dyDescent="0.25">
      <c r="A165" s="44" t="s">
        <v>30287</v>
      </c>
      <c r="B165" s="14">
        <v>1</v>
      </c>
    </row>
    <row r="166" spans="1:2" x14ac:dyDescent="0.25">
      <c r="A166" s="44" t="s">
        <v>30288</v>
      </c>
      <c r="B166" s="14">
        <v>1</v>
      </c>
    </row>
    <row r="167" spans="1:2" x14ac:dyDescent="0.25">
      <c r="A167" s="44" t="s">
        <v>30289</v>
      </c>
      <c r="B167" s="14">
        <v>1</v>
      </c>
    </row>
    <row r="168" spans="1:2" x14ac:dyDescent="0.25">
      <c r="A168" s="44" t="s">
        <v>30290</v>
      </c>
      <c r="B168" s="14">
        <v>1</v>
      </c>
    </row>
    <row r="169" spans="1:2" x14ac:dyDescent="0.25">
      <c r="A169" s="44" t="s">
        <v>30291</v>
      </c>
      <c r="B169" s="14">
        <v>1</v>
      </c>
    </row>
    <row r="170" spans="1:2" x14ac:dyDescent="0.25">
      <c r="A170" s="44" t="s">
        <v>30292</v>
      </c>
      <c r="B170" s="14">
        <v>1</v>
      </c>
    </row>
    <row r="171" spans="1:2" x14ac:dyDescent="0.25">
      <c r="A171" s="44" t="s">
        <v>30293</v>
      </c>
      <c r="B171" s="14">
        <v>1</v>
      </c>
    </row>
    <row r="172" spans="1:2" x14ac:dyDescent="0.25">
      <c r="A172" s="44" t="s">
        <v>30294</v>
      </c>
      <c r="B172" s="14">
        <v>1</v>
      </c>
    </row>
    <row r="173" spans="1:2" x14ac:dyDescent="0.25">
      <c r="A173" s="44" t="s">
        <v>30295</v>
      </c>
      <c r="B173" s="14">
        <v>1</v>
      </c>
    </row>
    <row r="174" spans="1:2" x14ac:dyDescent="0.25">
      <c r="A174" s="44" t="s">
        <v>30296</v>
      </c>
      <c r="B174" s="14">
        <v>1</v>
      </c>
    </row>
    <row r="175" spans="1:2" x14ac:dyDescent="0.25">
      <c r="A175" s="44" t="s">
        <v>30297</v>
      </c>
      <c r="B175" s="14">
        <v>1</v>
      </c>
    </row>
    <row r="176" spans="1:2" x14ac:dyDescent="0.25">
      <c r="A176" s="44" t="s">
        <v>30298</v>
      </c>
      <c r="B176" s="14">
        <v>1</v>
      </c>
    </row>
    <row r="177" spans="1:2" x14ac:dyDescent="0.25">
      <c r="A177" s="44" t="s">
        <v>30299</v>
      </c>
      <c r="B177" s="14">
        <v>1</v>
      </c>
    </row>
    <row r="178" spans="1:2" x14ac:dyDescent="0.25">
      <c r="A178" s="44" t="s">
        <v>30300</v>
      </c>
      <c r="B178" s="14">
        <v>1</v>
      </c>
    </row>
    <row r="179" spans="1:2" x14ac:dyDescent="0.25">
      <c r="A179" s="44" t="s">
        <v>30301</v>
      </c>
      <c r="B179" s="14">
        <v>1</v>
      </c>
    </row>
    <row r="180" spans="1:2" x14ac:dyDescent="0.25">
      <c r="A180" s="44" t="s">
        <v>30302</v>
      </c>
      <c r="B180" s="14">
        <v>1</v>
      </c>
    </row>
    <row r="181" spans="1:2" x14ac:dyDescent="0.25">
      <c r="A181" s="44" t="s">
        <v>30303</v>
      </c>
      <c r="B181" s="14">
        <v>1</v>
      </c>
    </row>
    <row r="182" spans="1:2" x14ac:dyDescent="0.25">
      <c r="A182" s="44" t="s">
        <v>30304</v>
      </c>
      <c r="B182" s="14">
        <v>1</v>
      </c>
    </row>
    <row r="183" spans="1:2" x14ac:dyDescent="0.25">
      <c r="A183" s="44" t="s">
        <v>30305</v>
      </c>
      <c r="B183" s="14">
        <v>1</v>
      </c>
    </row>
    <row r="184" spans="1:2" x14ac:dyDescent="0.25">
      <c r="A184" s="44" t="s">
        <v>30306</v>
      </c>
      <c r="B184" s="14">
        <v>1</v>
      </c>
    </row>
    <row r="185" spans="1:2" x14ac:dyDescent="0.25">
      <c r="A185" s="44" t="s">
        <v>30307</v>
      </c>
      <c r="B185" s="14">
        <v>1</v>
      </c>
    </row>
    <row r="186" spans="1:2" x14ac:dyDescent="0.25">
      <c r="A186" s="44" t="s">
        <v>30308</v>
      </c>
      <c r="B186" s="14">
        <v>1</v>
      </c>
    </row>
    <row r="187" spans="1:2" x14ac:dyDescent="0.25">
      <c r="A187" s="44" t="s">
        <v>30309</v>
      </c>
      <c r="B187" s="14">
        <v>1</v>
      </c>
    </row>
    <row r="188" spans="1:2" x14ac:dyDescent="0.25">
      <c r="A188" s="44" t="s">
        <v>30310</v>
      </c>
      <c r="B188" s="14">
        <v>1</v>
      </c>
    </row>
    <row r="189" spans="1:2" x14ac:dyDescent="0.25">
      <c r="A189" s="44" t="s">
        <v>30311</v>
      </c>
      <c r="B189" s="14">
        <v>1</v>
      </c>
    </row>
    <row r="190" spans="1:2" x14ac:dyDescent="0.25">
      <c r="A190" s="44" t="s">
        <v>30312</v>
      </c>
      <c r="B190" s="14">
        <v>1</v>
      </c>
    </row>
    <row r="191" spans="1:2" x14ac:dyDescent="0.25">
      <c r="A191" s="44" t="s">
        <v>30313</v>
      </c>
      <c r="B191" s="14">
        <v>1</v>
      </c>
    </row>
    <row r="192" spans="1:2" x14ac:dyDescent="0.25">
      <c r="A192" s="44" t="s">
        <v>30314</v>
      </c>
      <c r="B192" s="14">
        <v>1</v>
      </c>
    </row>
    <row r="193" spans="1:2" x14ac:dyDescent="0.25">
      <c r="A193" s="44" t="s">
        <v>30315</v>
      </c>
      <c r="B193" s="14">
        <v>1</v>
      </c>
    </row>
    <row r="194" spans="1:2" x14ac:dyDescent="0.25">
      <c r="A194" s="44" t="s">
        <v>30316</v>
      </c>
      <c r="B194" s="14">
        <v>1</v>
      </c>
    </row>
    <row r="195" spans="1:2" x14ac:dyDescent="0.25">
      <c r="A195" s="44" t="s">
        <v>30317</v>
      </c>
      <c r="B195" s="14">
        <v>1</v>
      </c>
    </row>
    <row r="196" spans="1:2" x14ac:dyDescent="0.25">
      <c r="A196" s="44" t="s">
        <v>30318</v>
      </c>
      <c r="B196" s="14">
        <v>1</v>
      </c>
    </row>
    <row r="197" spans="1:2" x14ac:dyDescent="0.25">
      <c r="A197" s="44" t="s">
        <v>30319</v>
      </c>
      <c r="B197" s="14">
        <v>1</v>
      </c>
    </row>
    <row r="198" spans="1:2" x14ac:dyDescent="0.25">
      <c r="A198" s="44" t="s">
        <v>30320</v>
      </c>
      <c r="B198" s="14">
        <v>1</v>
      </c>
    </row>
    <row r="199" spans="1:2" x14ac:dyDescent="0.25">
      <c r="A199" s="44" t="s">
        <v>30321</v>
      </c>
      <c r="B199" s="14">
        <v>1</v>
      </c>
    </row>
    <row r="200" spans="1:2" x14ac:dyDescent="0.25">
      <c r="A200" s="44" t="s">
        <v>30322</v>
      </c>
      <c r="B200" s="14">
        <v>1</v>
      </c>
    </row>
    <row r="201" spans="1:2" x14ac:dyDescent="0.25">
      <c r="A201" s="44" t="s">
        <v>30323</v>
      </c>
      <c r="B201" s="14">
        <v>1</v>
      </c>
    </row>
    <row r="202" spans="1:2" x14ac:dyDescent="0.25">
      <c r="A202" s="44" t="s">
        <v>30324</v>
      </c>
      <c r="B202" s="14">
        <v>1</v>
      </c>
    </row>
    <row r="203" spans="1:2" x14ac:dyDescent="0.25">
      <c r="A203" s="44" t="s">
        <v>30325</v>
      </c>
      <c r="B203" s="14">
        <v>1</v>
      </c>
    </row>
    <row r="204" spans="1:2" x14ac:dyDescent="0.25">
      <c r="A204" s="44" t="s">
        <v>30326</v>
      </c>
      <c r="B204" s="14">
        <v>1</v>
      </c>
    </row>
    <row r="205" spans="1:2" x14ac:dyDescent="0.25">
      <c r="A205" s="44" t="s">
        <v>30327</v>
      </c>
      <c r="B205" s="14">
        <v>1</v>
      </c>
    </row>
    <row r="206" spans="1:2" x14ac:dyDescent="0.25">
      <c r="A206" s="44" t="s">
        <v>30328</v>
      </c>
      <c r="B206" s="14">
        <v>1</v>
      </c>
    </row>
    <row r="207" spans="1:2" x14ac:dyDescent="0.25">
      <c r="A207" s="44" t="s">
        <v>30329</v>
      </c>
      <c r="B207" s="14">
        <v>1</v>
      </c>
    </row>
    <row r="208" spans="1:2" x14ac:dyDescent="0.25">
      <c r="A208" s="44" t="s">
        <v>30330</v>
      </c>
      <c r="B208" s="14">
        <v>1</v>
      </c>
    </row>
    <row r="209" spans="1:2" x14ac:dyDescent="0.25">
      <c r="A209" s="44" t="s">
        <v>30331</v>
      </c>
      <c r="B209" s="14">
        <v>1</v>
      </c>
    </row>
    <row r="210" spans="1:2" x14ac:dyDescent="0.25">
      <c r="A210" s="44" t="s">
        <v>30332</v>
      </c>
      <c r="B210" s="14">
        <v>1</v>
      </c>
    </row>
    <row r="211" spans="1:2" x14ac:dyDescent="0.25">
      <c r="A211" s="44" t="s">
        <v>30333</v>
      </c>
      <c r="B211" s="14">
        <v>1</v>
      </c>
    </row>
    <row r="212" spans="1:2" x14ac:dyDescent="0.25">
      <c r="A212" s="44" t="s">
        <v>30334</v>
      </c>
      <c r="B212" s="14">
        <v>1</v>
      </c>
    </row>
    <row r="213" spans="1:2" x14ac:dyDescent="0.25">
      <c r="A213" s="44" t="s">
        <v>30335</v>
      </c>
      <c r="B213" s="14">
        <v>1</v>
      </c>
    </row>
    <row r="214" spans="1:2" x14ac:dyDescent="0.25">
      <c r="A214" s="44" t="s">
        <v>30336</v>
      </c>
      <c r="B214" s="14">
        <v>1</v>
      </c>
    </row>
    <row r="215" spans="1:2" x14ac:dyDescent="0.25">
      <c r="A215" s="44" t="s">
        <v>30337</v>
      </c>
      <c r="B215" s="14">
        <v>1</v>
      </c>
    </row>
    <row r="216" spans="1:2" x14ac:dyDescent="0.25">
      <c r="A216" s="44" t="s">
        <v>30338</v>
      </c>
      <c r="B216" s="14">
        <v>1</v>
      </c>
    </row>
    <row r="217" spans="1:2" x14ac:dyDescent="0.25">
      <c r="A217" s="44" t="s">
        <v>30339</v>
      </c>
      <c r="B217" s="14">
        <v>1</v>
      </c>
    </row>
    <row r="218" spans="1:2" x14ac:dyDescent="0.25">
      <c r="A218" s="44" t="s">
        <v>30340</v>
      </c>
      <c r="B218" s="14">
        <v>1</v>
      </c>
    </row>
    <row r="219" spans="1:2" x14ac:dyDescent="0.25">
      <c r="A219" s="44" t="s">
        <v>30341</v>
      </c>
      <c r="B219" s="14">
        <v>1</v>
      </c>
    </row>
    <row r="220" spans="1:2" x14ac:dyDescent="0.25">
      <c r="A220" s="44" t="s">
        <v>30342</v>
      </c>
      <c r="B220" s="14">
        <v>1</v>
      </c>
    </row>
    <row r="221" spans="1:2" x14ac:dyDescent="0.25">
      <c r="A221" s="44" t="s">
        <v>30343</v>
      </c>
      <c r="B221" s="14">
        <v>1</v>
      </c>
    </row>
    <row r="222" spans="1:2" x14ac:dyDescent="0.25">
      <c r="A222" s="44" t="s">
        <v>30344</v>
      </c>
      <c r="B222" s="14">
        <v>1</v>
      </c>
    </row>
    <row r="223" spans="1:2" x14ac:dyDescent="0.25">
      <c r="A223" s="44" t="s">
        <v>30345</v>
      </c>
      <c r="B223" s="14">
        <v>1</v>
      </c>
    </row>
    <row r="224" spans="1:2" x14ac:dyDescent="0.25">
      <c r="A224" s="44" t="s">
        <v>30346</v>
      </c>
      <c r="B224" s="14">
        <v>1</v>
      </c>
    </row>
    <row r="225" spans="1:2" x14ac:dyDescent="0.25">
      <c r="A225" s="44" t="s">
        <v>30347</v>
      </c>
      <c r="B225" s="14">
        <v>1</v>
      </c>
    </row>
    <row r="226" spans="1:2" x14ac:dyDescent="0.25">
      <c r="A226" s="44" t="s">
        <v>30348</v>
      </c>
      <c r="B226" s="14">
        <v>1</v>
      </c>
    </row>
    <row r="227" spans="1:2" x14ac:dyDescent="0.25">
      <c r="A227" s="44" t="s">
        <v>30349</v>
      </c>
      <c r="B227" s="14">
        <v>1</v>
      </c>
    </row>
    <row r="228" spans="1:2" x14ac:dyDescent="0.25">
      <c r="A228" s="44" t="s">
        <v>30350</v>
      </c>
      <c r="B228" s="14">
        <v>1</v>
      </c>
    </row>
    <row r="229" spans="1:2" x14ac:dyDescent="0.25">
      <c r="A229" s="44" t="s">
        <v>30351</v>
      </c>
      <c r="B229" s="14">
        <v>1</v>
      </c>
    </row>
    <row r="230" spans="1:2" x14ac:dyDescent="0.25">
      <c r="A230" s="44" t="s">
        <v>30352</v>
      </c>
      <c r="B230" s="14">
        <v>1</v>
      </c>
    </row>
    <row r="231" spans="1:2" x14ac:dyDescent="0.25">
      <c r="A231" s="44" t="s">
        <v>30353</v>
      </c>
      <c r="B231" s="14">
        <v>1</v>
      </c>
    </row>
    <row r="232" spans="1:2" x14ac:dyDescent="0.25">
      <c r="A232" s="44" t="s">
        <v>30354</v>
      </c>
      <c r="B232" s="14">
        <v>1</v>
      </c>
    </row>
    <row r="233" spans="1:2" x14ac:dyDescent="0.25">
      <c r="A233" s="44" t="s">
        <v>30355</v>
      </c>
      <c r="B233" s="14">
        <v>1</v>
      </c>
    </row>
    <row r="234" spans="1:2" x14ac:dyDescent="0.25">
      <c r="A234" s="44" t="s">
        <v>30356</v>
      </c>
      <c r="B234" s="14">
        <v>1</v>
      </c>
    </row>
    <row r="235" spans="1:2" x14ac:dyDescent="0.25">
      <c r="A235" s="44" t="s">
        <v>30357</v>
      </c>
      <c r="B235" s="14">
        <v>1</v>
      </c>
    </row>
    <row r="236" spans="1:2" x14ac:dyDescent="0.25">
      <c r="A236" s="44" t="s">
        <v>30358</v>
      </c>
      <c r="B236" s="14">
        <v>1</v>
      </c>
    </row>
    <row r="237" spans="1:2" x14ac:dyDescent="0.25">
      <c r="A237" s="44" t="s">
        <v>30359</v>
      </c>
      <c r="B237" s="14">
        <v>1</v>
      </c>
    </row>
    <row r="238" spans="1:2" x14ac:dyDescent="0.25">
      <c r="A238" s="44" t="s">
        <v>30360</v>
      </c>
      <c r="B238" s="14">
        <v>1</v>
      </c>
    </row>
    <row r="239" spans="1:2" x14ac:dyDescent="0.25">
      <c r="A239" s="44" t="s">
        <v>30361</v>
      </c>
      <c r="B239" s="14">
        <v>1</v>
      </c>
    </row>
    <row r="240" spans="1:2" x14ac:dyDescent="0.25">
      <c r="A240" s="44" t="s">
        <v>30362</v>
      </c>
      <c r="B240" s="14">
        <v>1</v>
      </c>
    </row>
    <row r="241" spans="1:2" x14ac:dyDescent="0.25">
      <c r="A241" s="44" t="s">
        <v>30363</v>
      </c>
      <c r="B241" s="14">
        <v>1</v>
      </c>
    </row>
    <row r="242" spans="1:2" x14ac:dyDescent="0.25">
      <c r="A242" s="44" t="s">
        <v>30364</v>
      </c>
      <c r="B242" s="14">
        <v>1</v>
      </c>
    </row>
    <row r="243" spans="1:2" x14ac:dyDescent="0.25">
      <c r="A243" s="44" t="s">
        <v>30365</v>
      </c>
      <c r="B243" s="14">
        <v>1</v>
      </c>
    </row>
    <row r="244" spans="1:2" x14ac:dyDescent="0.25">
      <c r="A244" s="44" t="s">
        <v>30366</v>
      </c>
      <c r="B244" s="14">
        <v>1</v>
      </c>
    </row>
    <row r="245" spans="1:2" x14ac:dyDescent="0.25">
      <c r="A245" s="44" t="s">
        <v>30367</v>
      </c>
      <c r="B245" s="14">
        <v>1</v>
      </c>
    </row>
    <row r="246" spans="1:2" x14ac:dyDescent="0.25">
      <c r="A246" s="44" t="s">
        <v>30368</v>
      </c>
      <c r="B246" s="14">
        <v>1</v>
      </c>
    </row>
    <row r="247" spans="1:2" x14ac:dyDescent="0.25">
      <c r="A247" s="44" t="s">
        <v>30369</v>
      </c>
      <c r="B247" s="14">
        <v>1</v>
      </c>
    </row>
    <row r="248" spans="1:2" x14ac:dyDescent="0.25">
      <c r="A248" s="44" t="s">
        <v>30370</v>
      </c>
      <c r="B248" s="14">
        <v>1</v>
      </c>
    </row>
    <row r="249" spans="1:2" x14ac:dyDescent="0.25">
      <c r="A249" s="44" t="s">
        <v>30371</v>
      </c>
      <c r="B249" s="14">
        <v>1</v>
      </c>
    </row>
    <row r="250" spans="1:2" x14ac:dyDescent="0.25">
      <c r="A250" s="44" t="s">
        <v>30372</v>
      </c>
      <c r="B250" s="14">
        <v>1</v>
      </c>
    </row>
    <row r="251" spans="1:2" x14ac:dyDescent="0.25">
      <c r="A251" s="44" t="s">
        <v>30373</v>
      </c>
      <c r="B251" s="14">
        <v>1</v>
      </c>
    </row>
    <row r="252" spans="1:2" x14ac:dyDescent="0.25">
      <c r="A252" s="44" t="s">
        <v>30374</v>
      </c>
      <c r="B252" s="14">
        <v>1</v>
      </c>
    </row>
    <row r="253" spans="1:2" x14ac:dyDescent="0.25">
      <c r="A253" s="44" t="s">
        <v>30375</v>
      </c>
      <c r="B253" s="14">
        <v>1</v>
      </c>
    </row>
    <row r="254" spans="1:2" x14ac:dyDescent="0.25">
      <c r="A254" s="44" t="s">
        <v>30376</v>
      </c>
      <c r="B254" s="14">
        <v>1</v>
      </c>
    </row>
    <row r="255" spans="1:2" x14ac:dyDescent="0.25">
      <c r="A255" s="44" t="s">
        <v>30377</v>
      </c>
      <c r="B255" s="14">
        <v>1</v>
      </c>
    </row>
    <row r="256" spans="1:2" x14ac:dyDescent="0.25">
      <c r="A256" s="44" t="s">
        <v>30378</v>
      </c>
      <c r="B256" s="14">
        <v>1</v>
      </c>
    </row>
    <row r="257" spans="1:2" x14ac:dyDescent="0.25">
      <c r="A257" s="44" t="s">
        <v>30379</v>
      </c>
      <c r="B257" s="14">
        <v>1</v>
      </c>
    </row>
    <row r="258" spans="1:2" x14ac:dyDescent="0.25">
      <c r="A258" s="44" t="s">
        <v>30380</v>
      </c>
      <c r="B258" s="14">
        <v>1</v>
      </c>
    </row>
    <row r="259" spans="1:2" x14ac:dyDescent="0.25">
      <c r="A259" s="44" t="s">
        <v>30381</v>
      </c>
      <c r="B259" s="14">
        <v>1</v>
      </c>
    </row>
    <row r="260" spans="1:2" x14ac:dyDescent="0.25">
      <c r="A260" s="44" t="s">
        <v>30382</v>
      </c>
      <c r="B260" s="14">
        <v>1</v>
      </c>
    </row>
    <row r="261" spans="1:2" x14ac:dyDescent="0.25">
      <c r="A261" s="44" t="s">
        <v>30383</v>
      </c>
      <c r="B261" s="14">
        <v>1</v>
      </c>
    </row>
    <row r="262" spans="1:2" x14ac:dyDescent="0.25">
      <c r="A262" s="44" t="s">
        <v>30384</v>
      </c>
      <c r="B262" s="14">
        <v>1</v>
      </c>
    </row>
    <row r="263" spans="1:2" x14ac:dyDescent="0.25">
      <c r="A263" s="44" t="s">
        <v>30385</v>
      </c>
      <c r="B263" s="14">
        <v>1</v>
      </c>
    </row>
    <row r="264" spans="1:2" x14ac:dyDescent="0.25">
      <c r="A264" s="44" t="s">
        <v>30386</v>
      </c>
      <c r="B264" s="14">
        <v>1</v>
      </c>
    </row>
    <row r="265" spans="1:2" x14ac:dyDescent="0.25">
      <c r="A265" s="44" t="s">
        <v>30387</v>
      </c>
      <c r="B265" s="14">
        <v>1</v>
      </c>
    </row>
    <row r="266" spans="1:2" x14ac:dyDescent="0.25">
      <c r="A266" s="44" t="s">
        <v>30388</v>
      </c>
      <c r="B266" s="14">
        <v>1</v>
      </c>
    </row>
    <row r="267" spans="1:2" x14ac:dyDescent="0.25">
      <c r="A267" s="44" t="s">
        <v>30389</v>
      </c>
      <c r="B267" s="14">
        <v>1</v>
      </c>
    </row>
    <row r="268" spans="1:2" x14ac:dyDescent="0.25">
      <c r="A268" s="44" t="s">
        <v>30390</v>
      </c>
      <c r="B268" s="14">
        <v>1</v>
      </c>
    </row>
    <row r="269" spans="1:2" x14ac:dyDescent="0.25">
      <c r="A269" s="44" t="s">
        <v>30391</v>
      </c>
      <c r="B269" s="14">
        <v>1</v>
      </c>
    </row>
    <row r="270" spans="1:2" x14ac:dyDescent="0.25">
      <c r="A270" s="44" t="s">
        <v>30392</v>
      </c>
      <c r="B270" s="14">
        <v>1</v>
      </c>
    </row>
    <row r="271" spans="1:2" x14ac:dyDescent="0.25">
      <c r="A271" s="44" t="s">
        <v>30393</v>
      </c>
      <c r="B271" s="14">
        <v>1</v>
      </c>
    </row>
    <row r="272" spans="1:2" x14ac:dyDescent="0.25">
      <c r="A272" s="44" t="s">
        <v>30394</v>
      </c>
      <c r="B272" s="14">
        <v>1</v>
      </c>
    </row>
    <row r="273" spans="1:2" x14ac:dyDescent="0.25">
      <c r="A273" s="44" t="s">
        <v>30395</v>
      </c>
      <c r="B273" s="14">
        <v>1</v>
      </c>
    </row>
    <row r="274" spans="1:2" x14ac:dyDescent="0.25">
      <c r="A274" s="44" t="s">
        <v>30396</v>
      </c>
      <c r="B274" s="14">
        <v>1</v>
      </c>
    </row>
    <row r="275" spans="1:2" x14ac:dyDescent="0.25">
      <c r="A275" s="44" t="s">
        <v>30397</v>
      </c>
      <c r="B275" s="14">
        <v>1</v>
      </c>
    </row>
    <row r="276" spans="1:2" x14ac:dyDescent="0.25">
      <c r="A276" s="44" t="s">
        <v>30398</v>
      </c>
      <c r="B276" s="14">
        <v>1</v>
      </c>
    </row>
    <row r="277" spans="1:2" x14ac:dyDescent="0.25">
      <c r="A277" s="44" t="s">
        <v>30399</v>
      </c>
      <c r="B277" s="14">
        <v>1</v>
      </c>
    </row>
    <row r="278" spans="1:2" x14ac:dyDescent="0.25">
      <c r="A278" s="44" t="s">
        <v>30400</v>
      </c>
      <c r="B278" s="14">
        <v>1</v>
      </c>
    </row>
    <row r="279" spans="1:2" x14ac:dyDescent="0.25">
      <c r="A279" s="44" t="s">
        <v>30401</v>
      </c>
      <c r="B279" s="14">
        <v>1</v>
      </c>
    </row>
    <row r="280" spans="1:2" x14ac:dyDescent="0.25">
      <c r="A280" s="44" t="s">
        <v>30402</v>
      </c>
      <c r="B280" s="14">
        <v>1</v>
      </c>
    </row>
    <row r="281" spans="1:2" x14ac:dyDescent="0.25">
      <c r="A281" s="44" t="s">
        <v>30403</v>
      </c>
      <c r="B281" s="14">
        <v>1</v>
      </c>
    </row>
    <row r="282" spans="1:2" x14ac:dyDescent="0.25">
      <c r="A282" s="44" t="s">
        <v>30404</v>
      </c>
      <c r="B282" s="14">
        <v>1</v>
      </c>
    </row>
    <row r="283" spans="1:2" x14ac:dyDescent="0.25">
      <c r="A283" s="44" t="s">
        <v>30405</v>
      </c>
      <c r="B283" s="14">
        <v>1</v>
      </c>
    </row>
    <row r="284" spans="1:2" x14ac:dyDescent="0.25">
      <c r="A284" s="44" t="s">
        <v>30406</v>
      </c>
      <c r="B284" s="14">
        <v>1</v>
      </c>
    </row>
    <row r="285" spans="1:2" x14ac:dyDescent="0.25">
      <c r="A285" s="44" t="s">
        <v>30407</v>
      </c>
      <c r="B285" s="14">
        <v>1</v>
      </c>
    </row>
    <row r="286" spans="1:2" x14ac:dyDescent="0.25">
      <c r="A286" s="44" t="s">
        <v>30408</v>
      </c>
      <c r="B286" s="14">
        <v>1</v>
      </c>
    </row>
    <row r="287" spans="1:2" x14ac:dyDescent="0.25">
      <c r="A287" s="44" t="s">
        <v>30409</v>
      </c>
      <c r="B287" s="14">
        <v>1</v>
      </c>
    </row>
    <row r="288" spans="1:2" x14ac:dyDescent="0.25">
      <c r="A288" s="44" t="s">
        <v>30410</v>
      </c>
      <c r="B288" s="14">
        <v>1</v>
      </c>
    </row>
    <row r="289" spans="1:2" x14ac:dyDescent="0.25">
      <c r="A289" s="44" t="s">
        <v>30411</v>
      </c>
      <c r="B289" s="14">
        <v>1</v>
      </c>
    </row>
    <row r="290" spans="1:2" x14ac:dyDescent="0.25">
      <c r="A290" s="44" t="s">
        <v>30412</v>
      </c>
      <c r="B290" s="14">
        <v>1</v>
      </c>
    </row>
    <row r="291" spans="1:2" x14ac:dyDescent="0.25">
      <c r="A291" s="44" t="s">
        <v>30413</v>
      </c>
      <c r="B291" s="14">
        <v>1</v>
      </c>
    </row>
    <row r="292" spans="1:2" x14ac:dyDescent="0.25">
      <c r="A292" s="44" t="s">
        <v>30414</v>
      </c>
      <c r="B292" s="14">
        <v>1</v>
      </c>
    </row>
    <row r="293" spans="1:2" x14ac:dyDescent="0.25">
      <c r="A293" s="44" t="s">
        <v>30415</v>
      </c>
      <c r="B293" s="14">
        <v>1</v>
      </c>
    </row>
    <row r="294" spans="1:2" x14ac:dyDescent="0.25">
      <c r="A294" s="44" t="s">
        <v>30416</v>
      </c>
      <c r="B294" s="14">
        <v>1</v>
      </c>
    </row>
    <row r="295" spans="1:2" x14ac:dyDescent="0.25">
      <c r="A295" s="44" t="s">
        <v>30417</v>
      </c>
      <c r="B295" s="14">
        <v>1</v>
      </c>
    </row>
    <row r="296" spans="1:2" x14ac:dyDescent="0.25">
      <c r="A296" s="44" t="s">
        <v>30418</v>
      </c>
      <c r="B296" s="14">
        <v>1</v>
      </c>
    </row>
    <row r="297" spans="1:2" x14ac:dyDescent="0.25">
      <c r="A297" s="44" t="s">
        <v>30419</v>
      </c>
      <c r="B297" s="14">
        <v>1</v>
      </c>
    </row>
    <row r="298" spans="1:2" x14ac:dyDescent="0.25">
      <c r="A298" s="44" t="s">
        <v>30420</v>
      </c>
      <c r="B298" s="14">
        <v>1</v>
      </c>
    </row>
    <row r="299" spans="1:2" x14ac:dyDescent="0.25">
      <c r="A299" s="44" t="s">
        <v>30421</v>
      </c>
      <c r="B299" s="14">
        <v>1</v>
      </c>
    </row>
    <row r="300" spans="1:2" x14ac:dyDescent="0.25">
      <c r="A300" s="44" t="s">
        <v>30422</v>
      </c>
      <c r="B300" s="14">
        <v>1</v>
      </c>
    </row>
    <row r="301" spans="1:2" x14ac:dyDescent="0.25">
      <c r="A301" s="44" t="s">
        <v>30423</v>
      </c>
      <c r="B301" s="14">
        <v>1</v>
      </c>
    </row>
    <row r="302" spans="1:2" x14ac:dyDescent="0.25">
      <c r="A302" s="44" t="s">
        <v>30424</v>
      </c>
      <c r="B302" s="14">
        <v>1</v>
      </c>
    </row>
    <row r="303" spans="1:2" x14ac:dyDescent="0.25">
      <c r="A303" s="44" t="s">
        <v>30425</v>
      </c>
      <c r="B303" s="14">
        <v>1</v>
      </c>
    </row>
    <row r="304" spans="1:2" x14ac:dyDescent="0.25">
      <c r="A304" s="44" t="s">
        <v>30426</v>
      </c>
      <c r="B304" s="14">
        <v>1</v>
      </c>
    </row>
    <row r="305" spans="1:2" x14ac:dyDescent="0.25">
      <c r="A305" s="44" t="s">
        <v>30427</v>
      </c>
      <c r="B305" s="14">
        <v>1</v>
      </c>
    </row>
    <row r="306" spans="1:2" x14ac:dyDescent="0.25">
      <c r="A306" s="44" t="s">
        <v>30428</v>
      </c>
      <c r="B306" s="14">
        <v>1</v>
      </c>
    </row>
    <row r="307" spans="1:2" x14ac:dyDescent="0.25">
      <c r="A307" s="44" t="s">
        <v>30429</v>
      </c>
      <c r="B307" s="14">
        <v>1</v>
      </c>
    </row>
    <row r="308" spans="1:2" x14ac:dyDescent="0.25">
      <c r="A308" s="44" t="s">
        <v>30430</v>
      </c>
      <c r="B308" s="14">
        <v>1</v>
      </c>
    </row>
    <row r="309" spans="1:2" x14ac:dyDescent="0.25">
      <c r="A309" s="44" t="s">
        <v>30431</v>
      </c>
      <c r="B309" s="14">
        <v>1</v>
      </c>
    </row>
    <row r="310" spans="1:2" x14ac:dyDescent="0.25">
      <c r="A310" s="44" t="s">
        <v>30432</v>
      </c>
      <c r="B310" s="14">
        <v>1</v>
      </c>
    </row>
    <row r="311" spans="1:2" x14ac:dyDescent="0.25">
      <c r="A311" s="44" t="s">
        <v>30433</v>
      </c>
      <c r="B311" s="14">
        <v>1</v>
      </c>
    </row>
    <row r="312" spans="1:2" x14ac:dyDescent="0.25">
      <c r="A312" s="44" t="s">
        <v>30434</v>
      </c>
      <c r="B312" s="14">
        <v>1</v>
      </c>
    </row>
    <row r="313" spans="1:2" x14ac:dyDescent="0.25">
      <c r="A313" s="44" t="s">
        <v>30435</v>
      </c>
      <c r="B313" s="14">
        <v>1</v>
      </c>
    </row>
    <row r="314" spans="1:2" x14ac:dyDescent="0.25">
      <c r="A314" s="44" t="s">
        <v>30436</v>
      </c>
      <c r="B314" s="14">
        <v>1</v>
      </c>
    </row>
    <row r="315" spans="1:2" x14ac:dyDescent="0.25">
      <c r="A315" s="44" t="s">
        <v>30437</v>
      </c>
      <c r="B315" s="14">
        <v>1</v>
      </c>
    </row>
    <row r="316" spans="1:2" x14ac:dyDescent="0.25">
      <c r="A316" s="44" t="s">
        <v>30438</v>
      </c>
      <c r="B316" s="14">
        <v>1</v>
      </c>
    </row>
    <row r="317" spans="1:2" x14ac:dyDescent="0.25">
      <c r="A317" s="44" t="s">
        <v>30439</v>
      </c>
      <c r="B317" s="14">
        <v>1</v>
      </c>
    </row>
    <row r="318" spans="1:2" x14ac:dyDescent="0.25">
      <c r="A318" s="44" t="s">
        <v>30440</v>
      </c>
      <c r="B318" s="14">
        <v>1</v>
      </c>
    </row>
    <row r="319" spans="1:2" x14ac:dyDescent="0.25">
      <c r="A319" s="44" t="s">
        <v>30441</v>
      </c>
      <c r="B319" s="14">
        <v>1</v>
      </c>
    </row>
    <row r="320" spans="1:2" x14ac:dyDescent="0.25">
      <c r="A320" s="44" t="s">
        <v>30442</v>
      </c>
      <c r="B320" s="14">
        <v>1</v>
      </c>
    </row>
    <row r="321" spans="1:2" x14ac:dyDescent="0.25">
      <c r="A321" s="44" t="s">
        <v>30443</v>
      </c>
      <c r="B321" s="14">
        <v>1</v>
      </c>
    </row>
    <row r="322" spans="1:2" x14ac:dyDescent="0.25">
      <c r="A322" s="44" t="s">
        <v>30444</v>
      </c>
      <c r="B322" s="14">
        <v>1</v>
      </c>
    </row>
    <row r="323" spans="1:2" x14ac:dyDescent="0.25">
      <c r="A323" s="44" t="s">
        <v>30445</v>
      </c>
      <c r="B323" s="14">
        <v>1</v>
      </c>
    </row>
    <row r="324" spans="1:2" x14ac:dyDescent="0.25">
      <c r="A324" s="44" t="s">
        <v>30446</v>
      </c>
      <c r="B324" s="14">
        <v>1</v>
      </c>
    </row>
    <row r="325" spans="1:2" x14ac:dyDescent="0.25">
      <c r="A325" s="44" t="s">
        <v>209</v>
      </c>
      <c r="B325" s="14">
        <v>1</v>
      </c>
    </row>
    <row r="326" spans="1:2" x14ac:dyDescent="0.25">
      <c r="A326" s="44" t="s">
        <v>30447</v>
      </c>
      <c r="B326" s="14">
        <v>1</v>
      </c>
    </row>
    <row r="327" spans="1:2" x14ac:dyDescent="0.25">
      <c r="A327" s="44" t="s">
        <v>30448</v>
      </c>
      <c r="B327" s="14">
        <v>1</v>
      </c>
    </row>
    <row r="328" spans="1:2" x14ac:dyDescent="0.25">
      <c r="A328" s="44" t="s">
        <v>30449</v>
      </c>
      <c r="B328" s="14">
        <v>1</v>
      </c>
    </row>
    <row r="329" spans="1:2" x14ac:dyDescent="0.25">
      <c r="A329" s="44" t="s">
        <v>30450</v>
      </c>
      <c r="B329" s="14">
        <v>1</v>
      </c>
    </row>
    <row r="330" spans="1:2" x14ac:dyDescent="0.25">
      <c r="A330" s="44" t="s">
        <v>30451</v>
      </c>
      <c r="B330" s="14">
        <v>1</v>
      </c>
    </row>
    <row r="331" spans="1:2" x14ac:dyDescent="0.25">
      <c r="A331" s="44" t="s">
        <v>30452</v>
      </c>
      <c r="B331" s="14">
        <v>1</v>
      </c>
    </row>
    <row r="332" spans="1:2" x14ac:dyDescent="0.25">
      <c r="A332" s="44" t="s">
        <v>30453</v>
      </c>
      <c r="B332" s="14">
        <v>1</v>
      </c>
    </row>
    <row r="333" spans="1:2" x14ac:dyDescent="0.25">
      <c r="A333" s="44" t="s">
        <v>30454</v>
      </c>
      <c r="B333" s="14">
        <v>1</v>
      </c>
    </row>
    <row r="334" spans="1:2" x14ac:dyDescent="0.25">
      <c r="A334" s="44" t="s">
        <v>30455</v>
      </c>
      <c r="B334" s="14">
        <v>1</v>
      </c>
    </row>
    <row r="335" spans="1:2" x14ac:dyDescent="0.25">
      <c r="A335" s="44" t="s">
        <v>30456</v>
      </c>
      <c r="B335" s="14">
        <v>1</v>
      </c>
    </row>
    <row r="336" spans="1:2" x14ac:dyDescent="0.25">
      <c r="A336" s="44" t="s">
        <v>30457</v>
      </c>
      <c r="B336" s="14">
        <v>1</v>
      </c>
    </row>
    <row r="337" spans="1:2" x14ac:dyDescent="0.25">
      <c r="A337" s="44" t="s">
        <v>30458</v>
      </c>
      <c r="B337" s="14">
        <v>1</v>
      </c>
    </row>
    <row r="338" spans="1:2" x14ac:dyDescent="0.25">
      <c r="A338" s="44" t="s">
        <v>30459</v>
      </c>
      <c r="B338" s="14">
        <v>1</v>
      </c>
    </row>
    <row r="339" spans="1:2" x14ac:dyDescent="0.25">
      <c r="A339" s="44" t="s">
        <v>30460</v>
      </c>
      <c r="B339" s="14">
        <v>1</v>
      </c>
    </row>
    <row r="340" spans="1:2" x14ac:dyDescent="0.25">
      <c r="A340" s="44" t="s">
        <v>30461</v>
      </c>
      <c r="B340" s="14">
        <v>1</v>
      </c>
    </row>
    <row r="341" spans="1:2" x14ac:dyDescent="0.25">
      <c r="A341" s="44" t="s">
        <v>30462</v>
      </c>
      <c r="B341" s="14">
        <v>1</v>
      </c>
    </row>
    <row r="342" spans="1:2" x14ac:dyDescent="0.25">
      <c r="A342" s="44" t="s">
        <v>30463</v>
      </c>
      <c r="B342" s="14">
        <v>1</v>
      </c>
    </row>
    <row r="343" spans="1:2" x14ac:dyDescent="0.25">
      <c r="A343" s="44" t="s">
        <v>30464</v>
      </c>
      <c r="B343" s="14">
        <v>1</v>
      </c>
    </row>
    <row r="344" spans="1:2" x14ac:dyDescent="0.25">
      <c r="A344" s="44" t="s">
        <v>30465</v>
      </c>
      <c r="B344" s="14">
        <v>1</v>
      </c>
    </row>
    <row r="345" spans="1:2" x14ac:dyDescent="0.25">
      <c r="A345" s="44" t="s">
        <v>30466</v>
      </c>
      <c r="B345" s="14">
        <v>1</v>
      </c>
    </row>
    <row r="346" spans="1:2" x14ac:dyDescent="0.25">
      <c r="A346" s="44" t="s">
        <v>30467</v>
      </c>
      <c r="B346" s="14">
        <v>1</v>
      </c>
    </row>
    <row r="347" spans="1:2" x14ac:dyDescent="0.25">
      <c r="A347" s="44" t="s">
        <v>30468</v>
      </c>
      <c r="B347" s="14">
        <v>1</v>
      </c>
    </row>
    <row r="348" spans="1:2" x14ac:dyDescent="0.25">
      <c r="A348" s="44" t="s">
        <v>30469</v>
      </c>
      <c r="B348" s="14">
        <v>1</v>
      </c>
    </row>
    <row r="349" spans="1:2" x14ac:dyDescent="0.25">
      <c r="A349" s="44" t="s">
        <v>30470</v>
      </c>
      <c r="B349" s="14">
        <v>1</v>
      </c>
    </row>
    <row r="350" spans="1:2" x14ac:dyDescent="0.25">
      <c r="A350" s="44" t="s">
        <v>30471</v>
      </c>
      <c r="B350" s="14">
        <v>1</v>
      </c>
    </row>
    <row r="351" spans="1:2" x14ac:dyDescent="0.25">
      <c r="A351" s="44" t="s">
        <v>30472</v>
      </c>
      <c r="B351" s="14">
        <v>1</v>
      </c>
    </row>
    <row r="352" spans="1:2" x14ac:dyDescent="0.25">
      <c r="A352" s="44" t="s">
        <v>30473</v>
      </c>
      <c r="B352" s="14">
        <v>1</v>
      </c>
    </row>
    <row r="353" spans="1:2" x14ac:dyDescent="0.25">
      <c r="A353" s="44" t="s">
        <v>30474</v>
      </c>
      <c r="B353" s="14">
        <v>1</v>
      </c>
    </row>
    <row r="354" spans="1:2" x14ac:dyDescent="0.25">
      <c r="A354" s="44" t="s">
        <v>30475</v>
      </c>
      <c r="B354" s="14">
        <v>1</v>
      </c>
    </row>
    <row r="355" spans="1:2" x14ac:dyDescent="0.25">
      <c r="A355" s="44" t="s">
        <v>30476</v>
      </c>
      <c r="B355" s="14">
        <v>1</v>
      </c>
    </row>
    <row r="356" spans="1:2" x14ac:dyDescent="0.25">
      <c r="A356" s="44" t="s">
        <v>30477</v>
      </c>
      <c r="B356" s="14">
        <v>1</v>
      </c>
    </row>
    <row r="357" spans="1:2" x14ac:dyDescent="0.25">
      <c r="A357" s="44" t="s">
        <v>30478</v>
      </c>
      <c r="B357" s="14">
        <v>1</v>
      </c>
    </row>
    <row r="358" spans="1:2" x14ac:dyDescent="0.25">
      <c r="A358" s="44" t="s">
        <v>30479</v>
      </c>
      <c r="B358" s="14">
        <v>1</v>
      </c>
    </row>
    <row r="359" spans="1:2" x14ac:dyDescent="0.25">
      <c r="A359" s="44" t="s">
        <v>30480</v>
      </c>
      <c r="B359" s="14">
        <v>1</v>
      </c>
    </row>
    <row r="360" spans="1:2" x14ac:dyDescent="0.25">
      <c r="A360" s="44" t="s">
        <v>30481</v>
      </c>
      <c r="B360" s="14">
        <v>1</v>
      </c>
    </row>
    <row r="361" spans="1:2" x14ac:dyDescent="0.25">
      <c r="A361" s="44" t="s">
        <v>30482</v>
      </c>
      <c r="B361" s="14">
        <v>1</v>
      </c>
    </row>
    <row r="362" spans="1:2" x14ac:dyDescent="0.25">
      <c r="A362" s="44" t="s">
        <v>30483</v>
      </c>
      <c r="B362" s="14">
        <v>1</v>
      </c>
    </row>
    <row r="363" spans="1:2" x14ac:dyDescent="0.25">
      <c r="A363" s="44" t="s">
        <v>30484</v>
      </c>
      <c r="B363" s="14">
        <v>1</v>
      </c>
    </row>
    <row r="364" spans="1:2" x14ac:dyDescent="0.25">
      <c r="A364" s="44" t="s">
        <v>30485</v>
      </c>
      <c r="B364" s="14">
        <v>1</v>
      </c>
    </row>
    <row r="365" spans="1:2" x14ac:dyDescent="0.25">
      <c r="A365" s="44" t="s">
        <v>30486</v>
      </c>
      <c r="B365" s="14">
        <v>1</v>
      </c>
    </row>
    <row r="366" spans="1:2" x14ac:dyDescent="0.25">
      <c r="A366" s="44" t="s">
        <v>30487</v>
      </c>
      <c r="B366" s="14">
        <v>1</v>
      </c>
    </row>
    <row r="367" spans="1:2" x14ac:dyDescent="0.25">
      <c r="A367" s="44" t="s">
        <v>30488</v>
      </c>
      <c r="B367" s="14">
        <v>1</v>
      </c>
    </row>
    <row r="368" spans="1:2" x14ac:dyDescent="0.25">
      <c r="A368" s="44" t="s">
        <v>30489</v>
      </c>
      <c r="B368" s="14">
        <v>1</v>
      </c>
    </row>
    <row r="369" spans="1:2" x14ac:dyDescent="0.25">
      <c r="A369" s="44" t="s">
        <v>30490</v>
      </c>
      <c r="B369" s="14">
        <v>1</v>
      </c>
    </row>
    <row r="370" spans="1:2" x14ac:dyDescent="0.25">
      <c r="A370" s="44" t="s">
        <v>30491</v>
      </c>
      <c r="B370" s="14">
        <v>1</v>
      </c>
    </row>
    <row r="371" spans="1:2" x14ac:dyDescent="0.25">
      <c r="A371" s="44" t="s">
        <v>30492</v>
      </c>
      <c r="B371" s="14">
        <v>1</v>
      </c>
    </row>
    <row r="372" spans="1:2" x14ac:dyDescent="0.25">
      <c r="A372" s="44" t="s">
        <v>30493</v>
      </c>
      <c r="B372" s="14">
        <v>1</v>
      </c>
    </row>
    <row r="373" spans="1:2" x14ac:dyDescent="0.25">
      <c r="A373" s="44" t="s">
        <v>30494</v>
      </c>
      <c r="B373" s="14">
        <v>1</v>
      </c>
    </row>
    <row r="374" spans="1:2" x14ac:dyDescent="0.25">
      <c r="A374" s="44" t="s">
        <v>30495</v>
      </c>
      <c r="B374" s="14">
        <v>1</v>
      </c>
    </row>
    <row r="375" spans="1:2" x14ac:dyDescent="0.25">
      <c r="A375" s="44" t="s">
        <v>30496</v>
      </c>
      <c r="B375" s="14">
        <v>1</v>
      </c>
    </row>
    <row r="376" spans="1:2" x14ac:dyDescent="0.25">
      <c r="A376" s="44" t="s">
        <v>30497</v>
      </c>
      <c r="B376" s="14">
        <v>1</v>
      </c>
    </row>
    <row r="377" spans="1:2" x14ac:dyDescent="0.25">
      <c r="A377" s="44" t="s">
        <v>30498</v>
      </c>
      <c r="B377" s="14">
        <v>1</v>
      </c>
    </row>
    <row r="378" spans="1:2" x14ac:dyDescent="0.25">
      <c r="A378" s="44" t="s">
        <v>30499</v>
      </c>
      <c r="B378" s="14">
        <v>1</v>
      </c>
    </row>
    <row r="379" spans="1:2" x14ac:dyDescent="0.25">
      <c r="A379" s="44" t="s">
        <v>30500</v>
      </c>
      <c r="B379" s="14">
        <v>1</v>
      </c>
    </row>
    <row r="380" spans="1:2" x14ac:dyDescent="0.25">
      <c r="A380" s="44" t="s">
        <v>30501</v>
      </c>
      <c r="B380" s="14">
        <v>1</v>
      </c>
    </row>
    <row r="381" spans="1:2" x14ac:dyDescent="0.25">
      <c r="A381" s="44" t="s">
        <v>30502</v>
      </c>
      <c r="B381" s="14">
        <v>1</v>
      </c>
    </row>
    <row r="382" spans="1:2" x14ac:dyDescent="0.25">
      <c r="A382" s="44" t="s">
        <v>30503</v>
      </c>
      <c r="B382" s="14">
        <v>1</v>
      </c>
    </row>
    <row r="383" spans="1:2" x14ac:dyDescent="0.25">
      <c r="A383" s="44" t="s">
        <v>30504</v>
      </c>
      <c r="B383" s="14">
        <v>1</v>
      </c>
    </row>
    <row r="384" spans="1:2" x14ac:dyDescent="0.25">
      <c r="A384" s="44" t="s">
        <v>30505</v>
      </c>
      <c r="B384" s="14">
        <v>1</v>
      </c>
    </row>
    <row r="385" spans="1:2" x14ac:dyDescent="0.25">
      <c r="A385" s="44" t="s">
        <v>30506</v>
      </c>
      <c r="B385" s="14">
        <v>1</v>
      </c>
    </row>
    <row r="386" spans="1:2" x14ac:dyDescent="0.25">
      <c r="A386" s="44" t="s">
        <v>30507</v>
      </c>
      <c r="B386" s="14">
        <v>1</v>
      </c>
    </row>
    <row r="387" spans="1:2" x14ac:dyDescent="0.25">
      <c r="A387" s="44" t="s">
        <v>30508</v>
      </c>
      <c r="B387" s="14">
        <v>1</v>
      </c>
    </row>
    <row r="388" spans="1:2" x14ac:dyDescent="0.25">
      <c r="A388" s="44" t="s">
        <v>30509</v>
      </c>
      <c r="B388" s="14">
        <v>1</v>
      </c>
    </row>
    <row r="389" spans="1:2" x14ac:dyDescent="0.25">
      <c r="A389" s="44" t="s">
        <v>30510</v>
      </c>
      <c r="B389" s="14">
        <v>1</v>
      </c>
    </row>
    <row r="390" spans="1:2" x14ac:dyDescent="0.25">
      <c r="A390" s="44" t="s">
        <v>30511</v>
      </c>
      <c r="B390" s="14">
        <v>1</v>
      </c>
    </row>
    <row r="391" spans="1:2" x14ac:dyDescent="0.25">
      <c r="A391" s="44" t="s">
        <v>30512</v>
      </c>
      <c r="B391" s="14">
        <v>1</v>
      </c>
    </row>
    <row r="392" spans="1:2" x14ac:dyDescent="0.25">
      <c r="A392" s="44" t="s">
        <v>30513</v>
      </c>
      <c r="B392" s="14">
        <v>1</v>
      </c>
    </row>
    <row r="393" spans="1:2" x14ac:dyDescent="0.25">
      <c r="A393" s="44" t="s">
        <v>30514</v>
      </c>
      <c r="B393" s="14">
        <v>1</v>
      </c>
    </row>
    <row r="394" spans="1:2" x14ac:dyDescent="0.25">
      <c r="A394" s="44" t="s">
        <v>30515</v>
      </c>
      <c r="B394" s="14">
        <v>1</v>
      </c>
    </row>
    <row r="395" spans="1:2" x14ac:dyDescent="0.25">
      <c r="A395" s="44" t="s">
        <v>30516</v>
      </c>
      <c r="B395" s="14">
        <v>1</v>
      </c>
    </row>
    <row r="396" spans="1:2" x14ac:dyDescent="0.25">
      <c r="A396" s="44" t="s">
        <v>30517</v>
      </c>
      <c r="B396" s="14">
        <v>1</v>
      </c>
    </row>
    <row r="397" spans="1:2" x14ac:dyDescent="0.25">
      <c r="A397" s="44" t="s">
        <v>30518</v>
      </c>
      <c r="B397" s="14">
        <v>1</v>
      </c>
    </row>
    <row r="398" spans="1:2" x14ac:dyDescent="0.25">
      <c r="A398" s="44" t="s">
        <v>30519</v>
      </c>
      <c r="B398" s="14">
        <v>1</v>
      </c>
    </row>
    <row r="399" spans="1:2" x14ac:dyDescent="0.25">
      <c r="A399" s="44" t="s">
        <v>30520</v>
      </c>
      <c r="B399" s="14">
        <v>1</v>
      </c>
    </row>
    <row r="400" spans="1:2" x14ac:dyDescent="0.25">
      <c r="A400" s="44" t="s">
        <v>30521</v>
      </c>
      <c r="B400" s="14">
        <v>1</v>
      </c>
    </row>
    <row r="401" spans="1:2" x14ac:dyDescent="0.25">
      <c r="A401" s="44" t="s">
        <v>30522</v>
      </c>
      <c r="B401" s="14">
        <v>1</v>
      </c>
    </row>
    <row r="402" spans="1:2" x14ac:dyDescent="0.25">
      <c r="A402" s="44" t="s">
        <v>30523</v>
      </c>
      <c r="B402" s="14">
        <v>1</v>
      </c>
    </row>
    <row r="403" spans="1:2" x14ac:dyDescent="0.25">
      <c r="A403" s="44" t="s">
        <v>30524</v>
      </c>
      <c r="B403" s="14">
        <v>1</v>
      </c>
    </row>
    <row r="404" spans="1:2" x14ac:dyDescent="0.25">
      <c r="A404" s="44" t="s">
        <v>30525</v>
      </c>
      <c r="B404" s="14">
        <v>1</v>
      </c>
    </row>
    <row r="405" spans="1:2" x14ac:dyDescent="0.25">
      <c r="A405" s="44" t="s">
        <v>30526</v>
      </c>
      <c r="B405" s="14">
        <v>1</v>
      </c>
    </row>
    <row r="406" spans="1:2" x14ac:dyDescent="0.25">
      <c r="A406" s="44" t="s">
        <v>30527</v>
      </c>
      <c r="B406" s="14">
        <v>1</v>
      </c>
    </row>
    <row r="407" spans="1:2" x14ac:dyDescent="0.25">
      <c r="A407" s="44" t="s">
        <v>30528</v>
      </c>
      <c r="B407" s="14">
        <v>1</v>
      </c>
    </row>
    <row r="408" spans="1:2" x14ac:dyDescent="0.25">
      <c r="A408" s="44" t="s">
        <v>30529</v>
      </c>
      <c r="B408" s="14">
        <v>1</v>
      </c>
    </row>
    <row r="409" spans="1:2" x14ac:dyDescent="0.25">
      <c r="A409" s="44" t="s">
        <v>30530</v>
      </c>
      <c r="B409" s="14">
        <v>1</v>
      </c>
    </row>
    <row r="410" spans="1:2" x14ac:dyDescent="0.25">
      <c r="A410" s="44" t="s">
        <v>30531</v>
      </c>
      <c r="B410" s="14">
        <v>1</v>
      </c>
    </row>
    <row r="411" spans="1:2" x14ac:dyDescent="0.25">
      <c r="A411" s="44" t="s">
        <v>30532</v>
      </c>
      <c r="B411" s="14">
        <v>1</v>
      </c>
    </row>
    <row r="412" spans="1:2" x14ac:dyDescent="0.25">
      <c r="A412" s="44" t="s">
        <v>30533</v>
      </c>
      <c r="B412" s="14">
        <v>1</v>
      </c>
    </row>
    <row r="413" spans="1:2" x14ac:dyDescent="0.25">
      <c r="A413" s="44" t="s">
        <v>30534</v>
      </c>
      <c r="B413" s="14">
        <v>1</v>
      </c>
    </row>
    <row r="414" spans="1:2" x14ac:dyDescent="0.25">
      <c r="A414" s="44" t="s">
        <v>30535</v>
      </c>
      <c r="B414" s="14">
        <v>1</v>
      </c>
    </row>
    <row r="415" spans="1:2" x14ac:dyDescent="0.25">
      <c r="A415" s="44" t="s">
        <v>30536</v>
      </c>
      <c r="B415" s="14">
        <v>1</v>
      </c>
    </row>
    <row r="416" spans="1:2" x14ac:dyDescent="0.25">
      <c r="A416" s="44" t="s">
        <v>30537</v>
      </c>
      <c r="B416" s="14">
        <v>1</v>
      </c>
    </row>
    <row r="417" spans="1:2" x14ac:dyDescent="0.25">
      <c r="A417" s="44" t="s">
        <v>30538</v>
      </c>
      <c r="B417" s="14">
        <v>1</v>
      </c>
    </row>
    <row r="418" spans="1:2" x14ac:dyDescent="0.25">
      <c r="A418" s="44" t="s">
        <v>30539</v>
      </c>
      <c r="B418" s="14">
        <v>1</v>
      </c>
    </row>
    <row r="419" spans="1:2" x14ac:dyDescent="0.25">
      <c r="A419" s="44" t="s">
        <v>95</v>
      </c>
      <c r="B419" s="14">
        <v>1</v>
      </c>
    </row>
    <row r="420" spans="1:2" x14ac:dyDescent="0.25">
      <c r="A420" s="44" t="s">
        <v>30540</v>
      </c>
      <c r="B420" s="14">
        <v>1</v>
      </c>
    </row>
    <row r="421" spans="1:2" x14ac:dyDescent="0.25">
      <c r="A421" s="44" t="s">
        <v>30541</v>
      </c>
      <c r="B421" s="14">
        <v>1</v>
      </c>
    </row>
    <row r="422" spans="1:2" x14ac:dyDescent="0.25">
      <c r="A422" s="44" t="s">
        <v>30542</v>
      </c>
      <c r="B422" s="14">
        <v>1</v>
      </c>
    </row>
    <row r="423" spans="1:2" x14ac:dyDescent="0.25">
      <c r="A423" s="44" t="s">
        <v>30543</v>
      </c>
      <c r="B423" s="14">
        <v>1</v>
      </c>
    </row>
    <row r="424" spans="1:2" x14ac:dyDescent="0.25">
      <c r="A424" s="44" t="s">
        <v>30544</v>
      </c>
      <c r="B424" s="14">
        <v>1</v>
      </c>
    </row>
    <row r="425" spans="1:2" x14ac:dyDescent="0.25">
      <c r="A425" s="44" t="s">
        <v>30545</v>
      </c>
      <c r="B425" s="14">
        <v>1</v>
      </c>
    </row>
    <row r="426" spans="1:2" x14ac:dyDescent="0.25">
      <c r="A426" s="44" t="s">
        <v>30546</v>
      </c>
      <c r="B426" s="14">
        <v>1</v>
      </c>
    </row>
    <row r="427" spans="1:2" x14ac:dyDescent="0.25">
      <c r="A427" s="44" t="s">
        <v>30547</v>
      </c>
      <c r="B427" s="14">
        <v>1</v>
      </c>
    </row>
    <row r="428" spans="1:2" x14ac:dyDescent="0.25">
      <c r="A428" s="44" t="s">
        <v>30548</v>
      </c>
      <c r="B428" s="14">
        <v>1</v>
      </c>
    </row>
    <row r="429" spans="1:2" x14ac:dyDescent="0.25">
      <c r="A429" s="44" t="s">
        <v>30549</v>
      </c>
      <c r="B429" s="14">
        <v>1</v>
      </c>
    </row>
    <row r="430" spans="1:2" x14ac:dyDescent="0.25">
      <c r="A430" s="44" t="s">
        <v>30550</v>
      </c>
      <c r="B430" s="14">
        <v>1</v>
      </c>
    </row>
    <row r="431" spans="1:2" x14ac:dyDescent="0.25">
      <c r="A431" s="44" t="s">
        <v>30551</v>
      </c>
      <c r="B431" s="14">
        <v>1</v>
      </c>
    </row>
    <row r="432" spans="1:2" x14ac:dyDescent="0.25">
      <c r="A432" s="44" t="s">
        <v>30552</v>
      </c>
      <c r="B432" s="14">
        <v>1</v>
      </c>
    </row>
    <row r="433" spans="1:2" x14ac:dyDescent="0.25">
      <c r="A433" s="44" t="s">
        <v>30553</v>
      </c>
      <c r="B433" s="14">
        <v>1</v>
      </c>
    </row>
    <row r="434" spans="1:2" x14ac:dyDescent="0.25">
      <c r="A434" s="44" t="s">
        <v>30554</v>
      </c>
      <c r="B434" s="14">
        <v>1</v>
      </c>
    </row>
    <row r="435" spans="1:2" x14ac:dyDescent="0.25">
      <c r="A435" s="44" t="s">
        <v>30555</v>
      </c>
      <c r="B435" s="14">
        <v>1</v>
      </c>
    </row>
    <row r="436" spans="1:2" x14ac:dyDescent="0.25">
      <c r="A436" s="44" t="s">
        <v>30556</v>
      </c>
      <c r="B436" s="14">
        <v>1</v>
      </c>
    </row>
    <row r="437" spans="1:2" x14ac:dyDescent="0.25">
      <c r="A437" s="44" t="s">
        <v>30557</v>
      </c>
      <c r="B437" s="14">
        <v>1</v>
      </c>
    </row>
    <row r="438" spans="1:2" x14ac:dyDescent="0.25">
      <c r="A438" s="44" t="s">
        <v>30558</v>
      </c>
      <c r="B438" s="14">
        <v>1</v>
      </c>
    </row>
    <row r="439" spans="1:2" x14ac:dyDescent="0.25">
      <c r="A439" s="44" t="s">
        <v>30559</v>
      </c>
      <c r="B439" s="14">
        <v>1</v>
      </c>
    </row>
    <row r="440" spans="1:2" x14ac:dyDescent="0.25">
      <c r="A440" s="44" t="s">
        <v>30560</v>
      </c>
      <c r="B440" s="14">
        <v>1</v>
      </c>
    </row>
    <row r="441" spans="1:2" x14ac:dyDescent="0.25">
      <c r="A441" s="44" t="s">
        <v>30561</v>
      </c>
      <c r="B441" s="14">
        <v>1</v>
      </c>
    </row>
    <row r="442" spans="1:2" x14ac:dyDescent="0.25">
      <c r="A442" s="44" t="s">
        <v>30562</v>
      </c>
      <c r="B442" s="14">
        <v>1</v>
      </c>
    </row>
    <row r="443" spans="1:2" x14ac:dyDescent="0.25">
      <c r="A443" s="44" t="s">
        <v>30563</v>
      </c>
      <c r="B443" s="14">
        <v>1</v>
      </c>
    </row>
    <row r="444" spans="1:2" x14ac:dyDescent="0.25">
      <c r="A444" s="44" t="s">
        <v>30564</v>
      </c>
      <c r="B444" s="14">
        <v>1</v>
      </c>
    </row>
    <row r="445" spans="1:2" x14ac:dyDescent="0.25">
      <c r="A445" s="44" t="s">
        <v>30565</v>
      </c>
      <c r="B445" s="14">
        <v>1</v>
      </c>
    </row>
    <row r="446" spans="1:2" x14ac:dyDescent="0.25">
      <c r="A446" s="44" t="s">
        <v>30566</v>
      </c>
      <c r="B446" s="14">
        <v>1</v>
      </c>
    </row>
    <row r="447" spans="1:2" x14ac:dyDescent="0.25">
      <c r="A447" s="44" t="s">
        <v>30567</v>
      </c>
      <c r="B447" s="14">
        <v>1</v>
      </c>
    </row>
    <row r="448" spans="1:2" x14ac:dyDescent="0.25">
      <c r="A448" s="44" t="s">
        <v>30568</v>
      </c>
      <c r="B448" s="14">
        <v>1</v>
      </c>
    </row>
    <row r="449" spans="1:2" x14ac:dyDescent="0.25">
      <c r="A449" s="44" t="s">
        <v>30569</v>
      </c>
      <c r="B449" s="14">
        <v>1</v>
      </c>
    </row>
    <row r="450" spans="1:2" x14ac:dyDescent="0.25">
      <c r="A450" s="44" t="s">
        <v>30570</v>
      </c>
      <c r="B450" s="14">
        <v>1</v>
      </c>
    </row>
    <row r="451" spans="1:2" x14ac:dyDescent="0.25">
      <c r="A451" s="44" t="s">
        <v>30571</v>
      </c>
      <c r="B451" s="14">
        <v>1</v>
      </c>
    </row>
    <row r="452" spans="1:2" x14ac:dyDescent="0.25">
      <c r="A452" s="44" t="s">
        <v>30572</v>
      </c>
      <c r="B452" s="14">
        <v>1</v>
      </c>
    </row>
    <row r="453" spans="1:2" x14ac:dyDescent="0.25">
      <c r="A453" s="44" t="s">
        <v>30573</v>
      </c>
      <c r="B453" s="14">
        <v>1</v>
      </c>
    </row>
    <row r="454" spans="1:2" x14ac:dyDescent="0.25">
      <c r="A454" s="44" t="s">
        <v>30574</v>
      </c>
      <c r="B454" s="14">
        <v>1</v>
      </c>
    </row>
    <row r="455" spans="1:2" x14ac:dyDescent="0.25">
      <c r="A455" s="44" t="s">
        <v>30575</v>
      </c>
      <c r="B455" s="14">
        <v>1</v>
      </c>
    </row>
    <row r="456" spans="1:2" x14ac:dyDescent="0.25">
      <c r="A456" s="44" t="s">
        <v>30576</v>
      </c>
      <c r="B456" s="14">
        <v>1</v>
      </c>
    </row>
    <row r="457" spans="1:2" x14ac:dyDescent="0.25">
      <c r="A457" s="44" t="s">
        <v>30577</v>
      </c>
      <c r="B457" s="14">
        <v>1</v>
      </c>
    </row>
    <row r="458" spans="1:2" x14ac:dyDescent="0.25">
      <c r="A458" s="44" t="s">
        <v>30578</v>
      </c>
      <c r="B458" s="14">
        <v>1</v>
      </c>
    </row>
    <row r="459" spans="1:2" x14ac:dyDescent="0.25">
      <c r="A459" s="44" t="s">
        <v>30579</v>
      </c>
      <c r="B459" s="14">
        <v>1</v>
      </c>
    </row>
    <row r="460" spans="1:2" x14ac:dyDescent="0.25">
      <c r="A460" s="44" t="s">
        <v>30580</v>
      </c>
      <c r="B460" s="14">
        <v>1</v>
      </c>
    </row>
    <row r="461" spans="1:2" x14ac:dyDescent="0.25">
      <c r="A461" s="44" t="s">
        <v>30581</v>
      </c>
      <c r="B461" s="14">
        <v>1</v>
      </c>
    </row>
    <row r="462" spans="1:2" x14ac:dyDescent="0.25">
      <c r="A462" s="44" t="s">
        <v>30582</v>
      </c>
      <c r="B462" s="14">
        <v>1</v>
      </c>
    </row>
    <row r="463" spans="1:2" x14ac:dyDescent="0.25">
      <c r="A463" s="44" t="s">
        <v>30583</v>
      </c>
      <c r="B463" s="14">
        <v>1</v>
      </c>
    </row>
    <row r="464" spans="1:2" x14ac:dyDescent="0.25">
      <c r="A464" s="44" t="s">
        <v>30584</v>
      </c>
      <c r="B464" s="14">
        <v>1</v>
      </c>
    </row>
    <row r="465" spans="1:2" x14ac:dyDescent="0.25">
      <c r="A465" s="44" t="s">
        <v>30585</v>
      </c>
      <c r="B465" s="14">
        <v>1</v>
      </c>
    </row>
    <row r="466" spans="1:2" x14ac:dyDescent="0.25">
      <c r="A466" s="44" t="s">
        <v>30586</v>
      </c>
      <c r="B466" s="14">
        <v>1</v>
      </c>
    </row>
    <row r="467" spans="1:2" x14ac:dyDescent="0.25">
      <c r="A467" s="44" t="s">
        <v>30587</v>
      </c>
      <c r="B467" s="14">
        <v>1</v>
      </c>
    </row>
    <row r="468" spans="1:2" x14ac:dyDescent="0.25">
      <c r="A468" s="44" t="s">
        <v>30588</v>
      </c>
      <c r="B468" s="14">
        <v>1</v>
      </c>
    </row>
    <row r="469" spans="1:2" x14ac:dyDescent="0.25">
      <c r="A469" s="44" t="s">
        <v>30589</v>
      </c>
      <c r="B469" s="14">
        <v>1</v>
      </c>
    </row>
    <row r="470" spans="1:2" x14ac:dyDescent="0.25">
      <c r="A470" s="44" t="s">
        <v>30590</v>
      </c>
      <c r="B470" s="14">
        <v>1</v>
      </c>
    </row>
    <row r="471" spans="1:2" x14ac:dyDescent="0.25">
      <c r="A471" s="44" t="s">
        <v>30591</v>
      </c>
      <c r="B471" s="14">
        <v>1</v>
      </c>
    </row>
    <row r="472" spans="1:2" x14ac:dyDescent="0.25">
      <c r="A472" s="44" t="s">
        <v>30592</v>
      </c>
      <c r="B472" s="14">
        <v>1</v>
      </c>
    </row>
    <row r="473" spans="1:2" x14ac:dyDescent="0.25">
      <c r="A473" s="44" t="s">
        <v>30593</v>
      </c>
      <c r="B473" s="14">
        <v>1</v>
      </c>
    </row>
    <row r="474" spans="1:2" x14ac:dyDescent="0.25">
      <c r="A474" s="44" t="s">
        <v>30594</v>
      </c>
      <c r="B474" s="14">
        <v>1</v>
      </c>
    </row>
    <row r="475" spans="1:2" x14ac:dyDescent="0.25">
      <c r="A475" s="44" t="s">
        <v>30595</v>
      </c>
      <c r="B475" s="14">
        <v>1</v>
      </c>
    </row>
    <row r="476" spans="1:2" x14ac:dyDescent="0.25">
      <c r="A476" s="44" t="s">
        <v>30596</v>
      </c>
      <c r="B476" s="14">
        <v>1</v>
      </c>
    </row>
    <row r="477" spans="1:2" x14ac:dyDescent="0.25">
      <c r="A477" s="44" t="s">
        <v>30597</v>
      </c>
      <c r="B477" s="14">
        <v>1</v>
      </c>
    </row>
    <row r="478" spans="1:2" x14ac:dyDescent="0.25">
      <c r="A478" s="44" t="s">
        <v>30598</v>
      </c>
      <c r="B478" s="14">
        <v>1</v>
      </c>
    </row>
    <row r="479" spans="1:2" x14ac:dyDescent="0.25">
      <c r="A479" s="44" t="s">
        <v>30599</v>
      </c>
      <c r="B479" s="14">
        <v>1</v>
      </c>
    </row>
    <row r="480" spans="1:2" x14ac:dyDescent="0.25">
      <c r="A480" s="44" t="s">
        <v>30600</v>
      </c>
      <c r="B480" s="14">
        <v>1</v>
      </c>
    </row>
    <row r="481" spans="1:2" x14ac:dyDescent="0.25">
      <c r="A481" s="44" t="s">
        <v>30601</v>
      </c>
      <c r="B481" s="14">
        <v>1</v>
      </c>
    </row>
    <row r="482" spans="1:2" x14ac:dyDescent="0.25">
      <c r="A482" s="44" t="s">
        <v>30602</v>
      </c>
      <c r="B482" s="14">
        <v>1</v>
      </c>
    </row>
    <row r="483" spans="1:2" x14ac:dyDescent="0.25">
      <c r="A483" s="44" t="s">
        <v>30603</v>
      </c>
      <c r="B483" s="14">
        <v>1</v>
      </c>
    </row>
    <row r="484" spans="1:2" x14ac:dyDescent="0.25">
      <c r="A484" s="44" t="s">
        <v>30604</v>
      </c>
      <c r="B484" s="14">
        <v>1</v>
      </c>
    </row>
    <row r="485" spans="1:2" x14ac:dyDescent="0.25">
      <c r="A485" s="44" t="s">
        <v>30605</v>
      </c>
      <c r="B485" s="14">
        <v>1</v>
      </c>
    </row>
    <row r="486" spans="1:2" x14ac:dyDescent="0.25">
      <c r="A486" s="44" t="s">
        <v>30606</v>
      </c>
      <c r="B486" s="14">
        <v>1</v>
      </c>
    </row>
    <row r="487" spans="1:2" x14ac:dyDescent="0.25">
      <c r="A487" s="44" t="s">
        <v>30607</v>
      </c>
      <c r="B487" s="14">
        <v>1</v>
      </c>
    </row>
    <row r="488" spans="1:2" x14ac:dyDescent="0.25">
      <c r="A488" s="44" t="s">
        <v>30608</v>
      </c>
      <c r="B488" s="14">
        <v>1</v>
      </c>
    </row>
    <row r="489" spans="1:2" x14ac:dyDescent="0.25">
      <c r="A489" s="44" t="s">
        <v>30609</v>
      </c>
      <c r="B489" s="14">
        <v>1</v>
      </c>
    </row>
    <row r="490" spans="1:2" x14ac:dyDescent="0.25">
      <c r="A490" s="44" t="s">
        <v>30610</v>
      </c>
      <c r="B490" s="14">
        <v>1</v>
      </c>
    </row>
    <row r="491" spans="1:2" x14ac:dyDescent="0.25">
      <c r="A491" s="44" t="s">
        <v>30611</v>
      </c>
      <c r="B491" s="14">
        <v>1</v>
      </c>
    </row>
    <row r="492" spans="1:2" x14ac:dyDescent="0.25">
      <c r="A492" s="44" t="s">
        <v>30612</v>
      </c>
      <c r="B492" s="14">
        <v>1</v>
      </c>
    </row>
    <row r="493" spans="1:2" x14ac:dyDescent="0.25">
      <c r="A493" s="44" t="s">
        <v>30613</v>
      </c>
      <c r="B493" s="14">
        <v>1</v>
      </c>
    </row>
    <row r="494" spans="1:2" x14ac:dyDescent="0.25">
      <c r="A494" s="44" t="s">
        <v>30614</v>
      </c>
      <c r="B494" s="14">
        <v>1</v>
      </c>
    </row>
    <row r="495" spans="1:2" x14ac:dyDescent="0.25">
      <c r="A495" s="44" t="s">
        <v>30615</v>
      </c>
      <c r="B495" s="14">
        <v>1</v>
      </c>
    </row>
    <row r="496" spans="1:2" x14ac:dyDescent="0.25">
      <c r="A496" s="44" t="s">
        <v>30616</v>
      </c>
      <c r="B496" s="14">
        <v>1</v>
      </c>
    </row>
    <row r="497" spans="1:2" x14ac:dyDescent="0.25">
      <c r="A497" s="44" t="s">
        <v>30617</v>
      </c>
      <c r="B497" s="14">
        <v>1</v>
      </c>
    </row>
    <row r="498" spans="1:2" x14ac:dyDescent="0.25">
      <c r="A498" s="44" t="s">
        <v>30618</v>
      </c>
      <c r="B498" s="14">
        <v>1</v>
      </c>
    </row>
    <row r="499" spans="1:2" x14ac:dyDescent="0.25">
      <c r="A499" s="44" t="s">
        <v>30619</v>
      </c>
      <c r="B499" s="14">
        <v>1</v>
      </c>
    </row>
    <row r="500" spans="1:2" x14ac:dyDescent="0.25">
      <c r="A500" s="44" t="s">
        <v>30620</v>
      </c>
      <c r="B500" s="14">
        <v>1</v>
      </c>
    </row>
    <row r="501" spans="1:2" x14ac:dyDescent="0.25">
      <c r="A501" s="44" t="s">
        <v>30621</v>
      </c>
      <c r="B501" s="14">
        <v>1</v>
      </c>
    </row>
    <row r="502" spans="1:2" x14ac:dyDescent="0.25">
      <c r="A502" s="44" t="s">
        <v>30622</v>
      </c>
      <c r="B502" s="14">
        <v>1</v>
      </c>
    </row>
    <row r="503" spans="1:2" x14ac:dyDescent="0.25">
      <c r="A503" s="44" t="s">
        <v>30623</v>
      </c>
      <c r="B503" s="14">
        <v>1</v>
      </c>
    </row>
    <row r="504" spans="1:2" x14ac:dyDescent="0.25">
      <c r="A504" s="44" t="s">
        <v>30624</v>
      </c>
      <c r="B504" s="14">
        <v>1</v>
      </c>
    </row>
    <row r="505" spans="1:2" x14ac:dyDescent="0.25">
      <c r="A505" s="44" t="s">
        <v>30625</v>
      </c>
      <c r="B505" s="14">
        <v>1</v>
      </c>
    </row>
    <row r="506" spans="1:2" x14ac:dyDescent="0.25">
      <c r="A506" s="44" t="s">
        <v>30626</v>
      </c>
      <c r="B506" s="14">
        <v>1</v>
      </c>
    </row>
    <row r="507" spans="1:2" x14ac:dyDescent="0.25">
      <c r="A507" s="44" t="s">
        <v>30627</v>
      </c>
      <c r="B507" s="14">
        <v>1</v>
      </c>
    </row>
    <row r="508" spans="1:2" x14ac:dyDescent="0.25">
      <c r="A508" s="44" t="s">
        <v>30628</v>
      </c>
      <c r="B508" s="14">
        <v>1</v>
      </c>
    </row>
    <row r="509" spans="1:2" x14ac:dyDescent="0.25">
      <c r="A509" s="44" t="s">
        <v>30629</v>
      </c>
      <c r="B509" s="14">
        <v>1</v>
      </c>
    </row>
    <row r="510" spans="1:2" x14ac:dyDescent="0.25">
      <c r="A510" s="44" t="s">
        <v>30630</v>
      </c>
      <c r="B510" s="14">
        <v>1</v>
      </c>
    </row>
    <row r="511" spans="1:2" x14ac:dyDescent="0.25">
      <c r="A511" s="44" t="s">
        <v>30631</v>
      </c>
      <c r="B511" s="14">
        <v>1</v>
      </c>
    </row>
    <row r="512" spans="1:2" x14ac:dyDescent="0.25">
      <c r="A512" s="44" t="s">
        <v>30632</v>
      </c>
      <c r="B512" s="14">
        <v>1</v>
      </c>
    </row>
    <row r="513" spans="1:2" x14ac:dyDescent="0.25">
      <c r="A513" s="44" t="s">
        <v>30633</v>
      </c>
      <c r="B513" s="14">
        <v>1</v>
      </c>
    </row>
    <row r="514" spans="1:2" x14ac:dyDescent="0.25">
      <c r="A514" s="44" t="s">
        <v>30634</v>
      </c>
      <c r="B514" s="14">
        <v>1</v>
      </c>
    </row>
    <row r="515" spans="1:2" x14ac:dyDescent="0.25">
      <c r="A515" s="44" t="s">
        <v>30635</v>
      </c>
      <c r="B515" s="14">
        <v>1</v>
      </c>
    </row>
    <row r="516" spans="1:2" x14ac:dyDescent="0.25">
      <c r="A516" s="44" t="s">
        <v>30636</v>
      </c>
      <c r="B516" s="14">
        <v>1</v>
      </c>
    </row>
    <row r="517" spans="1:2" x14ac:dyDescent="0.25">
      <c r="A517" s="44" t="s">
        <v>30637</v>
      </c>
      <c r="B517" s="14">
        <v>1</v>
      </c>
    </row>
    <row r="518" spans="1:2" x14ac:dyDescent="0.25">
      <c r="A518" s="44" t="s">
        <v>30638</v>
      </c>
      <c r="B518" s="14">
        <v>1</v>
      </c>
    </row>
    <row r="519" spans="1:2" x14ac:dyDescent="0.25">
      <c r="A519" s="44" t="s">
        <v>30639</v>
      </c>
      <c r="B519" s="14">
        <v>1</v>
      </c>
    </row>
    <row r="520" spans="1:2" x14ac:dyDescent="0.25">
      <c r="A520" s="44" t="s">
        <v>30640</v>
      </c>
      <c r="B520" s="14">
        <v>1</v>
      </c>
    </row>
    <row r="521" spans="1:2" x14ac:dyDescent="0.25">
      <c r="A521" s="44" t="s">
        <v>30641</v>
      </c>
      <c r="B521" s="14">
        <v>1</v>
      </c>
    </row>
    <row r="522" spans="1:2" x14ac:dyDescent="0.25">
      <c r="A522" s="44" t="s">
        <v>30642</v>
      </c>
      <c r="B522" s="14">
        <v>1</v>
      </c>
    </row>
    <row r="523" spans="1:2" x14ac:dyDescent="0.25">
      <c r="A523" s="44" t="s">
        <v>30643</v>
      </c>
      <c r="B523" s="14">
        <v>1</v>
      </c>
    </row>
    <row r="524" spans="1:2" x14ac:dyDescent="0.25">
      <c r="A524" s="44" t="s">
        <v>30644</v>
      </c>
      <c r="B524" s="14">
        <v>1</v>
      </c>
    </row>
    <row r="525" spans="1:2" x14ac:dyDescent="0.25">
      <c r="A525" s="44" t="s">
        <v>30645</v>
      </c>
      <c r="B525" s="14">
        <v>1</v>
      </c>
    </row>
    <row r="526" spans="1:2" x14ac:dyDescent="0.25">
      <c r="A526" s="44" t="s">
        <v>30646</v>
      </c>
      <c r="B526" s="14">
        <v>1</v>
      </c>
    </row>
    <row r="527" spans="1:2" x14ac:dyDescent="0.25">
      <c r="A527" s="44" t="s">
        <v>30647</v>
      </c>
      <c r="B527" s="14">
        <v>1</v>
      </c>
    </row>
    <row r="528" spans="1:2" x14ac:dyDescent="0.25">
      <c r="A528" s="44" t="s">
        <v>30648</v>
      </c>
      <c r="B528" s="14">
        <v>1</v>
      </c>
    </row>
    <row r="529" spans="1:2" x14ac:dyDescent="0.25">
      <c r="A529" s="44" t="s">
        <v>30649</v>
      </c>
      <c r="B529" s="14">
        <v>1</v>
      </c>
    </row>
    <row r="530" spans="1:2" x14ac:dyDescent="0.25">
      <c r="A530" s="44" t="s">
        <v>30650</v>
      </c>
      <c r="B530" s="14">
        <v>1</v>
      </c>
    </row>
    <row r="531" spans="1:2" x14ac:dyDescent="0.25">
      <c r="A531" s="44" t="s">
        <v>30651</v>
      </c>
      <c r="B531" s="14">
        <v>1</v>
      </c>
    </row>
    <row r="532" spans="1:2" x14ac:dyDescent="0.25">
      <c r="A532" s="44" t="s">
        <v>30652</v>
      </c>
      <c r="B532" s="14">
        <v>1</v>
      </c>
    </row>
    <row r="533" spans="1:2" x14ac:dyDescent="0.25">
      <c r="A533" s="44" t="s">
        <v>30653</v>
      </c>
      <c r="B533" s="14">
        <v>1</v>
      </c>
    </row>
    <row r="534" spans="1:2" x14ac:dyDescent="0.25">
      <c r="A534" s="44" t="s">
        <v>30654</v>
      </c>
      <c r="B534" s="14">
        <v>1</v>
      </c>
    </row>
    <row r="535" spans="1:2" x14ac:dyDescent="0.25">
      <c r="A535" s="44" t="s">
        <v>30655</v>
      </c>
      <c r="B535" s="14">
        <v>1</v>
      </c>
    </row>
    <row r="536" spans="1:2" x14ac:dyDescent="0.25">
      <c r="A536" s="44" t="s">
        <v>30656</v>
      </c>
      <c r="B536" s="14">
        <v>1</v>
      </c>
    </row>
    <row r="537" spans="1:2" x14ac:dyDescent="0.25">
      <c r="A537" s="44" t="s">
        <v>30657</v>
      </c>
      <c r="B537" s="14">
        <v>1</v>
      </c>
    </row>
    <row r="538" spans="1:2" x14ac:dyDescent="0.25">
      <c r="A538" s="44" t="s">
        <v>30658</v>
      </c>
      <c r="B538" s="14">
        <v>1</v>
      </c>
    </row>
    <row r="539" spans="1:2" x14ac:dyDescent="0.25">
      <c r="A539" s="44" t="s">
        <v>30659</v>
      </c>
      <c r="B539" s="14">
        <v>1</v>
      </c>
    </row>
    <row r="540" spans="1:2" x14ac:dyDescent="0.25">
      <c r="A540" s="44" t="s">
        <v>30660</v>
      </c>
      <c r="B540" s="14">
        <v>1</v>
      </c>
    </row>
    <row r="541" spans="1:2" x14ac:dyDescent="0.25">
      <c r="A541" s="44" t="s">
        <v>30661</v>
      </c>
      <c r="B541" s="14">
        <v>1</v>
      </c>
    </row>
    <row r="542" spans="1:2" x14ac:dyDescent="0.25">
      <c r="A542" s="44" t="s">
        <v>30662</v>
      </c>
      <c r="B542" s="14">
        <v>1</v>
      </c>
    </row>
    <row r="543" spans="1:2" x14ac:dyDescent="0.25">
      <c r="A543" s="44" t="s">
        <v>19</v>
      </c>
      <c r="B543" s="14">
        <v>1</v>
      </c>
    </row>
    <row r="544" spans="1:2" x14ac:dyDescent="0.25">
      <c r="A544" s="44" t="s">
        <v>30663</v>
      </c>
      <c r="B544" s="14">
        <v>1</v>
      </c>
    </row>
    <row r="545" spans="1:2" x14ac:dyDescent="0.25">
      <c r="A545" s="44" t="s">
        <v>30664</v>
      </c>
      <c r="B545" s="14">
        <v>1</v>
      </c>
    </row>
    <row r="546" spans="1:2" x14ac:dyDescent="0.25">
      <c r="A546" s="44" t="s">
        <v>30665</v>
      </c>
      <c r="B546" s="14">
        <v>1</v>
      </c>
    </row>
    <row r="547" spans="1:2" x14ac:dyDescent="0.25">
      <c r="A547" s="44" t="s">
        <v>30666</v>
      </c>
      <c r="B547" s="14">
        <v>1</v>
      </c>
    </row>
    <row r="548" spans="1:2" x14ac:dyDescent="0.25">
      <c r="A548" s="44" t="s">
        <v>30667</v>
      </c>
      <c r="B548" s="14">
        <v>1</v>
      </c>
    </row>
    <row r="549" spans="1:2" x14ac:dyDescent="0.25">
      <c r="A549" s="44" t="s">
        <v>30668</v>
      </c>
      <c r="B549" s="14">
        <v>1</v>
      </c>
    </row>
    <row r="550" spans="1:2" x14ac:dyDescent="0.25">
      <c r="A550" s="44" t="s">
        <v>30669</v>
      </c>
      <c r="B550" s="14">
        <v>1</v>
      </c>
    </row>
    <row r="551" spans="1:2" x14ac:dyDescent="0.25">
      <c r="A551" s="44" t="s">
        <v>30670</v>
      </c>
      <c r="B551" s="14">
        <v>1</v>
      </c>
    </row>
    <row r="552" spans="1:2" x14ac:dyDescent="0.25">
      <c r="A552" s="44" t="s">
        <v>30671</v>
      </c>
      <c r="B552" s="14">
        <v>1</v>
      </c>
    </row>
    <row r="553" spans="1:2" x14ac:dyDescent="0.25">
      <c r="A553" s="44" t="s">
        <v>30672</v>
      </c>
      <c r="B553" s="14">
        <v>1</v>
      </c>
    </row>
    <row r="554" spans="1:2" x14ac:dyDescent="0.25">
      <c r="A554" s="44" t="s">
        <v>30673</v>
      </c>
      <c r="B554" s="14">
        <v>1</v>
      </c>
    </row>
    <row r="555" spans="1:2" x14ac:dyDescent="0.25">
      <c r="A555" s="44" t="s">
        <v>30674</v>
      </c>
      <c r="B555" s="14">
        <v>1</v>
      </c>
    </row>
    <row r="556" spans="1:2" x14ac:dyDescent="0.25">
      <c r="A556" s="44" t="s">
        <v>30675</v>
      </c>
      <c r="B556" s="14">
        <v>1</v>
      </c>
    </row>
    <row r="557" spans="1:2" x14ac:dyDescent="0.25">
      <c r="A557" s="44" t="s">
        <v>30676</v>
      </c>
      <c r="B557" s="14">
        <v>1</v>
      </c>
    </row>
    <row r="558" spans="1:2" x14ac:dyDescent="0.25">
      <c r="A558" s="44" t="s">
        <v>30677</v>
      </c>
      <c r="B558" s="14">
        <v>1</v>
      </c>
    </row>
    <row r="559" spans="1:2" x14ac:dyDescent="0.25">
      <c r="A559" s="44" t="s">
        <v>30678</v>
      </c>
      <c r="B559" s="14">
        <v>1</v>
      </c>
    </row>
    <row r="560" spans="1:2" x14ac:dyDescent="0.25">
      <c r="A560" s="44" t="s">
        <v>30679</v>
      </c>
      <c r="B560" s="14">
        <v>1</v>
      </c>
    </row>
    <row r="561" spans="1:2" x14ac:dyDescent="0.25">
      <c r="A561" s="44" t="s">
        <v>30680</v>
      </c>
      <c r="B561" s="14">
        <v>1</v>
      </c>
    </row>
    <row r="562" spans="1:2" x14ac:dyDescent="0.25">
      <c r="A562" s="44" t="s">
        <v>30681</v>
      </c>
      <c r="B562" s="14">
        <v>1</v>
      </c>
    </row>
    <row r="563" spans="1:2" x14ac:dyDescent="0.25">
      <c r="A563" s="44" t="s">
        <v>30682</v>
      </c>
      <c r="B563" s="14">
        <v>1</v>
      </c>
    </row>
    <row r="564" spans="1:2" x14ac:dyDescent="0.25">
      <c r="A564" s="44" t="s">
        <v>30683</v>
      </c>
      <c r="B564" s="14">
        <v>1</v>
      </c>
    </row>
    <row r="565" spans="1:2" x14ac:dyDescent="0.25">
      <c r="A565" s="44" t="s">
        <v>30684</v>
      </c>
      <c r="B565" s="14">
        <v>1</v>
      </c>
    </row>
    <row r="566" spans="1:2" x14ac:dyDescent="0.25">
      <c r="A566" s="44" t="s">
        <v>30685</v>
      </c>
      <c r="B566" s="14">
        <v>1</v>
      </c>
    </row>
    <row r="567" spans="1:2" x14ac:dyDescent="0.25">
      <c r="A567" s="44" t="s">
        <v>30686</v>
      </c>
      <c r="B567" s="14">
        <v>1</v>
      </c>
    </row>
    <row r="568" spans="1:2" x14ac:dyDescent="0.25">
      <c r="A568" s="44" t="s">
        <v>30687</v>
      </c>
      <c r="B568" s="14">
        <v>1</v>
      </c>
    </row>
    <row r="569" spans="1:2" x14ac:dyDescent="0.25">
      <c r="A569" s="44" t="s">
        <v>30688</v>
      </c>
      <c r="B569" s="14">
        <v>1</v>
      </c>
    </row>
    <row r="570" spans="1:2" x14ac:dyDescent="0.25">
      <c r="A570" s="44" t="s">
        <v>30689</v>
      </c>
      <c r="B570" s="14">
        <v>1</v>
      </c>
    </row>
    <row r="571" spans="1:2" x14ac:dyDescent="0.25">
      <c r="A571" s="44" t="s">
        <v>30690</v>
      </c>
      <c r="B571" s="14">
        <v>1</v>
      </c>
    </row>
    <row r="572" spans="1:2" x14ac:dyDescent="0.25">
      <c r="A572" s="44" t="s">
        <v>30691</v>
      </c>
      <c r="B572" s="14">
        <v>1</v>
      </c>
    </row>
    <row r="573" spans="1:2" x14ac:dyDescent="0.25">
      <c r="A573" s="44" t="s">
        <v>30692</v>
      </c>
      <c r="B573" s="14">
        <v>1</v>
      </c>
    </row>
    <row r="574" spans="1:2" x14ac:dyDescent="0.25">
      <c r="A574" s="44" t="s">
        <v>30693</v>
      </c>
      <c r="B574" s="14">
        <v>1</v>
      </c>
    </row>
    <row r="575" spans="1:2" x14ac:dyDescent="0.25">
      <c r="A575" s="44" t="s">
        <v>30694</v>
      </c>
      <c r="B575" s="14">
        <v>1</v>
      </c>
    </row>
    <row r="576" spans="1:2" x14ac:dyDescent="0.25">
      <c r="A576" s="44" t="s">
        <v>30695</v>
      </c>
      <c r="B576" s="14">
        <v>1</v>
      </c>
    </row>
    <row r="577" spans="1:2" x14ac:dyDescent="0.25">
      <c r="A577" s="44" t="s">
        <v>30696</v>
      </c>
      <c r="B577" s="14">
        <v>1</v>
      </c>
    </row>
    <row r="578" spans="1:2" x14ac:dyDescent="0.25">
      <c r="A578" s="44" t="s">
        <v>30697</v>
      </c>
      <c r="B578" s="14">
        <v>1</v>
      </c>
    </row>
    <row r="579" spans="1:2" x14ac:dyDescent="0.25">
      <c r="A579" s="44" t="s">
        <v>30698</v>
      </c>
      <c r="B579" s="14">
        <v>1</v>
      </c>
    </row>
    <row r="580" spans="1:2" x14ac:dyDescent="0.25">
      <c r="A580" s="44" t="s">
        <v>30699</v>
      </c>
      <c r="B580" s="14">
        <v>1</v>
      </c>
    </row>
    <row r="581" spans="1:2" x14ac:dyDescent="0.25">
      <c r="A581" s="44" t="s">
        <v>30700</v>
      </c>
      <c r="B581" s="14">
        <v>1</v>
      </c>
    </row>
    <row r="582" spans="1:2" x14ac:dyDescent="0.25">
      <c r="A582" s="44" t="s">
        <v>30701</v>
      </c>
      <c r="B582" s="14">
        <v>1</v>
      </c>
    </row>
    <row r="583" spans="1:2" x14ac:dyDescent="0.25">
      <c r="A583" s="44" t="s">
        <v>30702</v>
      </c>
      <c r="B583" s="14">
        <v>1</v>
      </c>
    </row>
    <row r="584" spans="1:2" x14ac:dyDescent="0.25">
      <c r="A584" s="44" t="s">
        <v>30703</v>
      </c>
      <c r="B584" s="14">
        <v>1</v>
      </c>
    </row>
    <row r="585" spans="1:2" x14ac:dyDescent="0.25">
      <c r="A585" s="44" t="s">
        <v>30704</v>
      </c>
      <c r="B585" s="14">
        <v>1</v>
      </c>
    </row>
    <row r="586" spans="1:2" x14ac:dyDescent="0.25">
      <c r="A586" s="44" t="s">
        <v>30705</v>
      </c>
      <c r="B586" s="14">
        <v>1</v>
      </c>
    </row>
    <row r="587" spans="1:2" x14ac:dyDescent="0.25">
      <c r="A587" s="44" t="s">
        <v>30706</v>
      </c>
      <c r="B587" s="14">
        <v>1</v>
      </c>
    </row>
    <row r="588" spans="1:2" x14ac:dyDescent="0.25">
      <c r="A588" s="44" t="s">
        <v>30707</v>
      </c>
      <c r="B588" s="14">
        <v>1</v>
      </c>
    </row>
    <row r="589" spans="1:2" x14ac:dyDescent="0.25">
      <c r="A589" s="44" t="s">
        <v>30708</v>
      </c>
      <c r="B589" s="14">
        <v>1</v>
      </c>
    </row>
    <row r="590" spans="1:2" x14ac:dyDescent="0.25">
      <c r="A590" s="44" t="s">
        <v>30709</v>
      </c>
      <c r="B590" s="14">
        <v>1</v>
      </c>
    </row>
    <row r="591" spans="1:2" x14ac:dyDescent="0.25">
      <c r="A591" s="44" t="s">
        <v>30710</v>
      </c>
      <c r="B591" s="14">
        <v>1</v>
      </c>
    </row>
    <row r="592" spans="1:2" x14ac:dyDescent="0.25">
      <c r="A592" s="44" t="s">
        <v>30711</v>
      </c>
      <c r="B592" s="14">
        <v>1</v>
      </c>
    </row>
    <row r="593" spans="1:2" x14ac:dyDescent="0.25">
      <c r="A593" s="44" t="s">
        <v>30712</v>
      </c>
      <c r="B593" s="14">
        <v>1</v>
      </c>
    </row>
    <row r="594" spans="1:2" x14ac:dyDescent="0.25">
      <c r="A594" s="44" t="s">
        <v>30713</v>
      </c>
      <c r="B594" s="14">
        <v>1</v>
      </c>
    </row>
    <row r="595" spans="1:2" x14ac:dyDescent="0.25">
      <c r="A595" s="44" t="s">
        <v>30714</v>
      </c>
      <c r="B595" s="14">
        <v>1</v>
      </c>
    </row>
    <row r="596" spans="1:2" x14ac:dyDescent="0.25">
      <c r="A596" s="44" t="s">
        <v>30715</v>
      </c>
      <c r="B596" s="14">
        <v>1</v>
      </c>
    </row>
    <row r="597" spans="1:2" x14ac:dyDescent="0.25">
      <c r="A597" s="44" t="s">
        <v>30716</v>
      </c>
      <c r="B597" s="14">
        <v>1</v>
      </c>
    </row>
    <row r="598" spans="1:2" x14ac:dyDescent="0.25">
      <c r="A598" s="44" t="s">
        <v>30717</v>
      </c>
      <c r="B598" s="14">
        <v>1</v>
      </c>
    </row>
    <row r="599" spans="1:2" x14ac:dyDescent="0.25">
      <c r="A599" s="44" t="s">
        <v>30718</v>
      </c>
      <c r="B599" s="14">
        <v>1</v>
      </c>
    </row>
    <row r="600" spans="1:2" x14ac:dyDescent="0.25">
      <c r="A600" s="44" t="s">
        <v>30719</v>
      </c>
      <c r="B600" s="14">
        <v>1</v>
      </c>
    </row>
    <row r="601" spans="1:2" x14ac:dyDescent="0.25">
      <c r="A601" s="44" t="s">
        <v>30720</v>
      </c>
      <c r="B601" s="14">
        <v>1</v>
      </c>
    </row>
    <row r="602" spans="1:2" x14ac:dyDescent="0.25">
      <c r="A602" s="44" t="s">
        <v>30721</v>
      </c>
      <c r="B602" s="14">
        <v>1</v>
      </c>
    </row>
    <row r="603" spans="1:2" x14ac:dyDescent="0.25">
      <c r="A603" s="44" t="s">
        <v>30722</v>
      </c>
      <c r="B603" s="14">
        <v>1</v>
      </c>
    </row>
    <row r="604" spans="1:2" x14ac:dyDescent="0.25">
      <c r="A604" s="44" t="s">
        <v>30723</v>
      </c>
      <c r="B604" s="14">
        <v>1</v>
      </c>
    </row>
    <row r="605" spans="1:2" x14ac:dyDescent="0.25">
      <c r="A605" s="44" t="s">
        <v>30724</v>
      </c>
      <c r="B605" s="14">
        <v>1</v>
      </c>
    </row>
    <row r="606" spans="1:2" x14ac:dyDescent="0.25">
      <c r="A606" s="44" t="s">
        <v>30725</v>
      </c>
      <c r="B606" s="14">
        <v>1</v>
      </c>
    </row>
    <row r="607" spans="1:2" x14ac:dyDescent="0.25">
      <c r="A607" s="44" t="s">
        <v>30726</v>
      </c>
      <c r="B607" s="14">
        <v>1</v>
      </c>
    </row>
    <row r="608" spans="1:2" x14ac:dyDescent="0.25">
      <c r="A608" s="44" t="s">
        <v>30727</v>
      </c>
      <c r="B608" s="14">
        <v>1</v>
      </c>
    </row>
    <row r="609" spans="1:2" x14ac:dyDescent="0.25">
      <c r="A609" s="44" t="s">
        <v>30728</v>
      </c>
      <c r="B609" s="14">
        <v>1</v>
      </c>
    </row>
    <row r="610" spans="1:2" x14ac:dyDescent="0.25">
      <c r="A610" s="44" t="s">
        <v>30729</v>
      </c>
      <c r="B610" s="14">
        <v>1</v>
      </c>
    </row>
    <row r="611" spans="1:2" x14ac:dyDescent="0.25">
      <c r="A611" s="44" t="s">
        <v>30730</v>
      </c>
      <c r="B611" s="14">
        <v>1</v>
      </c>
    </row>
    <row r="612" spans="1:2" x14ac:dyDescent="0.25">
      <c r="A612" s="44" t="s">
        <v>30731</v>
      </c>
      <c r="B612" s="14">
        <v>1</v>
      </c>
    </row>
    <row r="613" spans="1:2" x14ac:dyDescent="0.25">
      <c r="A613" s="44" t="s">
        <v>30732</v>
      </c>
      <c r="B613" s="14">
        <v>1</v>
      </c>
    </row>
    <row r="614" spans="1:2" x14ac:dyDescent="0.25">
      <c r="A614" s="44" t="s">
        <v>30733</v>
      </c>
      <c r="B614" s="14">
        <v>1</v>
      </c>
    </row>
    <row r="615" spans="1:2" x14ac:dyDescent="0.25">
      <c r="A615" s="44" t="s">
        <v>164</v>
      </c>
      <c r="B615" s="14">
        <v>1</v>
      </c>
    </row>
    <row r="616" spans="1:2" x14ac:dyDescent="0.25">
      <c r="A616" s="44" t="s">
        <v>30734</v>
      </c>
      <c r="B616" s="14">
        <v>1</v>
      </c>
    </row>
    <row r="617" spans="1:2" x14ac:dyDescent="0.25">
      <c r="A617" s="44" t="s">
        <v>30735</v>
      </c>
      <c r="B617" s="14">
        <v>1</v>
      </c>
    </row>
    <row r="618" spans="1:2" x14ac:dyDescent="0.25">
      <c r="A618" s="44" t="s">
        <v>30736</v>
      </c>
      <c r="B618" s="14">
        <v>1</v>
      </c>
    </row>
    <row r="619" spans="1:2" x14ac:dyDescent="0.25">
      <c r="A619" s="44" t="s">
        <v>30737</v>
      </c>
      <c r="B619" s="14">
        <v>1</v>
      </c>
    </row>
    <row r="620" spans="1:2" x14ac:dyDescent="0.25">
      <c r="A620" s="44" t="s">
        <v>30738</v>
      </c>
      <c r="B620" s="14">
        <v>1</v>
      </c>
    </row>
    <row r="621" spans="1:2" x14ac:dyDescent="0.25">
      <c r="A621" s="44" t="s">
        <v>30739</v>
      </c>
      <c r="B621" s="14">
        <v>1</v>
      </c>
    </row>
    <row r="622" spans="1:2" x14ac:dyDescent="0.25">
      <c r="A622" s="44" t="s">
        <v>30740</v>
      </c>
      <c r="B622" s="14">
        <v>1</v>
      </c>
    </row>
    <row r="623" spans="1:2" x14ac:dyDescent="0.25">
      <c r="A623" s="44" t="s">
        <v>30741</v>
      </c>
      <c r="B623" s="14">
        <v>1</v>
      </c>
    </row>
    <row r="624" spans="1:2" x14ac:dyDescent="0.25">
      <c r="A624" s="44" t="s">
        <v>30742</v>
      </c>
      <c r="B624" s="14">
        <v>1</v>
      </c>
    </row>
    <row r="625" spans="1:2" x14ac:dyDescent="0.25">
      <c r="A625" s="44" t="s">
        <v>30743</v>
      </c>
      <c r="B625" s="14">
        <v>1</v>
      </c>
    </row>
    <row r="626" spans="1:2" x14ac:dyDescent="0.25">
      <c r="A626" s="44" t="s">
        <v>40</v>
      </c>
      <c r="B626" s="14">
        <v>1</v>
      </c>
    </row>
    <row r="627" spans="1:2" x14ac:dyDescent="0.25">
      <c r="A627" s="44" t="s">
        <v>30744</v>
      </c>
      <c r="B627" s="14">
        <v>1</v>
      </c>
    </row>
    <row r="628" spans="1:2" x14ac:dyDescent="0.25">
      <c r="A628" s="44" t="s">
        <v>30745</v>
      </c>
      <c r="B628" s="14">
        <v>1</v>
      </c>
    </row>
    <row r="629" spans="1:2" x14ac:dyDescent="0.25">
      <c r="A629" s="44" t="s">
        <v>30746</v>
      </c>
      <c r="B629" s="14">
        <v>1</v>
      </c>
    </row>
    <row r="630" spans="1:2" x14ac:dyDescent="0.25">
      <c r="A630" s="44" t="s">
        <v>30747</v>
      </c>
      <c r="B630" s="14">
        <v>1</v>
      </c>
    </row>
    <row r="631" spans="1:2" x14ac:dyDescent="0.25">
      <c r="A631" s="44" t="s">
        <v>30748</v>
      </c>
      <c r="B631" s="14">
        <v>1</v>
      </c>
    </row>
    <row r="632" spans="1:2" x14ac:dyDescent="0.25">
      <c r="A632" s="44" t="s">
        <v>30749</v>
      </c>
      <c r="B632" s="14">
        <v>1</v>
      </c>
    </row>
    <row r="633" spans="1:2" x14ac:dyDescent="0.25">
      <c r="A633" s="44" t="s">
        <v>30750</v>
      </c>
      <c r="B633" s="14">
        <v>1</v>
      </c>
    </row>
    <row r="634" spans="1:2" x14ac:dyDescent="0.25">
      <c r="A634" s="44" t="s">
        <v>30751</v>
      </c>
      <c r="B634" s="14">
        <v>1</v>
      </c>
    </row>
    <row r="635" spans="1:2" x14ac:dyDescent="0.25">
      <c r="A635" s="44" t="s">
        <v>30752</v>
      </c>
      <c r="B635" s="14">
        <v>1</v>
      </c>
    </row>
    <row r="636" spans="1:2" x14ac:dyDescent="0.25">
      <c r="A636" s="44" t="s">
        <v>30753</v>
      </c>
      <c r="B636" s="14">
        <v>1</v>
      </c>
    </row>
    <row r="637" spans="1:2" x14ac:dyDescent="0.25">
      <c r="A637" s="44" t="s">
        <v>30754</v>
      </c>
      <c r="B637" s="14">
        <v>1</v>
      </c>
    </row>
    <row r="638" spans="1:2" x14ac:dyDescent="0.25">
      <c r="A638" s="44" t="s">
        <v>30755</v>
      </c>
      <c r="B638" s="14">
        <v>1</v>
      </c>
    </row>
    <row r="639" spans="1:2" x14ac:dyDescent="0.25">
      <c r="A639" s="44" t="s">
        <v>30756</v>
      </c>
      <c r="B639" s="14">
        <v>1</v>
      </c>
    </row>
    <row r="640" spans="1:2" x14ac:dyDescent="0.25">
      <c r="A640" s="44" t="s">
        <v>30757</v>
      </c>
      <c r="B640" s="14">
        <v>1</v>
      </c>
    </row>
    <row r="641" spans="1:2" x14ac:dyDescent="0.25">
      <c r="A641" s="44" t="s">
        <v>30758</v>
      </c>
      <c r="B641" s="14">
        <v>1</v>
      </c>
    </row>
    <row r="642" spans="1:2" x14ac:dyDescent="0.25">
      <c r="A642" s="44" t="s">
        <v>30759</v>
      </c>
      <c r="B642" s="14">
        <v>1</v>
      </c>
    </row>
    <row r="643" spans="1:2" x14ac:dyDescent="0.25">
      <c r="A643" s="44" t="s">
        <v>30760</v>
      </c>
      <c r="B643" s="14">
        <v>1</v>
      </c>
    </row>
    <row r="644" spans="1:2" x14ac:dyDescent="0.25">
      <c r="A644" s="44" t="s">
        <v>30761</v>
      </c>
      <c r="B644" s="14">
        <v>1</v>
      </c>
    </row>
    <row r="645" spans="1:2" x14ac:dyDescent="0.25">
      <c r="A645" s="44" t="s">
        <v>30762</v>
      </c>
      <c r="B645" s="14">
        <v>1</v>
      </c>
    </row>
    <row r="646" spans="1:2" x14ac:dyDescent="0.25">
      <c r="A646" s="44" t="s">
        <v>30763</v>
      </c>
      <c r="B646" s="14">
        <v>1</v>
      </c>
    </row>
    <row r="647" spans="1:2" x14ac:dyDescent="0.25">
      <c r="A647" s="44" t="s">
        <v>30764</v>
      </c>
      <c r="B647" s="14">
        <v>1</v>
      </c>
    </row>
    <row r="648" spans="1:2" x14ac:dyDescent="0.25">
      <c r="A648" s="44" t="s">
        <v>30765</v>
      </c>
      <c r="B648" s="14">
        <v>1</v>
      </c>
    </row>
    <row r="649" spans="1:2" x14ac:dyDescent="0.25">
      <c r="A649" s="44" t="s">
        <v>30766</v>
      </c>
      <c r="B649" s="14">
        <v>1</v>
      </c>
    </row>
    <row r="650" spans="1:2" x14ac:dyDescent="0.25">
      <c r="A650" s="44" t="s">
        <v>30767</v>
      </c>
      <c r="B650" s="14">
        <v>1</v>
      </c>
    </row>
    <row r="651" spans="1:2" x14ac:dyDescent="0.25">
      <c r="A651" s="44" t="s">
        <v>30768</v>
      </c>
      <c r="B651" s="14">
        <v>1</v>
      </c>
    </row>
    <row r="652" spans="1:2" x14ac:dyDescent="0.25">
      <c r="A652" s="44" t="s">
        <v>30769</v>
      </c>
      <c r="B652" s="14">
        <v>1</v>
      </c>
    </row>
    <row r="653" spans="1:2" x14ac:dyDescent="0.25">
      <c r="A653" s="44" t="s">
        <v>30770</v>
      </c>
      <c r="B653" s="14">
        <v>1</v>
      </c>
    </row>
    <row r="654" spans="1:2" x14ac:dyDescent="0.25">
      <c r="A654" s="44" t="s">
        <v>30771</v>
      </c>
      <c r="B654" s="14">
        <v>1</v>
      </c>
    </row>
    <row r="655" spans="1:2" x14ac:dyDescent="0.25">
      <c r="A655" s="44" t="s">
        <v>30772</v>
      </c>
      <c r="B655" s="14">
        <v>1</v>
      </c>
    </row>
    <row r="656" spans="1:2" x14ac:dyDescent="0.25">
      <c r="A656" s="44" t="s">
        <v>30773</v>
      </c>
      <c r="B656" s="14">
        <v>1</v>
      </c>
    </row>
    <row r="657" spans="1:2" x14ac:dyDescent="0.25">
      <c r="A657" s="44" t="s">
        <v>30774</v>
      </c>
      <c r="B657" s="14">
        <v>1</v>
      </c>
    </row>
    <row r="658" spans="1:2" x14ac:dyDescent="0.25">
      <c r="A658" s="44" t="s">
        <v>30775</v>
      </c>
      <c r="B658" s="14">
        <v>1</v>
      </c>
    </row>
    <row r="659" spans="1:2" x14ac:dyDescent="0.25">
      <c r="A659" s="44" t="s">
        <v>30776</v>
      </c>
      <c r="B659" s="14">
        <v>1</v>
      </c>
    </row>
    <row r="660" spans="1:2" x14ac:dyDescent="0.25">
      <c r="A660" s="44" t="s">
        <v>30777</v>
      </c>
      <c r="B660" s="14">
        <v>1</v>
      </c>
    </row>
    <row r="661" spans="1:2" x14ac:dyDescent="0.25">
      <c r="A661" s="44" t="s">
        <v>38</v>
      </c>
      <c r="B661" s="14">
        <v>1</v>
      </c>
    </row>
    <row r="662" spans="1:2" x14ac:dyDescent="0.25">
      <c r="A662" s="44" t="s">
        <v>30778</v>
      </c>
      <c r="B662" s="14">
        <v>1</v>
      </c>
    </row>
    <row r="663" spans="1:2" x14ac:dyDescent="0.25">
      <c r="A663" s="44" t="s">
        <v>30779</v>
      </c>
      <c r="B663" s="14">
        <v>1</v>
      </c>
    </row>
    <row r="664" spans="1:2" x14ac:dyDescent="0.25">
      <c r="A664" s="44" t="s">
        <v>30780</v>
      </c>
      <c r="B664" s="14">
        <v>1</v>
      </c>
    </row>
    <row r="665" spans="1:2" x14ac:dyDescent="0.25">
      <c r="A665" s="44" t="s">
        <v>30781</v>
      </c>
      <c r="B665" s="14">
        <v>1</v>
      </c>
    </row>
    <row r="666" spans="1:2" x14ac:dyDescent="0.25">
      <c r="A666" s="44" t="s">
        <v>30782</v>
      </c>
      <c r="B666" s="14">
        <v>1</v>
      </c>
    </row>
    <row r="667" spans="1:2" x14ac:dyDescent="0.25">
      <c r="A667" s="44" t="s">
        <v>30783</v>
      </c>
      <c r="B667" s="14">
        <v>1</v>
      </c>
    </row>
    <row r="668" spans="1:2" x14ac:dyDescent="0.25">
      <c r="A668" s="44" t="s">
        <v>30784</v>
      </c>
      <c r="B668" s="14">
        <v>1</v>
      </c>
    </row>
    <row r="669" spans="1:2" x14ac:dyDescent="0.25">
      <c r="A669" s="44" t="s">
        <v>30785</v>
      </c>
      <c r="B669" s="14">
        <v>1</v>
      </c>
    </row>
    <row r="670" spans="1:2" x14ac:dyDescent="0.25">
      <c r="A670" s="44" t="s">
        <v>30786</v>
      </c>
      <c r="B670" s="14">
        <v>1</v>
      </c>
    </row>
    <row r="671" spans="1:2" x14ac:dyDescent="0.25">
      <c r="A671" s="44" t="s">
        <v>30787</v>
      </c>
      <c r="B671" s="14">
        <v>1</v>
      </c>
    </row>
    <row r="672" spans="1:2" x14ac:dyDescent="0.25">
      <c r="A672" s="44" t="s">
        <v>30788</v>
      </c>
      <c r="B672" s="14">
        <v>1</v>
      </c>
    </row>
    <row r="673" spans="1:2" x14ac:dyDescent="0.25">
      <c r="A673" s="44" t="s">
        <v>30789</v>
      </c>
      <c r="B673" s="14">
        <v>1</v>
      </c>
    </row>
    <row r="674" spans="1:2" x14ac:dyDescent="0.25">
      <c r="A674" s="44" t="s">
        <v>30790</v>
      </c>
      <c r="B674" s="14">
        <v>1</v>
      </c>
    </row>
    <row r="675" spans="1:2" x14ac:dyDescent="0.25">
      <c r="A675" s="44" t="s">
        <v>30791</v>
      </c>
      <c r="B675" s="14">
        <v>1</v>
      </c>
    </row>
    <row r="676" spans="1:2" x14ac:dyDescent="0.25">
      <c r="A676" s="44" t="s">
        <v>30792</v>
      </c>
      <c r="B676" s="14">
        <v>1</v>
      </c>
    </row>
    <row r="677" spans="1:2" x14ac:dyDescent="0.25">
      <c r="A677" s="44" t="s">
        <v>30793</v>
      </c>
      <c r="B677" s="14">
        <v>1</v>
      </c>
    </row>
    <row r="678" spans="1:2" x14ac:dyDescent="0.25">
      <c r="A678" s="44" t="s">
        <v>30794</v>
      </c>
      <c r="B678" s="14">
        <v>1</v>
      </c>
    </row>
    <row r="679" spans="1:2" x14ac:dyDescent="0.25">
      <c r="A679" s="44" t="s">
        <v>30795</v>
      </c>
      <c r="B679" s="14">
        <v>1</v>
      </c>
    </row>
    <row r="680" spans="1:2" x14ac:dyDescent="0.25">
      <c r="A680" s="44" t="s">
        <v>30796</v>
      </c>
      <c r="B680" s="14">
        <v>1</v>
      </c>
    </row>
    <row r="681" spans="1:2" x14ac:dyDescent="0.25">
      <c r="A681" s="44" t="s">
        <v>30797</v>
      </c>
      <c r="B681" s="14">
        <v>1</v>
      </c>
    </row>
    <row r="682" spans="1:2" x14ac:dyDescent="0.25">
      <c r="A682" s="44" t="s">
        <v>30798</v>
      </c>
      <c r="B682" s="14">
        <v>1</v>
      </c>
    </row>
    <row r="683" spans="1:2" x14ac:dyDescent="0.25">
      <c r="A683" s="44" t="s">
        <v>30799</v>
      </c>
      <c r="B683" s="14">
        <v>1</v>
      </c>
    </row>
    <row r="684" spans="1:2" x14ac:dyDescent="0.25">
      <c r="A684" s="44" t="s">
        <v>30800</v>
      </c>
      <c r="B684" s="14">
        <v>1</v>
      </c>
    </row>
    <row r="685" spans="1:2" x14ac:dyDescent="0.25">
      <c r="A685" s="44" t="s">
        <v>30801</v>
      </c>
      <c r="B685" s="14">
        <v>1</v>
      </c>
    </row>
    <row r="686" spans="1:2" x14ac:dyDescent="0.25">
      <c r="A686" s="44" t="s">
        <v>30802</v>
      </c>
      <c r="B686" s="14">
        <v>1</v>
      </c>
    </row>
    <row r="687" spans="1:2" x14ac:dyDescent="0.25">
      <c r="A687" s="44" t="s">
        <v>30803</v>
      </c>
      <c r="B687" s="14">
        <v>1</v>
      </c>
    </row>
    <row r="688" spans="1:2" x14ac:dyDescent="0.25">
      <c r="A688" s="44" t="s">
        <v>30804</v>
      </c>
      <c r="B688" s="14">
        <v>1</v>
      </c>
    </row>
    <row r="689" spans="1:2" x14ac:dyDescent="0.25">
      <c r="A689" s="44" t="s">
        <v>30805</v>
      </c>
      <c r="B689" s="14">
        <v>1</v>
      </c>
    </row>
    <row r="690" spans="1:2" x14ac:dyDescent="0.25">
      <c r="A690" s="44" t="s">
        <v>30806</v>
      </c>
      <c r="B690" s="14">
        <v>1</v>
      </c>
    </row>
    <row r="691" spans="1:2" x14ac:dyDescent="0.25">
      <c r="A691" s="44" t="s">
        <v>30807</v>
      </c>
      <c r="B691" s="14">
        <v>1</v>
      </c>
    </row>
    <row r="692" spans="1:2" x14ac:dyDescent="0.25">
      <c r="A692" s="44" t="s">
        <v>30808</v>
      </c>
      <c r="B692" s="14">
        <v>1</v>
      </c>
    </row>
    <row r="693" spans="1:2" x14ac:dyDescent="0.25">
      <c r="A693" s="44" t="s">
        <v>30809</v>
      </c>
      <c r="B693" s="14">
        <v>1</v>
      </c>
    </row>
    <row r="694" spans="1:2" x14ac:dyDescent="0.25">
      <c r="A694" s="44" t="s">
        <v>30810</v>
      </c>
      <c r="B694" s="14">
        <v>1</v>
      </c>
    </row>
    <row r="695" spans="1:2" x14ac:dyDescent="0.25">
      <c r="A695" s="44" t="s">
        <v>30811</v>
      </c>
      <c r="B695" s="14">
        <v>1</v>
      </c>
    </row>
    <row r="696" spans="1:2" x14ac:dyDescent="0.25">
      <c r="A696" s="44" t="s">
        <v>30812</v>
      </c>
      <c r="B696" s="14">
        <v>1</v>
      </c>
    </row>
    <row r="697" spans="1:2" x14ac:dyDescent="0.25">
      <c r="A697" s="44" t="s">
        <v>30813</v>
      </c>
      <c r="B697" s="14">
        <v>1</v>
      </c>
    </row>
    <row r="698" spans="1:2" x14ac:dyDescent="0.25">
      <c r="A698" s="44" t="s">
        <v>30814</v>
      </c>
      <c r="B698" s="14">
        <v>1</v>
      </c>
    </row>
    <row r="699" spans="1:2" x14ac:dyDescent="0.25">
      <c r="A699" s="44" t="s">
        <v>30815</v>
      </c>
      <c r="B699" s="14">
        <v>1</v>
      </c>
    </row>
    <row r="700" spans="1:2" x14ac:dyDescent="0.25">
      <c r="A700" s="44" t="s">
        <v>30816</v>
      </c>
      <c r="B700" s="14">
        <v>1</v>
      </c>
    </row>
    <row r="701" spans="1:2" x14ac:dyDescent="0.25">
      <c r="A701" s="44" t="s">
        <v>30817</v>
      </c>
      <c r="B701" s="14">
        <v>1</v>
      </c>
    </row>
    <row r="702" spans="1:2" x14ac:dyDescent="0.25">
      <c r="A702" s="44" t="s">
        <v>30818</v>
      </c>
      <c r="B702" s="14">
        <v>1</v>
      </c>
    </row>
    <row r="703" spans="1:2" x14ac:dyDescent="0.25">
      <c r="A703" s="44" t="s">
        <v>30819</v>
      </c>
      <c r="B703" s="14">
        <v>1</v>
      </c>
    </row>
    <row r="704" spans="1:2" x14ac:dyDescent="0.25">
      <c r="A704" s="44" t="s">
        <v>30820</v>
      </c>
      <c r="B704" s="14">
        <v>1</v>
      </c>
    </row>
    <row r="705" spans="1:2" x14ac:dyDescent="0.25">
      <c r="A705" s="44" t="s">
        <v>162</v>
      </c>
      <c r="B705" s="14">
        <v>1</v>
      </c>
    </row>
    <row r="706" spans="1:2" x14ac:dyDescent="0.25">
      <c r="A706" s="44" t="s">
        <v>30821</v>
      </c>
      <c r="B706" s="14">
        <v>1</v>
      </c>
    </row>
    <row r="707" spans="1:2" x14ac:dyDescent="0.25">
      <c r="A707" s="44" t="s">
        <v>30822</v>
      </c>
      <c r="B707" s="14">
        <v>1</v>
      </c>
    </row>
    <row r="708" spans="1:2" x14ac:dyDescent="0.25">
      <c r="A708" s="44" t="s">
        <v>30823</v>
      </c>
      <c r="B708" s="14">
        <v>1</v>
      </c>
    </row>
    <row r="709" spans="1:2" x14ac:dyDescent="0.25">
      <c r="A709" s="44" t="s">
        <v>30824</v>
      </c>
      <c r="B709" s="14">
        <v>1</v>
      </c>
    </row>
    <row r="710" spans="1:2" x14ac:dyDescent="0.25">
      <c r="A710" s="44" t="s">
        <v>30825</v>
      </c>
      <c r="B710" s="14">
        <v>1</v>
      </c>
    </row>
    <row r="711" spans="1:2" x14ac:dyDescent="0.25">
      <c r="A711" s="44" t="s">
        <v>30826</v>
      </c>
      <c r="B711" s="14">
        <v>1</v>
      </c>
    </row>
    <row r="712" spans="1:2" x14ac:dyDescent="0.25">
      <c r="A712" s="44" t="s">
        <v>30827</v>
      </c>
      <c r="B712" s="14">
        <v>1</v>
      </c>
    </row>
    <row r="713" spans="1:2" x14ac:dyDescent="0.25">
      <c r="A713" s="44" t="s">
        <v>30828</v>
      </c>
      <c r="B713" s="14">
        <v>1</v>
      </c>
    </row>
    <row r="714" spans="1:2" x14ac:dyDescent="0.25">
      <c r="A714" s="44" t="s">
        <v>30829</v>
      </c>
      <c r="B714" s="14">
        <v>1</v>
      </c>
    </row>
    <row r="715" spans="1:2" x14ac:dyDescent="0.25">
      <c r="A715" s="44" t="s">
        <v>30830</v>
      </c>
      <c r="B715" s="14">
        <v>1</v>
      </c>
    </row>
    <row r="716" spans="1:2" x14ac:dyDescent="0.25">
      <c r="A716" s="44" t="s">
        <v>30831</v>
      </c>
      <c r="B716" s="14">
        <v>1</v>
      </c>
    </row>
    <row r="717" spans="1:2" x14ac:dyDescent="0.25">
      <c r="A717" s="44" t="s">
        <v>30832</v>
      </c>
      <c r="B717" s="14">
        <v>1</v>
      </c>
    </row>
    <row r="718" spans="1:2" x14ac:dyDescent="0.25">
      <c r="A718" s="44" t="s">
        <v>30833</v>
      </c>
      <c r="B718" s="14">
        <v>1</v>
      </c>
    </row>
    <row r="719" spans="1:2" x14ac:dyDescent="0.25">
      <c r="A719" s="44" t="s">
        <v>30834</v>
      </c>
      <c r="B719" s="14">
        <v>1</v>
      </c>
    </row>
    <row r="720" spans="1:2" x14ac:dyDescent="0.25">
      <c r="A720" s="44" t="s">
        <v>30835</v>
      </c>
      <c r="B720" s="14">
        <v>1</v>
      </c>
    </row>
    <row r="721" spans="1:2" x14ac:dyDescent="0.25">
      <c r="A721" s="44" t="s">
        <v>33</v>
      </c>
      <c r="B721" s="14">
        <v>1</v>
      </c>
    </row>
    <row r="722" spans="1:2" x14ac:dyDescent="0.25">
      <c r="A722" s="44" t="s">
        <v>30836</v>
      </c>
      <c r="B722" s="14">
        <v>1</v>
      </c>
    </row>
    <row r="723" spans="1:2" x14ac:dyDescent="0.25">
      <c r="A723" s="44" t="s">
        <v>18</v>
      </c>
      <c r="B723" s="14">
        <v>1</v>
      </c>
    </row>
    <row r="724" spans="1:2" x14ac:dyDescent="0.25">
      <c r="A724" s="44" t="s">
        <v>30837</v>
      </c>
      <c r="B724" s="14">
        <v>1</v>
      </c>
    </row>
    <row r="725" spans="1:2" x14ac:dyDescent="0.25">
      <c r="A725" s="44" t="s">
        <v>30838</v>
      </c>
      <c r="B725" s="14">
        <v>1</v>
      </c>
    </row>
    <row r="726" spans="1:2" x14ac:dyDescent="0.25">
      <c r="A726" s="44" t="s">
        <v>30839</v>
      </c>
      <c r="B726" s="14">
        <v>1</v>
      </c>
    </row>
    <row r="727" spans="1:2" x14ac:dyDescent="0.25">
      <c r="A727" s="44" t="s">
        <v>30840</v>
      </c>
      <c r="B727" s="14">
        <v>1</v>
      </c>
    </row>
    <row r="728" spans="1:2" x14ac:dyDescent="0.25">
      <c r="A728" s="44" t="s">
        <v>30841</v>
      </c>
      <c r="B728" s="14">
        <v>1</v>
      </c>
    </row>
    <row r="729" spans="1:2" x14ac:dyDescent="0.25">
      <c r="A729" s="44" t="s">
        <v>30842</v>
      </c>
      <c r="B729" s="14">
        <v>1</v>
      </c>
    </row>
    <row r="730" spans="1:2" x14ac:dyDescent="0.25">
      <c r="A730" s="44" t="s">
        <v>30843</v>
      </c>
      <c r="B730" s="14">
        <v>1</v>
      </c>
    </row>
    <row r="731" spans="1:2" x14ac:dyDescent="0.25">
      <c r="A731" s="44" t="s">
        <v>30844</v>
      </c>
      <c r="B731" s="14">
        <v>1</v>
      </c>
    </row>
    <row r="732" spans="1:2" x14ac:dyDescent="0.25">
      <c r="A732" s="44" t="s">
        <v>30845</v>
      </c>
      <c r="B732" s="14">
        <v>1</v>
      </c>
    </row>
    <row r="733" spans="1:2" x14ac:dyDescent="0.25">
      <c r="A733" s="44" t="s">
        <v>30846</v>
      </c>
      <c r="B733" s="14">
        <v>1</v>
      </c>
    </row>
    <row r="734" spans="1:2" x14ac:dyDescent="0.25">
      <c r="A734" s="44" t="s">
        <v>30847</v>
      </c>
      <c r="B734" s="14">
        <v>1</v>
      </c>
    </row>
    <row r="735" spans="1:2" x14ac:dyDescent="0.25">
      <c r="A735" s="44" t="s">
        <v>30848</v>
      </c>
      <c r="B735" s="14">
        <v>1</v>
      </c>
    </row>
    <row r="736" spans="1:2" x14ac:dyDescent="0.25">
      <c r="A736" s="44" t="s">
        <v>30849</v>
      </c>
      <c r="B736" s="14">
        <v>1</v>
      </c>
    </row>
    <row r="737" spans="1:2" x14ac:dyDescent="0.25">
      <c r="A737" s="44" t="s">
        <v>30850</v>
      </c>
      <c r="B737" s="14">
        <v>1</v>
      </c>
    </row>
    <row r="738" spans="1:2" x14ac:dyDescent="0.25">
      <c r="A738" s="44" t="s">
        <v>30851</v>
      </c>
      <c r="B738" s="14">
        <v>1</v>
      </c>
    </row>
    <row r="739" spans="1:2" x14ac:dyDescent="0.25">
      <c r="A739" s="44" t="s">
        <v>30852</v>
      </c>
      <c r="B739" s="14">
        <v>1</v>
      </c>
    </row>
    <row r="740" spans="1:2" x14ac:dyDescent="0.25">
      <c r="A740" s="44" t="s">
        <v>30853</v>
      </c>
      <c r="B740" s="14">
        <v>1</v>
      </c>
    </row>
    <row r="741" spans="1:2" x14ac:dyDescent="0.25">
      <c r="A741" s="44" t="s">
        <v>30854</v>
      </c>
      <c r="B741" s="14">
        <v>1</v>
      </c>
    </row>
    <row r="742" spans="1:2" x14ac:dyDescent="0.25">
      <c r="A742" s="44" t="s">
        <v>30855</v>
      </c>
      <c r="B742" s="14">
        <v>1</v>
      </c>
    </row>
    <row r="743" spans="1:2" x14ac:dyDescent="0.25">
      <c r="A743" s="44" t="s">
        <v>30856</v>
      </c>
      <c r="B743" s="14">
        <v>1</v>
      </c>
    </row>
    <row r="744" spans="1:2" x14ac:dyDescent="0.25">
      <c r="A744" s="44" t="s">
        <v>30857</v>
      </c>
      <c r="B744" s="14">
        <v>1</v>
      </c>
    </row>
    <row r="745" spans="1:2" x14ac:dyDescent="0.25">
      <c r="A745" s="44" t="s">
        <v>30858</v>
      </c>
      <c r="B745" s="14">
        <v>1</v>
      </c>
    </row>
    <row r="746" spans="1:2" x14ac:dyDescent="0.25">
      <c r="A746" s="44" t="s">
        <v>30859</v>
      </c>
      <c r="B746" s="14">
        <v>1</v>
      </c>
    </row>
    <row r="747" spans="1:2" x14ac:dyDescent="0.25">
      <c r="A747" s="44" t="s">
        <v>30860</v>
      </c>
      <c r="B747" s="14">
        <v>1</v>
      </c>
    </row>
    <row r="748" spans="1:2" x14ac:dyDescent="0.25">
      <c r="A748" s="44" t="s">
        <v>30861</v>
      </c>
      <c r="B748" s="14">
        <v>1</v>
      </c>
    </row>
    <row r="749" spans="1:2" x14ac:dyDescent="0.25">
      <c r="A749" s="44" t="s">
        <v>30862</v>
      </c>
      <c r="B749" s="14">
        <v>1</v>
      </c>
    </row>
    <row r="750" spans="1:2" x14ac:dyDescent="0.25">
      <c r="A750" s="44" t="s">
        <v>30863</v>
      </c>
      <c r="B750" s="14">
        <v>1</v>
      </c>
    </row>
    <row r="751" spans="1:2" x14ac:dyDescent="0.25">
      <c r="A751" s="44" t="s">
        <v>30864</v>
      </c>
      <c r="B751" s="14">
        <v>1</v>
      </c>
    </row>
    <row r="752" spans="1:2" x14ac:dyDescent="0.25">
      <c r="A752" s="44" t="s">
        <v>30865</v>
      </c>
      <c r="B752" s="14">
        <v>1</v>
      </c>
    </row>
    <row r="753" spans="1:2" x14ac:dyDescent="0.25">
      <c r="A753" s="44" t="s">
        <v>30866</v>
      </c>
      <c r="B753" s="14">
        <v>1</v>
      </c>
    </row>
    <row r="754" spans="1:2" x14ac:dyDescent="0.25">
      <c r="A754" s="44" t="s">
        <v>30867</v>
      </c>
      <c r="B754" s="14">
        <v>1</v>
      </c>
    </row>
    <row r="755" spans="1:2" x14ac:dyDescent="0.25">
      <c r="A755" s="44" t="s">
        <v>30868</v>
      </c>
      <c r="B755" s="14">
        <v>1</v>
      </c>
    </row>
    <row r="756" spans="1:2" x14ac:dyDescent="0.25">
      <c r="A756" s="44" t="s">
        <v>30869</v>
      </c>
      <c r="B756" s="14">
        <v>1</v>
      </c>
    </row>
    <row r="757" spans="1:2" x14ac:dyDescent="0.25">
      <c r="A757" s="44" t="s">
        <v>30870</v>
      </c>
      <c r="B757" s="14">
        <v>1</v>
      </c>
    </row>
    <row r="758" spans="1:2" x14ac:dyDescent="0.25">
      <c r="A758" s="44" t="s">
        <v>30871</v>
      </c>
      <c r="B758" s="14">
        <v>1</v>
      </c>
    </row>
    <row r="759" spans="1:2" x14ac:dyDescent="0.25">
      <c r="A759" s="44" t="s">
        <v>30872</v>
      </c>
      <c r="B759" s="14">
        <v>1</v>
      </c>
    </row>
    <row r="760" spans="1:2" x14ac:dyDescent="0.25">
      <c r="A760" s="44" t="s">
        <v>30873</v>
      </c>
      <c r="B760" s="14">
        <v>1</v>
      </c>
    </row>
    <row r="761" spans="1:2" x14ac:dyDescent="0.25">
      <c r="A761" s="44" t="s">
        <v>30874</v>
      </c>
      <c r="B761" s="14">
        <v>1</v>
      </c>
    </row>
    <row r="762" spans="1:2" x14ac:dyDescent="0.25">
      <c r="A762" s="44" t="s">
        <v>30875</v>
      </c>
      <c r="B762" s="14">
        <v>1</v>
      </c>
    </row>
    <row r="763" spans="1:2" x14ac:dyDescent="0.25">
      <c r="A763" s="44" t="s">
        <v>30876</v>
      </c>
      <c r="B763" s="14">
        <v>1</v>
      </c>
    </row>
    <row r="764" spans="1:2" x14ac:dyDescent="0.25">
      <c r="A764" s="44" t="s">
        <v>208</v>
      </c>
      <c r="B764" s="14">
        <v>1</v>
      </c>
    </row>
    <row r="765" spans="1:2" x14ac:dyDescent="0.25">
      <c r="A765" s="44" t="s">
        <v>30877</v>
      </c>
      <c r="B765" s="14">
        <v>1</v>
      </c>
    </row>
    <row r="766" spans="1:2" x14ac:dyDescent="0.25">
      <c r="A766" s="44" t="s">
        <v>30878</v>
      </c>
      <c r="B766" s="14">
        <v>1</v>
      </c>
    </row>
    <row r="767" spans="1:2" x14ac:dyDescent="0.25">
      <c r="A767" s="44" t="s">
        <v>30879</v>
      </c>
      <c r="B767" s="14">
        <v>1</v>
      </c>
    </row>
    <row r="768" spans="1:2" x14ac:dyDescent="0.25">
      <c r="A768" s="44" t="s">
        <v>30880</v>
      </c>
      <c r="B768" s="14">
        <v>1</v>
      </c>
    </row>
    <row r="769" spans="1:2" x14ac:dyDescent="0.25">
      <c r="A769" s="44" t="s">
        <v>30881</v>
      </c>
      <c r="B769" s="14">
        <v>1</v>
      </c>
    </row>
    <row r="770" spans="1:2" x14ac:dyDescent="0.25">
      <c r="A770" s="44" t="s">
        <v>30882</v>
      </c>
      <c r="B770" s="14">
        <v>1</v>
      </c>
    </row>
    <row r="771" spans="1:2" x14ac:dyDescent="0.25">
      <c r="A771" s="44" t="s">
        <v>30883</v>
      </c>
      <c r="B771" s="14">
        <v>1</v>
      </c>
    </row>
    <row r="772" spans="1:2" x14ac:dyDescent="0.25">
      <c r="A772" s="44" t="s">
        <v>30884</v>
      </c>
      <c r="B772" s="14">
        <v>1</v>
      </c>
    </row>
    <row r="773" spans="1:2" x14ac:dyDescent="0.25">
      <c r="A773" s="44" t="s">
        <v>30885</v>
      </c>
      <c r="B773" s="14">
        <v>1</v>
      </c>
    </row>
    <row r="774" spans="1:2" x14ac:dyDescent="0.25">
      <c r="A774" s="44" t="s">
        <v>30886</v>
      </c>
      <c r="B774" s="14">
        <v>1</v>
      </c>
    </row>
    <row r="775" spans="1:2" x14ac:dyDescent="0.25">
      <c r="A775" s="44" t="s">
        <v>30887</v>
      </c>
      <c r="B775" s="14">
        <v>1</v>
      </c>
    </row>
    <row r="776" spans="1:2" x14ac:dyDescent="0.25">
      <c r="A776" s="44" t="s">
        <v>30888</v>
      </c>
      <c r="B776" s="14">
        <v>1</v>
      </c>
    </row>
    <row r="777" spans="1:2" x14ac:dyDescent="0.25">
      <c r="A777" s="44" t="s">
        <v>30889</v>
      </c>
      <c r="B777" s="14">
        <v>1</v>
      </c>
    </row>
    <row r="778" spans="1:2" x14ac:dyDescent="0.25">
      <c r="A778" s="44" t="s">
        <v>30890</v>
      </c>
      <c r="B778" s="14">
        <v>1</v>
      </c>
    </row>
    <row r="779" spans="1:2" x14ac:dyDescent="0.25">
      <c r="A779" s="44" t="s">
        <v>30891</v>
      </c>
      <c r="B779" s="14">
        <v>1</v>
      </c>
    </row>
    <row r="780" spans="1:2" x14ac:dyDescent="0.25">
      <c r="A780" s="44" t="s">
        <v>30892</v>
      </c>
      <c r="B780" s="14">
        <v>1</v>
      </c>
    </row>
    <row r="781" spans="1:2" x14ac:dyDescent="0.25">
      <c r="A781" s="44" t="s">
        <v>30893</v>
      </c>
      <c r="B781" s="14">
        <v>1</v>
      </c>
    </row>
    <row r="782" spans="1:2" x14ac:dyDescent="0.25">
      <c r="A782" s="44" t="s">
        <v>30894</v>
      </c>
      <c r="B782" s="14">
        <v>1</v>
      </c>
    </row>
    <row r="783" spans="1:2" x14ac:dyDescent="0.25">
      <c r="A783" s="44" t="s">
        <v>30895</v>
      </c>
      <c r="B783" s="14">
        <v>1</v>
      </c>
    </row>
    <row r="784" spans="1:2" x14ac:dyDescent="0.25">
      <c r="A784" s="44" t="s">
        <v>30896</v>
      </c>
      <c r="B784" s="14">
        <v>1</v>
      </c>
    </row>
    <row r="785" spans="1:2" x14ac:dyDescent="0.25">
      <c r="A785" s="44" t="s">
        <v>30897</v>
      </c>
      <c r="B785" s="14">
        <v>1</v>
      </c>
    </row>
    <row r="786" spans="1:2" x14ac:dyDescent="0.25">
      <c r="A786" s="44" t="s">
        <v>30898</v>
      </c>
      <c r="B786" s="14">
        <v>1</v>
      </c>
    </row>
    <row r="787" spans="1:2" x14ac:dyDescent="0.25">
      <c r="A787" s="44" t="s">
        <v>30899</v>
      </c>
      <c r="B787" s="14">
        <v>1</v>
      </c>
    </row>
    <row r="788" spans="1:2" x14ac:dyDescent="0.25">
      <c r="A788" s="44" t="s">
        <v>30900</v>
      </c>
      <c r="B788" s="14">
        <v>1</v>
      </c>
    </row>
    <row r="789" spans="1:2" x14ac:dyDescent="0.25">
      <c r="A789" s="44" t="s">
        <v>30901</v>
      </c>
      <c r="B789" s="14">
        <v>1</v>
      </c>
    </row>
    <row r="790" spans="1:2" x14ac:dyDescent="0.25">
      <c r="A790" s="44" t="s">
        <v>30902</v>
      </c>
      <c r="B790" s="14">
        <v>1</v>
      </c>
    </row>
    <row r="791" spans="1:2" x14ac:dyDescent="0.25">
      <c r="A791" s="44" t="s">
        <v>30903</v>
      </c>
      <c r="B791" s="14">
        <v>1</v>
      </c>
    </row>
    <row r="792" spans="1:2" x14ac:dyDescent="0.25">
      <c r="A792" s="44" t="s">
        <v>30904</v>
      </c>
      <c r="B792" s="14">
        <v>1</v>
      </c>
    </row>
    <row r="793" spans="1:2" x14ac:dyDescent="0.25">
      <c r="A793" s="44" t="s">
        <v>30905</v>
      </c>
      <c r="B793" s="14">
        <v>1</v>
      </c>
    </row>
    <row r="794" spans="1:2" x14ac:dyDescent="0.25">
      <c r="A794" s="44" t="s">
        <v>30906</v>
      </c>
      <c r="B794" s="14">
        <v>1</v>
      </c>
    </row>
    <row r="795" spans="1:2" x14ac:dyDescent="0.25">
      <c r="A795" s="44" t="s">
        <v>30907</v>
      </c>
      <c r="B795" s="14">
        <v>1</v>
      </c>
    </row>
    <row r="796" spans="1:2" x14ac:dyDescent="0.25">
      <c r="A796" s="44" t="s">
        <v>30908</v>
      </c>
      <c r="B796" s="14">
        <v>1</v>
      </c>
    </row>
    <row r="797" spans="1:2" x14ac:dyDescent="0.25">
      <c r="A797" s="44" t="s">
        <v>30909</v>
      </c>
      <c r="B797" s="14">
        <v>1</v>
      </c>
    </row>
    <row r="798" spans="1:2" x14ac:dyDescent="0.25">
      <c r="A798" s="44" t="s">
        <v>30910</v>
      </c>
      <c r="B798" s="14">
        <v>1</v>
      </c>
    </row>
    <row r="799" spans="1:2" x14ac:dyDescent="0.25">
      <c r="A799" s="44" t="s">
        <v>30911</v>
      </c>
      <c r="B799" s="14">
        <v>1</v>
      </c>
    </row>
    <row r="800" spans="1:2" x14ac:dyDescent="0.25">
      <c r="A800" s="44" t="s">
        <v>30912</v>
      </c>
      <c r="B800" s="14">
        <v>1</v>
      </c>
    </row>
    <row r="801" spans="1:2" x14ac:dyDescent="0.25">
      <c r="A801" s="44" t="s">
        <v>30913</v>
      </c>
      <c r="B801" s="14">
        <v>1</v>
      </c>
    </row>
    <row r="802" spans="1:2" x14ac:dyDescent="0.25">
      <c r="A802" s="44" t="s">
        <v>30914</v>
      </c>
      <c r="B802" s="14">
        <v>1</v>
      </c>
    </row>
    <row r="803" spans="1:2" x14ac:dyDescent="0.25">
      <c r="A803" s="44" t="s">
        <v>30915</v>
      </c>
      <c r="B803" s="14">
        <v>1</v>
      </c>
    </row>
    <row r="804" spans="1:2" x14ac:dyDescent="0.25">
      <c r="A804" s="44" t="s">
        <v>30916</v>
      </c>
      <c r="B804" s="14">
        <v>1</v>
      </c>
    </row>
    <row r="805" spans="1:2" x14ac:dyDescent="0.25">
      <c r="A805" s="44" t="s">
        <v>30917</v>
      </c>
      <c r="B805" s="14">
        <v>1</v>
      </c>
    </row>
    <row r="806" spans="1:2" x14ac:dyDescent="0.25">
      <c r="A806" s="44" t="s">
        <v>30918</v>
      </c>
      <c r="B806" s="14">
        <v>1</v>
      </c>
    </row>
    <row r="807" spans="1:2" x14ac:dyDescent="0.25">
      <c r="A807" s="44" t="s">
        <v>30919</v>
      </c>
      <c r="B807" s="14">
        <v>1</v>
      </c>
    </row>
    <row r="808" spans="1:2" x14ac:dyDescent="0.25">
      <c r="A808" s="44" t="s">
        <v>30920</v>
      </c>
      <c r="B808" s="14">
        <v>1</v>
      </c>
    </row>
    <row r="809" spans="1:2" x14ac:dyDescent="0.25">
      <c r="A809" s="44" t="s">
        <v>30921</v>
      </c>
      <c r="B809" s="14">
        <v>1</v>
      </c>
    </row>
    <row r="810" spans="1:2" x14ac:dyDescent="0.25">
      <c r="A810" s="44" t="s">
        <v>30922</v>
      </c>
      <c r="B810" s="14">
        <v>1</v>
      </c>
    </row>
    <row r="811" spans="1:2" x14ac:dyDescent="0.25">
      <c r="A811" s="44" t="s">
        <v>30923</v>
      </c>
      <c r="B811" s="14">
        <v>1</v>
      </c>
    </row>
    <row r="812" spans="1:2" x14ac:dyDescent="0.25">
      <c r="A812" s="44" t="s">
        <v>30924</v>
      </c>
      <c r="B812" s="14">
        <v>1</v>
      </c>
    </row>
    <row r="813" spans="1:2" x14ac:dyDescent="0.25">
      <c r="A813" s="44" t="s">
        <v>30925</v>
      </c>
      <c r="B813" s="14">
        <v>1</v>
      </c>
    </row>
    <row r="814" spans="1:2" x14ac:dyDescent="0.25">
      <c r="A814" s="44" t="s">
        <v>30926</v>
      </c>
      <c r="B814" s="14">
        <v>1</v>
      </c>
    </row>
    <row r="815" spans="1:2" x14ac:dyDescent="0.25">
      <c r="A815" s="44" t="s">
        <v>30927</v>
      </c>
      <c r="B815" s="14">
        <v>1</v>
      </c>
    </row>
    <row r="816" spans="1:2" x14ac:dyDescent="0.25">
      <c r="A816" s="44" t="s">
        <v>30928</v>
      </c>
      <c r="B816" s="14">
        <v>1</v>
      </c>
    </row>
    <row r="817" spans="1:2" x14ac:dyDescent="0.25">
      <c r="A817" s="44" t="s">
        <v>30929</v>
      </c>
      <c r="B817" s="14">
        <v>1</v>
      </c>
    </row>
    <row r="818" spans="1:2" x14ac:dyDescent="0.25">
      <c r="A818" s="44" t="s">
        <v>30930</v>
      </c>
      <c r="B818" s="14">
        <v>1</v>
      </c>
    </row>
    <row r="819" spans="1:2" x14ac:dyDescent="0.25">
      <c r="A819" s="44" t="s">
        <v>30931</v>
      </c>
      <c r="B819" s="14">
        <v>1</v>
      </c>
    </row>
    <row r="820" spans="1:2" x14ac:dyDescent="0.25">
      <c r="A820" s="44" t="s">
        <v>30932</v>
      </c>
      <c r="B820" s="14">
        <v>1</v>
      </c>
    </row>
    <row r="821" spans="1:2" x14ac:dyDescent="0.25">
      <c r="A821" s="44" t="s">
        <v>30933</v>
      </c>
      <c r="B821" s="14">
        <v>1</v>
      </c>
    </row>
    <row r="822" spans="1:2" x14ac:dyDescent="0.25">
      <c r="A822" s="44" t="s">
        <v>30934</v>
      </c>
      <c r="B822" s="14">
        <v>1</v>
      </c>
    </row>
    <row r="823" spans="1:2" x14ac:dyDescent="0.25">
      <c r="A823" s="44" t="s">
        <v>30935</v>
      </c>
      <c r="B823" s="14">
        <v>1</v>
      </c>
    </row>
    <row r="824" spans="1:2" x14ac:dyDescent="0.25">
      <c r="A824" s="44" t="s">
        <v>30936</v>
      </c>
      <c r="B824" s="14">
        <v>1</v>
      </c>
    </row>
    <row r="825" spans="1:2" x14ac:dyDescent="0.25">
      <c r="A825" s="44" t="s">
        <v>30937</v>
      </c>
      <c r="B825" s="14">
        <v>1</v>
      </c>
    </row>
    <row r="826" spans="1:2" x14ac:dyDescent="0.25">
      <c r="A826" s="44" t="s">
        <v>30938</v>
      </c>
      <c r="B826" s="14">
        <v>1</v>
      </c>
    </row>
    <row r="827" spans="1:2" x14ac:dyDescent="0.25">
      <c r="A827" s="44" t="s">
        <v>30939</v>
      </c>
      <c r="B827" s="14">
        <v>1</v>
      </c>
    </row>
    <row r="828" spans="1:2" x14ac:dyDescent="0.25">
      <c r="A828" s="44" t="s">
        <v>30940</v>
      </c>
      <c r="B828" s="14">
        <v>1</v>
      </c>
    </row>
    <row r="829" spans="1:2" x14ac:dyDescent="0.25">
      <c r="A829" s="44" t="s">
        <v>30941</v>
      </c>
      <c r="B829" s="14">
        <v>1</v>
      </c>
    </row>
    <row r="830" spans="1:2" x14ac:dyDescent="0.25">
      <c r="A830" s="44" t="s">
        <v>30942</v>
      </c>
      <c r="B830" s="14">
        <v>1</v>
      </c>
    </row>
    <row r="831" spans="1:2" x14ac:dyDescent="0.25">
      <c r="A831" s="44" t="s">
        <v>30943</v>
      </c>
      <c r="B831" s="14">
        <v>1</v>
      </c>
    </row>
    <row r="832" spans="1:2" x14ac:dyDescent="0.25">
      <c r="A832" s="44" t="s">
        <v>30944</v>
      </c>
      <c r="B832" s="14">
        <v>1</v>
      </c>
    </row>
    <row r="833" spans="1:2" x14ac:dyDescent="0.25">
      <c r="A833" s="44" t="s">
        <v>30945</v>
      </c>
      <c r="B833" s="14">
        <v>1</v>
      </c>
    </row>
    <row r="834" spans="1:2" x14ac:dyDescent="0.25">
      <c r="A834" s="44" t="s">
        <v>30946</v>
      </c>
      <c r="B834" s="14">
        <v>1</v>
      </c>
    </row>
    <row r="835" spans="1:2" x14ac:dyDescent="0.25">
      <c r="A835" s="44" t="s">
        <v>15</v>
      </c>
      <c r="B835" s="14">
        <v>1</v>
      </c>
    </row>
    <row r="836" spans="1:2" x14ac:dyDescent="0.25">
      <c r="A836" s="44" t="s">
        <v>30947</v>
      </c>
      <c r="B836" s="14">
        <v>1</v>
      </c>
    </row>
    <row r="837" spans="1:2" x14ac:dyDescent="0.25">
      <c r="A837" s="44" t="s">
        <v>30948</v>
      </c>
      <c r="B837" s="14">
        <v>1</v>
      </c>
    </row>
    <row r="838" spans="1:2" x14ac:dyDescent="0.25">
      <c r="A838" s="44" t="s">
        <v>30949</v>
      </c>
      <c r="B838" s="14">
        <v>1</v>
      </c>
    </row>
    <row r="839" spans="1:2" x14ac:dyDescent="0.25">
      <c r="A839" s="44" t="s">
        <v>30950</v>
      </c>
      <c r="B839" s="14">
        <v>1</v>
      </c>
    </row>
    <row r="840" spans="1:2" x14ac:dyDescent="0.25">
      <c r="A840" s="44" t="s">
        <v>30951</v>
      </c>
      <c r="B840" s="14">
        <v>1</v>
      </c>
    </row>
    <row r="841" spans="1:2" x14ac:dyDescent="0.25">
      <c r="A841" s="44" t="s">
        <v>30952</v>
      </c>
      <c r="B841" s="14">
        <v>1</v>
      </c>
    </row>
    <row r="842" spans="1:2" x14ac:dyDescent="0.25">
      <c r="A842" s="44" t="s">
        <v>30953</v>
      </c>
      <c r="B842" s="14">
        <v>1</v>
      </c>
    </row>
    <row r="843" spans="1:2" x14ac:dyDescent="0.25">
      <c r="A843" s="44" t="s">
        <v>30954</v>
      </c>
      <c r="B843" s="14">
        <v>1</v>
      </c>
    </row>
    <row r="844" spans="1:2" x14ac:dyDescent="0.25">
      <c r="A844" s="44" t="s">
        <v>30955</v>
      </c>
      <c r="B844" s="14">
        <v>1</v>
      </c>
    </row>
    <row r="845" spans="1:2" x14ac:dyDescent="0.25">
      <c r="A845" s="44" t="s">
        <v>30956</v>
      </c>
      <c r="B845" s="14">
        <v>1</v>
      </c>
    </row>
    <row r="846" spans="1:2" x14ac:dyDescent="0.25">
      <c r="A846" s="44" t="s">
        <v>30957</v>
      </c>
      <c r="B846" s="14">
        <v>1</v>
      </c>
    </row>
    <row r="847" spans="1:2" x14ac:dyDescent="0.25">
      <c r="A847" s="44" t="s">
        <v>30958</v>
      </c>
      <c r="B847" s="14">
        <v>1</v>
      </c>
    </row>
    <row r="848" spans="1:2" x14ac:dyDescent="0.25">
      <c r="A848" s="44" t="s">
        <v>30959</v>
      </c>
      <c r="B848" s="14">
        <v>1</v>
      </c>
    </row>
    <row r="849" spans="1:2" x14ac:dyDescent="0.25">
      <c r="A849" s="44" t="s">
        <v>30960</v>
      </c>
      <c r="B849" s="14">
        <v>1</v>
      </c>
    </row>
    <row r="850" spans="1:2" x14ac:dyDescent="0.25">
      <c r="A850" s="44" t="s">
        <v>30961</v>
      </c>
      <c r="B850" s="14">
        <v>1</v>
      </c>
    </row>
    <row r="851" spans="1:2" x14ac:dyDescent="0.25">
      <c r="A851" s="44" t="s">
        <v>182</v>
      </c>
      <c r="B851" s="14">
        <v>1</v>
      </c>
    </row>
    <row r="852" spans="1:2" x14ac:dyDescent="0.25">
      <c r="A852" s="44" t="s">
        <v>30962</v>
      </c>
      <c r="B852" s="14">
        <v>1</v>
      </c>
    </row>
    <row r="853" spans="1:2" x14ac:dyDescent="0.25">
      <c r="A853" s="44" t="s">
        <v>30963</v>
      </c>
      <c r="B853" s="14">
        <v>1</v>
      </c>
    </row>
    <row r="854" spans="1:2" x14ac:dyDescent="0.25">
      <c r="A854" s="44" t="s">
        <v>30964</v>
      </c>
      <c r="B854" s="14">
        <v>1</v>
      </c>
    </row>
    <row r="855" spans="1:2" x14ac:dyDescent="0.25">
      <c r="A855" s="44" t="s">
        <v>30965</v>
      </c>
      <c r="B855" s="14">
        <v>1</v>
      </c>
    </row>
    <row r="856" spans="1:2" x14ac:dyDescent="0.25">
      <c r="A856" s="44" t="s">
        <v>30966</v>
      </c>
      <c r="B856" s="14">
        <v>1</v>
      </c>
    </row>
    <row r="857" spans="1:2" x14ac:dyDescent="0.25">
      <c r="A857" s="44" t="s">
        <v>30967</v>
      </c>
      <c r="B857" s="14">
        <v>1</v>
      </c>
    </row>
    <row r="858" spans="1:2" x14ac:dyDescent="0.25">
      <c r="A858" s="44" t="s">
        <v>30968</v>
      </c>
      <c r="B858" s="14">
        <v>1</v>
      </c>
    </row>
    <row r="859" spans="1:2" x14ac:dyDescent="0.25">
      <c r="A859" s="44" t="s">
        <v>30969</v>
      </c>
      <c r="B859" s="14">
        <v>1</v>
      </c>
    </row>
    <row r="860" spans="1:2" x14ac:dyDescent="0.25">
      <c r="A860" s="44" t="s">
        <v>30970</v>
      </c>
      <c r="B860" s="14">
        <v>1</v>
      </c>
    </row>
    <row r="861" spans="1:2" x14ac:dyDescent="0.25">
      <c r="A861" s="44" t="s">
        <v>30971</v>
      </c>
      <c r="B861" s="14">
        <v>1</v>
      </c>
    </row>
    <row r="862" spans="1:2" x14ac:dyDescent="0.25">
      <c r="A862" s="44" t="s">
        <v>30972</v>
      </c>
      <c r="B862" s="14">
        <v>1</v>
      </c>
    </row>
    <row r="863" spans="1:2" x14ac:dyDescent="0.25">
      <c r="A863" s="44" t="s">
        <v>30973</v>
      </c>
      <c r="B863" s="14">
        <v>1</v>
      </c>
    </row>
    <row r="864" spans="1:2" x14ac:dyDescent="0.25">
      <c r="A864" s="44" t="s">
        <v>30974</v>
      </c>
      <c r="B864" s="14">
        <v>1</v>
      </c>
    </row>
    <row r="865" spans="1:2" x14ac:dyDescent="0.25">
      <c r="A865" s="44" t="s">
        <v>30975</v>
      </c>
      <c r="B865" s="14">
        <v>1</v>
      </c>
    </row>
    <row r="866" spans="1:2" x14ac:dyDescent="0.25">
      <c r="A866" s="44" t="s">
        <v>30976</v>
      </c>
      <c r="B866" s="14">
        <v>1</v>
      </c>
    </row>
    <row r="867" spans="1:2" x14ac:dyDescent="0.25">
      <c r="A867" s="44" t="s">
        <v>30977</v>
      </c>
      <c r="B867" s="14">
        <v>1</v>
      </c>
    </row>
    <row r="868" spans="1:2" x14ac:dyDescent="0.25">
      <c r="A868" s="44" t="s">
        <v>30978</v>
      </c>
      <c r="B868" s="14">
        <v>1</v>
      </c>
    </row>
    <row r="869" spans="1:2" x14ac:dyDescent="0.25">
      <c r="A869" s="44" t="s">
        <v>30979</v>
      </c>
      <c r="B869" s="14">
        <v>1</v>
      </c>
    </row>
    <row r="870" spans="1:2" x14ac:dyDescent="0.25">
      <c r="A870" s="44" t="s">
        <v>30980</v>
      </c>
      <c r="B870" s="14">
        <v>1</v>
      </c>
    </row>
    <row r="871" spans="1:2" x14ac:dyDescent="0.25">
      <c r="A871" s="44" t="s">
        <v>30981</v>
      </c>
      <c r="B871" s="14">
        <v>1</v>
      </c>
    </row>
    <row r="872" spans="1:2" x14ac:dyDescent="0.25">
      <c r="A872" s="44" t="s">
        <v>30982</v>
      </c>
      <c r="B872" s="14">
        <v>1</v>
      </c>
    </row>
    <row r="873" spans="1:2" x14ac:dyDescent="0.25">
      <c r="A873" s="44" t="s">
        <v>30983</v>
      </c>
      <c r="B873" s="14">
        <v>1</v>
      </c>
    </row>
    <row r="874" spans="1:2" x14ac:dyDescent="0.25">
      <c r="A874" s="44" t="s">
        <v>30984</v>
      </c>
      <c r="B874" s="14">
        <v>1</v>
      </c>
    </row>
    <row r="875" spans="1:2" x14ac:dyDescent="0.25">
      <c r="A875" s="44" t="s">
        <v>30985</v>
      </c>
      <c r="B875" s="14">
        <v>1</v>
      </c>
    </row>
    <row r="876" spans="1:2" x14ac:dyDescent="0.25">
      <c r="A876" s="44" t="s">
        <v>30986</v>
      </c>
      <c r="B876" s="14">
        <v>1</v>
      </c>
    </row>
    <row r="877" spans="1:2" x14ac:dyDescent="0.25">
      <c r="A877" s="44" t="s">
        <v>30987</v>
      </c>
      <c r="B877" s="14">
        <v>1</v>
      </c>
    </row>
    <row r="878" spans="1:2" x14ac:dyDescent="0.25">
      <c r="A878" s="44" t="s">
        <v>30988</v>
      </c>
      <c r="B878" s="14">
        <v>1</v>
      </c>
    </row>
    <row r="879" spans="1:2" x14ac:dyDescent="0.25">
      <c r="A879" s="44" t="s">
        <v>30989</v>
      </c>
      <c r="B879" s="14">
        <v>1</v>
      </c>
    </row>
    <row r="880" spans="1:2" x14ac:dyDescent="0.25">
      <c r="A880" s="44" t="s">
        <v>30990</v>
      </c>
      <c r="B880" s="14">
        <v>1</v>
      </c>
    </row>
    <row r="881" spans="1:2" x14ac:dyDescent="0.25">
      <c r="A881" s="44" t="s">
        <v>30991</v>
      </c>
      <c r="B881" s="14">
        <v>1</v>
      </c>
    </row>
    <row r="882" spans="1:2" x14ac:dyDescent="0.25">
      <c r="A882" s="44" t="s">
        <v>30992</v>
      </c>
      <c r="B882" s="14">
        <v>1</v>
      </c>
    </row>
    <row r="883" spans="1:2" x14ac:dyDescent="0.25">
      <c r="A883" s="44" t="s">
        <v>30993</v>
      </c>
      <c r="B883" s="14">
        <v>1</v>
      </c>
    </row>
    <row r="884" spans="1:2" x14ac:dyDescent="0.25">
      <c r="A884" s="44" t="s">
        <v>30994</v>
      </c>
      <c r="B884" s="14">
        <v>1</v>
      </c>
    </row>
    <row r="885" spans="1:2" x14ac:dyDescent="0.25">
      <c r="A885" s="44" t="s">
        <v>30995</v>
      </c>
      <c r="B885" s="14">
        <v>1</v>
      </c>
    </row>
    <row r="886" spans="1:2" x14ac:dyDescent="0.25">
      <c r="A886" s="44" t="s">
        <v>30996</v>
      </c>
      <c r="B886" s="14">
        <v>1</v>
      </c>
    </row>
    <row r="887" spans="1:2" x14ac:dyDescent="0.25">
      <c r="A887" s="44" t="s">
        <v>30997</v>
      </c>
      <c r="B887" s="14">
        <v>1</v>
      </c>
    </row>
    <row r="888" spans="1:2" x14ac:dyDescent="0.25">
      <c r="A888" s="44" t="s">
        <v>30998</v>
      </c>
      <c r="B888" s="14">
        <v>1</v>
      </c>
    </row>
    <row r="889" spans="1:2" x14ac:dyDescent="0.25">
      <c r="A889" s="44" t="s">
        <v>30999</v>
      </c>
      <c r="B889" s="14">
        <v>1</v>
      </c>
    </row>
    <row r="890" spans="1:2" x14ac:dyDescent="0.25">
      <c r="A890" s="44" t="s">
        <v>31000</v>
      </c>
      <c r="B890" s="14">
        <v>1</v>
      </c>
    </row>
    <row r="891" spans="1:2" x14ac:dyDescent="0.25">
      <c r="A891" s="44" t="s">
        <v>31001</v>
      </c>
      <c r="B891" s="14">
        <v>1</v>
      </c>
    </row>
    <row r="892" spans="1:2" x14ac:dyDescent="0.25">
      <c r="A892" s="44" t="s">
        <v>31002</v>
      </c>
      <c r="B892" s="14">
        <v>1</v>
      </c>
    </row>
    <row r="893" spans="1:2" x14ac:dyDescent="0.25">
      <c r="A893" s="44" t="s">
        <v>31003</v>
      </c>
      <c r="B893" s="14">
        <v>1</v>
      </c>
    </row>
    <row r="894" spans="1:2" x14ac:dyDescent="0.25">
      <c r="A894" s="44" t="s">
        <v>31004</v>
      </c>
      <c r="B894" s="14">
        <v>1</v>
      </c>
    </row>
    <row r="895" spans="1:2" x14ac:dyDescent="0.25">
      <c r="A895" s="44" t="s">
        <v>31005</v>
      </c>
      <c r="B895" s="14">
        <v>1</v>
      </c>
    </row>
    <row r="896" spans="1:2" x14ac:dyDescent="0.25">
      <c r="A896" s="44" t="s">
        <v>31006</v>
      </c>
      <c r="B896" s="14">
        <v>1</v>
      </c>
    </row>
    <row r="897" spans="1:2" x14ac:dyDescent="0.25">
      <c r="A897" s="44" t="s">
        <v>31007</v>
      </c>
      <c r="B897" s="14">
        <v>1</v>
      </c>
    </row>
    <row r="898" spans="1:2" x14ac:dyDescent="0.25">
      <c r="A898" s="44" t="s">
        <v>98</v>
      </c>
      <c r="B898" s="14">
        <v>1</v>
      </c>
    </row>
    <row r="899" spans="1:2" x14ac:dyDescent="0.25">
      <c r="A899" s="44" t="s">
        <v>31008</v>
      </c>
      <c r="B899" s="14">
        <v>1</v>
      </c>
    </row>
    <row r="900" spans="1:2" x14ac:dyDescent="0.25">
      <c r="A900" s="44" t="s">
        <v>31009</v>
      </c>
      <c r="B900" s="14">
        <v>1</v>
      </c>
    </row>
    <row r="901" spans="1:2" x14ac:dyDescent="0.25">
      <c r="A901" s="44" t="s">
        <v>31010</v>
      </c>
      <c r="B901" s="14">
        <v>1</v>
      </c>
    </row>
    <row r="902" spans="1:2" x14ac:dyDescent="0.25">
      <c r="A902" s="44" t="s">
        <v>31011</v>
      </c>
      <c r="B902" s="14">
        <v>1</v>
      </c>
    </row>
    <row r="903" spans="1:2" x14ac:dyDescent="0.25">
      <c r="A903" s="44" t="s">
        <v>31012</v>
      </c>
      <c r="B903" s="14">
        <v>1</v>
      </c>
    </row>
    <row r="904" spans="1:2" x14ac:dyDescent="0.25">
      <c r="A904" s="44" t="s">
        <v>31013</v>
      </c>
      <c r="B904" s="14">
        <v>1</v>
      </c>
    </row>
    <row r="905" spans="1:2" x14ac:dyDescent="0.25">
      <c r="A905" s="44" t="s">
        <v>31014</v>
      </c>
      <c r="B905" s="14">
        <v>1</v>
      </c>
    </row>
    <row r="906" spans="1:2" x14ac:dyDescent="0.25">
      <c r="A906" s="44" t="s">
        <v>31015</v>
      </c>
      <c r="B906" s="14">
        <v>1</v>
      </c>
    </row>
    <row r="907" spans="1:2" x14ac:dyDescent="0.25">
      <c r="A907" s="44" t="s">
        <v>31016</v>
      </c>
      <c r="B907" s="14">
        <v>1</v>
      </c>
    </row>
    <row r="908" spans="1:2" x14ac:dyDescent="0.25">
      <c r="A908" s="44" t="s">
        <v>31017</v>
      </c>
      <c r="B908" s="14">
        <v>1</v>
      </c>
    </row>
    <row r="909" spans="1:2" x14ac:dyDescent="0.25">
      <c r="A909" s="44" t="s">
        <v>45</v>
      </c>
      <c r="B909" s="14">
        <v>1</v>
      </c>
    </row>
    <row r="910" spans="1:2" x14ac:dyDescent="0.25">
      <c r="A910" s="44" t="s">
        <v>31018</v>
      </c>
      <c r="B910" s="14">
        <v>1</v>
      </c>
    </row>
    <row r="911" spans="1:2" x14ac:dyDescent="0.25">
      <c r="A911" s="44" t="s">
        <v>31019</v>
      </c>
      <c r="B911" s="14">
        <v>1</v>
      </c>
    </row>
    <row r="912" spans="1:2" x14ac:dyDescent="0.25">
      <c r="A912" s="44" t="s">
        <v>31020</v>
      </c>
      <c r="B912" s="14">
        <v>1</v>
      </c>
    </row>
    <row r="913" spans="1:2" x14ac:dyDescent="0.25">
      <c r="A913" s="44" t="s">
        <v>31021</v>
      </c>
      <c r="B913" s="14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W4" sqref="W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3" t="s">
        <v>30114</v>
      </c>
      <c r="B1" s="43" t="s">
        <v>31022</v>
      </c>
    </row>
    <row r="2" spans="1:2" ht="15" customHeight="1" x14ac:dyDescent="0.25">
      <c r="A2" s="43" t="s">
        <v>30122</v>
      </c>
      <c r="B2" s="43" t="s">
        <v>31022</v>
      </c>
    </row>
    <row r="3" spans="1:2" ht="15" customHeight="1" x14ac:dyDescent="0.25">
      <c r="A3" s="43" t="s">
        <v>31023</v>
      </c>
      <c r="B3" s="43" t="s">
        <v>31022</v>
      </c>
    </row>
    <row r="4" spans="1:2" ht="15" customHeight="1" x14ac:dyDescent="0.25">
      <c r="A4" s="43" t="s">
        <v>90</v>
      </c>
      <c r="B4" s="43" t="s">
        <v>31024</v>
      </c>
    </row>
    <row r="5" spans="1:2" ht="15" customHeight="1" x14ac:dyDescent="0.25">
      <c r="A5" s="43" t="s">
        <v>30121</v>
      </c>
      <c r="B5" s="43" t="s">
        <v>31022</v>
      </c>
    </row>
    <row r="6" spans="1:2" x14ac:dyDescent="0.25">
      <c r="A6" s="43" t="s">
        <v>30118</v>
      </c>
      <c r="B6" s="43" t="s">
        <v>31025</v>
      </c>
    </row>
    <row r="7" spans="1:2" x14ac:dyDescent="0.25">
      <c r="A7" s="43" t="s">
        <v>30120</v>
      </c>
      <c r="B7" s="43" t="s">
        <v>31025</v>
      </c>
    </row>
    <row r="8" spans="1:2" x14ac:dyDescent="0.25">
      <c r="A8" s="43" t="s">
        <v>30071</v>
      </c>
      <c r="B8" s="43" t="s">
        <v>31025</v>
      </c>
    </row>
    <row r="9" spans="1:2" x14ac:dyDescent="0.25">
      <c r="A9" s="43" t="s">
        <v>30073</v>
      </c>
      <c r="B9" s="43" t="s">
        <v>31025</v>
      </c>
    </row>
    <row r="10" spans="1:2" x14ac:dyDescent="0.25">
      <c r="A10" s="43" t="s">
        <v>30115</v>
      </c>
      <c r="B10" s="43" t="s">
        <v>31026</v>
      </c>
    </row>
    <row r="11" spans="1:2" x14ac:dyDescent="0.25">
      <c r="A11" s="43" t="s">
        <v>93</v>
      </c>
      <c r="B11" s="43" t="s">
        <v>31027</v>
      </c>
    </row>
    <row r="12" spans="1:2" x14ac:dyDescent="0.25">
      <c r="A12" s="43" t="s">
        <v>30123</v>
      </c>
      <c r="B12" s="43" t="s">
        <v>31028</v>
      </c>
    </row>
    <row r="13" spans="1:2" x14ac:dyDescent="0.25">
      <c r="A13" s="43" t="s">
        <v>30124</v>
      </c>
      <c r="B13" s="43" t="s">
        <v>31029</v>
      </c>
    </row>
    <row r="14" spans="1:2" x14ac:dyDescent="0.25">
      <c r="A14" s="43" t="s">
        <v>30125</v>
      </c>
      <c r="B14" s="43" t="s">
        <v>31030</v>
      </c>
    </row>
    <row r="15" spans="1:2" ht="15" customHeight="1" x14ac:dyDescent="0.25">
      <c r="A15" s="43" t="s">
        <v>31031</v>
      </c>
      <c r="B15" s="43" t="s">
        <v>31022</v>
      </c>
    </row>
    <row r="16" spans="1:2" ht="15" customHeight="1" x14ac:dyDescent="0.25">
      <c r="A16" s="43" t="s">
        <v>30126</v>
      </c>
      <c r="B16" s="43" t="s">
        <v>31032</v>
      </c>
    </row>
    <row r="17" spans="1:2" ht="15" customHeight="1" x14ac:dyDescent="0.25">
      <c r="A17" s="43" t="s">
        <v>30127</v>
      </c>
      <c r="B17" s="43" t="s">
        <v>31033</v>
      </c>
    </row>
    <row r="18" spans="1:2" ht="15" customHeight="1" x14ac:dyDescent="0.25">
      <c r="A18" s="43" t="s">
        <v>30128</v>
      </c>
      <c r="B18" s="43" t="s">
        <v>31034</v>
      </c>
    </row>
    <row r="19" spans="1:2" x14ac:dyDescent="0.25">
      <c r="A19" s="43" t="s">
        <v>30129</v>
      </c>
      <c r="B19" s="43" t="s">
        <v>31035</v>
      </c>
    </row>
    <row r="20" spans="1:2" x14ac:dyDescent="0.25">
      <c r="A20" s="43" t="s">
        <v>30130</v>
      </c>
      <c r="B20" s="43" t="s">
        <v>31036</v>
      </c>
    </row>
    <row r="21" spans="1:2" x14ac:dyDescent="0.25">
      <c r="A21" s="43" t="s">
        <v>30131</v>
      </c>
      <c r="B21" s="43" t="s">
        <v>31037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1" t="s">
        <v>36089</v>
      </c>
      <c r="B10" s="81" t="s">
        <v>25597</v>
      </c>
      <c r="C10" s="81">
        <v>1</v>
      </c>
      <c r="D10" s="82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45" t="s">
        <v>31077</v>
      </c>
      <c r="B1" s="46">
        <v>1</v>
      </c>
    </row>
    <row r="2" spans="1:2" x14ac:dyDescent="0.25">
      <c r="A2" s="45" t="s">
        <v>31078</v>
      </c>
      <c r="B2" s="46">
        <v>1</v>
      </c>
    </row>
    <row r="3" spans="1:2" x14ac:dyDescent="0.25">
      <c r="A3" s="45" t="s">
        <v>31079</v>
      </c>
      <c r="B3" s="46">
        <v>1</v>
      </c>
    </row>
    <row r="4" spans="1:2" x14ac:dyDescent="0.25">
      <c r="A4" s="45" t="s">
        <v>60</v>
      </c>
      <c r="B4" s="46">
        <v>1</v>
      </c>
    </row>
    <row r="5" spans="1:2" x14ac:dyDescent="0.25">
      <c r="A5" s="45" t="s">
        <v>31080</v>
      </c>
      <c r="B5" s="46">
        <v>1</v>
      </c>
    </row>
    <row r="6" spans="1:2" x14ac:dyDescent="0.25">
      <c r="A6" s="45" t="s">
        <v>61</v>
      </c>
      <c r="B6" s="46">
        <v>1</v>
      </c>
    </row>
    <row r="7" spans="1:2" x14ac:dyDescent="0.25">
      <c r="A7" s="45" t="s">
        <v>31081</v>
      </c>
      <c r="B7" s="46">
        <v>1</v>
      </c>
    </row>
    <row r="8" spans="1:2" x14ac:dyDescent="0.25">
      <c r="A8" s="45" t="s">
        <v>20</v>
      </c>
      <c r="B8" s="46">
        <v>1</v>
      </c>
    </row>
    <row r="9" spans="1:2" x14ac:dyDescent="0.25">
      <c r="A9" s="45" t="s">
        <v>31082</v>
      </c>
      <c r="B9" s="46">
        <v>1</v>
      </c>
    </row>
    <row r="10" spans="1:2" x14ac:dyDescent="0.25">
      <c r="A10" s="45" t="s">
        <v>12</v>
      </c>
      <c r="B10" s="46">
        <v>1</v>
      </c>
    </row>
    <row r="11" spans="1:2" x14ac:dyDescent="0.25">
      <c r="A11" s="45" t="s">
        <v>31083</v>
      </c>
      <c r="B11" s="46">
        <v>1</v>
      </c>
    </row>
    <row r="12" spans="1:2" x14ac:dyDescent="0.25">
      <c r="A12" s="45" t="s">
        <v>31084</v>
      </c>
      <c r="B12" s="46">
        <v>1</v>
      </c>
    </row>
    <row r="13" spans="1:2" x14ac:dyDescent="0.25">
      <c r="A13" s="45" t="s">
        <v>31085</v>
      </c>
      <c r="B13" s="46">
        <v>1</v>
      </c>
    </row>
    <row r="14" spans="1:2" x14ac:dyDescent="0.25">
      <c r="A14" s="45" t="s">
        <v>31086</v>
      </c>
      <c r="B14" s="46">
        <v>1</v>
      </c>
    </row>
    <row r="15" spans="1:2" x14ac:dyDescent="0.25">
      <c r="A15" s="45" t="s">
        <v>31087</v>
      </c>
      <c r="B15" s="46">
        <v>1</v>
      </c>
    </row>
    <row r="16" spans="1:2" x14ac:dyDescent="0.25">
      <c r="A16" s="45" t="s">
        <v>31088</v>
      </c>
      <c r="B16" s="46">
        <v>1</v>
      </c>
    </row>
    <row r="17" spans="1:2" x14ac:dyDescent="0.25">
      <c r="A17" s="45" t="s">
        <v>31089</v>
      </c>
      <c r="B17" s="46">
        <v>1</v>
      </c>
    </row>
    <row r="18" spans="1:2" x14ac:dyDescent="0.25">
      <c r="A18" s="45" t="s">
        <v>31090</v>
      </c>
      <c r="B18" s="46">
        <v>1</v>
      </c>
    </row>
    <row r="19" spans="1:2" x14ac:dyDescent="0.25">
      <c r="A19" s="45" t="s">
        <v>31091</v>
      </c>
      <c r="B19" s="46">
        <v>1</v>
      </c>
    </row>
    <row r="20" spans="1:2" x14ac:dyDescent="0.25">
      <c r="A20" s="45" t="s">
        <v>16</v>
      </c>
      <c r="B20" s="46">
        <v>1</v>
      </c>
    </row>
    <row r="21" spans="1:2" x14ac:dyDescent="0.25">
      <c r="A21" s="45" t="s">
        <v>31092</v>
      </c>
      <c r="B21" s="46">
        <v>1</v>
      </c>
    </row>
    <row r="22" spans="1:2" x14ac:dyDescent="0.25">
      <c r="A22" s="45" t="s">
        <v>31093</v>
      </c>
      <c r="B22" s="46">
        <v>1</v>
      </c>
    </row>
    <row r="23" spans="1:2" x14ac:dyDescent="0.25">
      <c r="A23" s="45" t="s">
        <v>31094</v>
      </c>
      <c r="B23" s="46">
        <v>1</v>
      </c>
    </row>
    <row r="24" spans="1:2" x14ac:dyDescent="0.25">
      <c r="A24" s="45" t="s">
        <v>31095</v>
      </c>
      <c r="B24" s="46">
        <v>1</v>
      </c>
    </row>
    <row r="25" spans="1:2" x14ac:dyDescent="0.25">
      <c r="A25" s="45" t="s">
        <v>31096</v>
      </c>
      <c r="B25" s="46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P34"/>
  <sheetViews>
    <sheetView topLeftCell="H1" workbookViewId="0">
      <pane ySplit="1" topLeftCell="A2" activePane="bottomLeft" state="frozen"/>
      <selection pane="bottomLeft" activeCell="P2" sqref="P2"/>
    </sheetView>
  </sheetViews>
  <sheetFormatPr defaultRowHeight="15" customHeight="1" x14ac:dyDescent="0.2"/>
  <cols>
    <col min="1" max="1" width="12.5703125" style="95" customWidth="1"/>
    <col min="2" max="2" width="32.42578125" style="95" customWidth="1"/>
    <col min="3" max="3" width="12.5703125" style="95" customWidth="1"/>
    <col min="4" max="4" width="20.7109375" style="95" customWidth="1"/>
    <col min="5" max="5" width="22.85546875" style="95" customWidth="1"/>
    <col min="6" max="6" width="12.5703125" style="95" customWidth="1"/>
    <col min="7" max="7" width="16.7109375" style="95" customWidth="1"/>
    <col min="8" max="8" width="12.5703125" style="95" customWidth="1"/>
    <col min="9" max="9" width="21.7109375" style="95" bestFit="1" customWidth="1"/>
    <col min="10" max="10" width="49" style="98" bestFit="1" customWidth="1"/>
    <col min="11" max="11" width="11.5703125" style="95" bestFit="1" customWidth="1"/>
    <col min="12" max="14" width="12.5703125" style="95" customWidth="1"/>
    <col min="15" max="15" width="6.5703125" style="95" customWidth="1"/>
    <col min="16" max="16" width="12.5703125" style="95" customWidth="1"/>
    <col min="17" max="17" width="5" style="117" customWidth="1"/>
    <col min="18" max="18" width="5" style="118" customWidth="1"/>
    <col min="19" max="42" width="4" style="95" bestFit="1" customWidth="1"/>
    <col min="43" max="43" width="9.140625" customWidth="1"/>
  </cols>
  <sheetData>
    <row r="1" spans="1:42" ht="74.25" customHeight="1" x14ac:dyDescent="0.2">
      <c r="A1" s="93" t="s">
        <v>6</v>
      </c>
      <c r="B1" s="93" t="s">
        <v>260</v>
      </c>
      <c r="C1" s="93" t="s">
        <v>4</v>
      </c>
      <c r="D1" s="93" t="s">
        <v>5</v>
      </c>
      <c r="E1" s="93" t="s">
        <v>83</v>
      </c>
      <c r="F1" s="93" t="s">
        <v>86</v>
      </c>
      <c r="G1" s="93" t="s">
        <v>257</v>
      </c>
      <c r="H1" s="93" t="s">
        <v>36861</v>
      </c>
      <c r="I1" s="93" t="s">
        <v>262</v>
      </c>
      <c r="J1" s="96" t="s">
        <v>87</v>
      </c>
      <c r="K1" s="93" t="s">
        <v>259</v>
      </c>
      <c r="L1" s="93" t="s">
        <v>84</v>
      </c>
      <c r="M1" s="93" t="s">
        <v>89</v>
      </c>
      <c r="N1" s="93" t="s">
        <v>88</v>
      </c>
      <c r="O1" s="93" t="s">
        <v>7</v>
      </c>
      <c r="P1" s="126" t="s">
        <v>37733</v>
      </c>
      <c r="Q1" s="119" t="s">
        <v>3</v>
      </c>
      <c r="R1" s="120" t="s">
        <v>263</v>
      </c>
      <c r="S1" s="100" t="s">
        <v>36088</v>
      </c>
      <c r="T1" s="100" t="s">
        <v>36075</v>
      </c>
      <c r="U1" s="100" t="s">
        <v>36076</v>
      </c>
      <c r="V1" s="100" t="s">
        <v>36077</v>
      </c>
      <c r="W1" s="100" t="s">
        <v>36078</v>
      </c>
      <c r="X1" s="100" t="s">
        <v>36079</v>
      </c>
      <c r="Y1" s="100" t="s">
        <v>36080</v>
      </c>
      <c r="Z1" s="100" t="s">
        <v>36081</v>
      </c>
      <c r="AA1" s="100" t="s">
        <v>36082</v>
      </c>
      <c r="AB1" s="100" t="s">
        <v>36083</v>
      </c>
      <c r="AC1" s="100" t="s">
        <v>36084</v>
      </c>
      <c r="AD1" s="100" t="s">
        <v>36085</v>
      </c>
      <c r="AE1" s="100" t="s">
        <v>36086</v>
      </c>
      <c r="AF1" s="100" t="s">
        <v>36087</v>
      </c>
      <c r="AG1" s="99">
        <v>6</v>
      </c>
      <c r="AH1" s="99">
        <v>6.5</v>
      </c>
      <c r="AI1" s="99">
        <v>7</v>
      </c>
      <c r="AJ1" s="99">
        <v>7.5</v>
      </c>
      <c r="AK1" s="99">
        <v>8</v>
      </c>
      <c r="AL1" s="99">
        <v>8.5</v>
      </c>
      <c r="AM1" s="99">
        <v>9</v>
      </c>
      <c r="AN1" s="99">
        <v>9.5</v>
      </c>
      <c r="AO1" s="99">
        <v>10</v>
      </c>
      <c r="AP1" s="99">
        <v>10.5</v>
      </c>
    </row>
    <row r="2" spans="1:42" ht="15" customHeight="1" x14ac:dyDescent="0.2">
      <c r="A2" s="94" t="s">
        <v>37690</v>
      </c>
      <c r="B2" s="94" t="s">
        <v>37704</v>
      </c>
      <c r="C2" s="94" t="s">
        <v>216</v>
      </c>
      <c r="D2" s="94" t="s">
        <v>217</v>
      </c>
      <c r="E2" s="94" t="s">
        <v>10</v>
      </c>
      <c r="F2" s="94" t="s">
        <v>37055</v>
      </c>
      <c r="G2" s="94" t="s">
        <v>90</v>
      </c>
      <c r="H2" s="94">
        <v>99</v>
      </c>
      <c r="I2" s="94" t="s">
        <v>150</v>
      </c>
      <c r="J2" s="97" t="s">
        <v>37727</v>
      </c>
      <c r="K2" s="94" t="s">
        <v>30108</v>
      </c>
      <c r="L2" s="94" t="s">
        <v>30027</v>
      </c>
      <c r="M2" s="94" t="s">
        <v>37731</v>
      </c>
      <c r="N2" s="94" t="s">
        <v>61</v>
      </c>
      <c r="O2" s="94">
        <v>2998.6479999999997</v>
      </c>
      <c r="P2" s="94" t="s">
        <v>37734</v>
      </c>
      <c r="S2" s="95" t="s">
        <v>37062</v>
      </c>
      <c r="T2" s="95">
        <v>0</v>
      </c>
      <c r="U2" s="95">
        <v>0</v>
      </c>
      <c r="V2" s="95" t="s">
        <v>37062</v>
      </c>
      <c r="W2" s="95">
        <v>0</v>
      </c>
      <c r="X2" s="95">
        <v>2</v>
      </c>
      <c r="Y2" s="95">
        <v>0</v>
      </c>
      <c r="Z2" s="95">
        <v>4</v>
      </c>
      <c r="AA2" s="95">
        <v>0</v>
      </c>
      <c r="AB2" s="95" t="s">
        <v>37062</v>
      </c>
      <c r="AC2" s="95">
        <v>0</v>
      </c>
      <c r="AD2" s="95">
        <v>0</v>
      </c>
      <c r="AE2" s="95">
        <v>0</v>
      </c>
      <c r="AF2" s="95">
        <v>0</v>
      </c>
    </row>
    <row r="3" spans="1:42" ht="15" customHeight="1" x14ac:dyDescent="0.2">
      <c r="A3" s="95" t="s">
        <v>37691</v>
      </c>
      <c r="B3" s="95" t="s">
        <v>37705</v>
      </c>
      <c r="C3" s="95" t="s">
        <v>46</v>
      </c>
      <c r="D3" s="95" t="s">
        <v>92</v>
      </c>
      <c r="E3" s="94" t="s">
        <v>10</v>
      </c>
      <c r="F3" s="95" t="s">
        <v>37055</v>
      </c>
      <c r="G3" s="94" t="s">
        <v>90</v>
      </c>
      <c r="H3" s="95">
        <v>27</v>
      </c>
      <c r="I3" s="95" t="s">
        <v>25524</v>
      </c>
      <c r="J3" s="98" t="s">
        <v>36682</v>
      </c>
      <c r="K3" s="95" t="s">
        <v>30111</v>
      </c>
      <c r="L3" s="95" t="s">
        <v>30027</v>
      </c>
      <c r="M3" s="95" t="s">
        <v>37063</v>
      </c>
      <c r="N3" s="95" t="s">
        <v>12</v>
      </c>
      <c r="O3" s="95">
        <v>1178.8879999999997</v>
      </c>
      <c r="S3" s="95">
        <v>150</v>
      </c>
      <c r="T3" s="95">
        <v>0</v>
      </c>
      <c r="U3" s="95">
        <v>0</v>
      </c>
      <c r="V3" s="95" t="s">
        <v>37062</v>
      </c>
      <c r="W3" s="95">
        <v>0</v>
      </c>
      <c r="X3" s="95" t="s">
        <v>37062</v>
      </c>
      <c r="Y3" s="95">
        <v>0</v>
      </c>
      <c r="Z3" s="95" t="s">
        <v>37062</v>
      </c>
      <c r="AA3" s="95">
        <v>0</v>
      </c>
      <c r="AB3" s="95" t="s">
        <v>37062</v>
      </c>
      <c r="AC3" s="95">
        <v>0</v>
      </c>
      <c r="AD3" s="95">
        <v>0</v>
      </c>
      <c r="AE3" s="95">
        <v>0</v>
      </c>
      <c r="AF3" s="95">
        <v>0</v>
      </c>
    </row>
    <row r="4" spans="1:42" ht="15" customHeight="1" x14ac:dyDescent="0.2">
      <c r="A4" s="95" t="s">
        <v>37692</v>
      </c>
      <c r="B4" s="95" t="s">
        <v>37706</v>
      </c>
      <c r="C4" s="95" t="s">
        <v>46</v>
      </c>
      <c r="D4" s="95" t="s">
        <v>92</v>
      </c>
      <c r="E4" s="94" t="s">
        <v>10</v>
      </c>
      <c r="F4" s="95" t="s">
        <v>37055</v>
      </c>
      <c r="G4" s="94" t="s">
        <v>90</v>
      </c>
      <c r="H4" s="95">
        <v>5</v>
      </c>
      <c r="I4" s="95" t="s">
        <v>37575</v>
      </c>
      <c r="J4" s="98" t="s">
        <v>36682</v>
      </c>
      <c r="K4" s="95" t="s">
        <v>30111</v>
      </c>
      <c r="L4" s="95" t="s">
        <v>30027</v>
      </c>
      <c r="M4" s="95" t="s">
        <v>37063</v>
      </c>
      <c r="N4" s="95" t="s">
        <v>12</v>
      </c>
      <c r="O4" s="95">
        <v>1178.8879999999997</v>
      </c>
      <c r="S4" s="95">
        <v>115</v>
      </c>
      <c r="T4" s="95">
        <v>0</v>
      </c>
      <c r="U4" s="95">
        <v>0</v>
      </c>
      <c r="V4" s="95" t="s">
        <v>37062</v>
      </c>
      <c r="W4" s="95">
        <v>0</v>
      </c>
      <c r="X4" s="95" t="s">
        <v>37062</v>
      </c>
      <c r="Y4" s="95">
        <v>0</v>
      </c>
      <c r="Z4" s="95" t="s">
        <v>37062</v>
      </c>
      <c r="AA4" s="95">
        <v>0</v>
      </c>
      <c r="AB4" s="95" t="s">
        <v>37062</v>
      </c>
      <c r="AC4" s="95">
        <v>0</v>
      </c>
      <c r="AD4" s="95">
        <v>0</v>
      </c>
      <c r="AE4" s="95">
        <v>0</v>
      </c>
      <c r="AF4" s="95">
        <v>0</v>
      </c>
    </row>
    <row r="5" spans="1:42" ht="15" customHeight="1" x14ac:dyDescent="0.2">
      <c r="A5" s="95" t="s">
        <v>37693</v>
      </c>
      <c r="B5" s="95" t="s">
        <v>37707</v>
      </c>
      <c r="C5" s="95" t="s">
        <v>46</v>
      </c>
      <c r="D5" s="95" t="s">
        <v>92</v>
      </c>
      <c r="E5" s="94" t="s">
        <v>10</v>
      </c>
      <c r="F5" s="95" t="s">
        <v>37055</v>
      </c>
      <c r="G5" s="94" t="s">
        <v>90</v>
      </c>
      <c r="H5" s="95">
        <v>25</v>
      </c>
      <c r="I5" s="95" t="s">
        <v>25527</v>
      </c>
      <c r="J5" s="98" t="s">
        <v>36682</v>
      </c>
      <c r="K5" s="95" t="s">
        <v>30111</v>
      </c>
      <c r="L5" s="95" t="s">
        <v>30027</v>
      </c>
      <c r="M5" s="95" t="s">
        <v>37063</v>
      </c>
      <c r="N5" s="95" t="s">
        <v>12</v>
      </c>
      <c r="O5" s="95">
        <v>1178.8879999999997</v>
      </c>
      <c r="S5" s="95">
        <v>115</v>
      </c>
      <c r="T5" s="95">
        <v>0</v>
      </c>
      <c r="U5" s="95">
        <v>0</v>
      </c>
      <c r="V5" s="95" t="s">
        <v>37062</v>
      </c>
      <c r="W5" s="95">
        <v>0</v>
      </c>
      <c r="X5" s="95" t="s">
        <v>37062</v>
      </c>
      <c r="Y5" s="95">
        <v>0</v>
      </c>
      <c r="Z5" s="95" t="s">
        <v>37062</v>
      </c>
      <c r="AA5" s="95">
        <v>0</v>
      </c>
      <c r="AB5" s="95" t="s">
        <v>37062</v>
      </c>
      <c r="AC5" s="95">
        <v>0</v>
      </c>
      <c r="AD5" s="95">
        <v>0</v>
      </c>
      <c r="AE5" s="95">
        <v>0</v>
      </c>
      <c r="AF5" s="95">
        <v>0</v>
      </c>
    </row>
    <row r="6" spans="1:42" ht="15" customHeight="1" x14ac:dyDescent="0.2">
      <c r="A6" s="95" t="s">
        <v>1846</v>
      </c>
      <c r="B6" s="95" t="s">
        <v>37708</v>
      </c>
      <c r="C6" s="95" t="s">
        <v>46</v>
      </c>
      <c r="D6" s="95" t="s">
        <v>92</v>
      </c>
      <c r="E6" s="94" t="s">
        <v>10</v>
      </c>
      <c r="F6" s="95" t="s">
        <v>91</v>
      </c>
      <c r="G6" s="94" t="s">
        <v>90</v>
      </c>
      <c r="H6" s="95">
        <v>28</v>
      </c>
      <c r="I6" s="95" t="s">
        <v>25483</v>
      </c>
      <c r="J6" s="98" t="s">
        <v>36682</v>
      </c>
      <c r="K6" s="95" t="s">
        <v>30111</v>
      </c>
      <c r="L6" s="95" t="s">
        <v>30027</v>
      </c>
      <c r="M6" s="95" t="s">
        <v>31024</v>
      </c>
      <c r="N6" s="95" t="s">
        <v>12</v>
      </c>
      <c r="O6" s="95">
        <v>1178.8879999999997</v>
      </c>
      <c r="S6" s="95">
        <v>105</v>
      </c>
      <c r="T6" s="95">
        <v>0</v>
      </c>
      <c r="U6" s="95">
        <v>0</v>
      </c>
      <c r="V6" s="95" t="s">
        <v>37062</v>
      </c>
      <c r="W6" s="95">
        <v>0</v>
      </c>
      <c r="X6" s="95" t="s">
        <v>37062</v>
      </c>
      <c r="Y6" s="95">
        <v>0</v>
      </c>
      <c r="Z6" s="95" t="s">
        <v>37062</v>
      </c>
      <c r="AA6" s="95">
        <v>0</v>
      </c>
      <c r="AB6" s="95" t="s">
        <v>37062</v>
      </c>
      <c r="AC6" s="95">
        <v>0</v>
      </c>
      <c r="AD6" s="95">
        <v>0</v>
      </c>
      <c r="AE6" s="95">
        <v>0</v>
      </c>
      <c r="AF6" s="95">
        <v>0</v>
      </c>
    </row>
    <row r="7" spans="1:42" ht="15" customHeight="1" x14ac:dyDescent="0.2">
      <c r="A7" s="95" t="s">
        <v>36205</v>
      </c>
      <c r="B7" s="95" t="s">
        <v>37709</v>
      </c>
      <c r="C7" s="95" t="s">
        <v>46</v>
      </c>
      <c r="D7" s="95" t="s">
        <v>92</v>
      </c>
      <c r="E7" s="94" t="s">
        <v>10</v>
      </c>
      <c r="F7" s="95" t="s">
        <v>91</v>
      </c>
      <c r="G7" s="94" t="s">
        <v>90</v>
      </c>
      <c r="H7" s="95">
        <v>57</v>
      </c>
      <c r="I7" s="95" t="s">
        <v>25389</v>
      </c>
      <c r="J7" s="98" t="s">
        <v>36682</v>
      </c>
      <c r="K7" s="95" t="s">
        <v>30111</v>
      </c>
      <c r="L7" s="95" t="s">
        <v>30027</v>
      </c>
      <c r="M7" s="95" t="s">
        <v>31024</v>
      </c>
      <c r="N7" s="95" t="s">
        <v>12</v>
      </c>
      <c r="O7" s="95">
        <v>1178.8879999999997</v>
      </c>
      <c r="S7" s="95">
        <v>74</v>
      </c>
      <c r="T7" s="95">
        <v>0</v>
      </c>
      <c r="U7" s="95">
        <v>0</v>
      </c>
      <c r="V7" s="95" t="s">
        <v>37062</v>
      </c>
      <c r="W7" s="95">
        <v>0</v>
      </c>
      <c r="X7" s="95" t="s">
        <v>37062</v>
      </c>
      <c r="Y7" s="95">
        <v>0</v>
      </c>
      <c r="Z7" s="95" t="s">
        <v>37062</v>
      </c>
      <c r="AA7" s="95">
        <v>0</v>
      </c>
      <c r="AB7" s="95" t="s">
        <v>37062</v>
      </c>
      <c r="AC7" s="95">
        <v>0</v>
      </c>
      <c r="AD7" s="95">
        <v>0</v>
      </c>
      <c r="AE7" s="95">
        <v>0</v>
      </c>
      <c r="AF7" s="95">
        <v>0</v>
      </c>
    </row>
    <row r="8" spans="1:42" ht="15" customHeight="1" x14ac:dyDescent="0.2">
      <c r="A8" s="95" t="s">
        <v>36207</v>
      </c>
      <c r="B8" s="95" t="s">
        <v>37710</v>
      </c>
      <c r="C8" s="95" t="s">
        <v>46</v>
      </c>
      <c r="D8" s="95" t="s">
        <v>92</v>
      </c>
      <c r="E8" s="94" t="s">
        <v>10</v>
      </c>
      <c r="F8" s="95" t="s">
        <v>91</v>
      </c>
      <c r="G8" s="94" t="s">
        <v>90</v>
      </c>
      <c r="H8" s="95">
        <v>37</v>
      </c>
      <c r="I8" s="95" t="s">
        <v>25389</v>
      </c>
      <c r="J8" s="98" t="s">
        <v>36682</v>
      </c>
      <c r="K8" s="95" t="s">
        <v>30111</v>
      </c>
      <c r="L8" s="95" t="s">
        <v>30027</v>
      </c>
      <c r="M8" s="95" t="s">
        <v>31024</v>
      </c>
      <c r="N8" s="95" t="s">
        <v>12</v>
      </c>
      <c r="O8" s="95">
        <v>1178.8879999999997</v>
      </c>
      <c r="S8" s="95">
        <v>90</v>
      </c>
      <c r="T8" s="95">
        <v>0</v>
      </c>
      <c r="U8" s="95">
        <v>0</v>
      </c>
      <c r="V8" s="95" t="s">
        <v>37062</v>
      </c>
      <c r="W8" s="95">
        <v>0</v>
      </c>
      <c r="X8" s="95" t="s">
        <v>37062</v>
      </c>
      <c r="Y8" s="95">
        <v>0</v>
      </c>
      <c r="Z8" s="95" t="s">
        <v>37062</v>
      </c>
      <c r="AA8" s="95">
        <v>0</v>
      </c>
      <c r="AB8" s="95" t="s">
        <v>37062</v>
      </c>
      <c r="AC8" s="95">
        <v>0</v>
      </c>
      <c r="AD8" s="95">
        <v>0</v>
      </c>
      <c r="AE8" s="95">
        <v>0</v>
      </c>
      <c r="AF8" s="95">
        <v>0</v>
      </c>
    </row>
    <row r="9" spans="1:42" ht="15" customHeight="1" x14ac:dyDescent="0.2">
      <c r="A9" s="95" t="s">
        <v>36209</v>
      </c>
      <c r="B9" s="95" t="s">
        <v>37711</v>
      </c>
      <c r="C9" s="95" t="s">
        <v>46</v>
      </c>
      <c r="D9" s="95" t="s">
        <v>92</v>
      </c>
      <c r="E9" s="94" t="s">
        <v>10</v>
      </c>
      <c r="F9" s="95" t="s">
        <v>91</v>
      </c>
      <c r="G9" s="94" t="s">
        <v>90</v>
      </c>
      <c r="H9" s="95">
        <v>28</v>
      </c>
      <c r="I9" s="95" t="s">
        <v>25483</v>
      </c>
      <c r="J9" s="98" t="s">
        <v>36682</v>
      </c>
      <c r="K9" s="95" t="s">
        <v>30111</v>
      </c>
      <c r="L9" s="95" t="s">
        <v>30027</v>
      </c>
      <c r="M9" s="95" t="s">
        <v>31024</v>
      </c>
      <c r="N9" s="95" t="s">
        <v>12</v>
      </c>
      <c r="O9" s="95">
        <v>1178.8879999999997</v>
      </c>
      <c r="S9" s="95">
        <v>130</v>
      </c>
      <c r="T9" s="95">
        <v>0</v>
      </c>
      <c r="U9" s="95">
        <v>0</v>
      </c>
      <c r="V9" s="95" t="s">
        <v>37062</v>
      </c>
      <c r="W9" s="95">
        <v>0</v>
      </c>
      <c r="X9" s="95" t="s">
        <v>37062</v>
      </c>
      <c r="Y9" s="95">
        <v>0</v>
      </c>
      <c r="Z9" s="95" t="s">
        <v>37062</v>
      </c>
      <c r="AA9" s="95">
        <v>0</v>
      </c>
      <c r="AB9" s="95" t="s">
        <v>37062</v>
      </c>
      <c r="AC9" s="95">
        <v>0</v>
      </c>
      <c r="AD9" s="95">
        <v>0</v>
      </c>
      <c r="AE9" s="95">
        <v>0</v>
      </c>
      <c r="AF9" s="95">
        <v>0</v>
      </c>
    </row>
    <row r="10" spans="1:42" ht="15" customHeight="1" x14ac:dyDescent="0.2">
      <c r="A10" s="95" t="s">
        <v>37694</v>
      </c>
      <c r="B10" s="95" t="s">
        <v>37687</v>
      </c>
      <c r="C10" s="95" t="s">
        <v>46</v>
      </c>
      <c r="D10" s="95" t="s">
        <v>47</v>
      </c>
      <c r="E10" s="94" t="s">
        <v>10</v>
      </c>
      <c r="F10" s="95" t="s">
        <v>37055</v>
      </c>
      <c r="G10" s="94" t="s">
        <v>90</v>
      </c>
      <c r="H10" s="95">
        <v>5</v>
      </c>
      <c r="I10" s="95" t="s">
        <v>58</v>
      </c>
      <c r="J10" s="98" t="s">
        <v>36682</v>
      </c>
      <c r="K10" s="95" t="s">
        <v>30111</v>
      </c>
      <c r="L10" s="95" t="s">
        <v>30027</v>
      </c>
      <c r="M10" s="95" t="s">
        <v>37063</v>
      </c>
      <c r="N10" s="95" t="s">
        <v>12</v>
      </c>
      <c r="O10" s="95">
        <v>1178.8879999999997</v>
      </c>
      <c r="S10" s="95">
        <v>10</v>
      </c>
      <c r="T10" s="95">
        <v>0</v>
      </c>
      <c r="U10" s="95">
        <v>0</v>
      </c>
      <c r="V10" s="95" t="s">
        <v>37062</v>
      </c>
      <c r="W10" s="95">
        <v>0</v>
      </c>
      <c r="X10" s="95" t="s">
        <v>37062</v>
      </c>
      <c r="Y10" s="95">
        <v>0</v>
      </c>
      <c r="Z10" s="95" t="s">
        <v>37062</v>
      </c>
      <c r="AA10" s="95">
        <v>0</v>
      </c>
      <c r="AB10" s="95" t="s">
        <v>37062</v>
      </c>
      <c r="AC10" s="95">
        <v>0</v>
      </c>
      <c r="AD10" s="95">
        <v>0</v>
      </c>
      <c r="AE10" s="95">
        <v>0</v>
      </c>
      <c r="AF10" s="95">
        <v>0</v>
      </c>
    </row>
    <row r="11" spans="1:42" ht="15" customHeight="1" x14ac:dyDescent="0.2">
      <c r="A11" s="95" t="s">
        <v>37695</v>
      </c>
      <c r="B11" s="95" t="s">
        <v>37712</v>
      </c>
      <c r="C11" s="95" t="s">
        <v>46</v>
      </c>
      <c r="D11" s="95" t="s">
        <v>47</v>
      </c>
      <c r="E11" s="94" t="s">
        <v>10</v>
      </c>
      <c r="F11" s="95" t="s">
        <v>37055</v>
      </c>
      <c r="G11" s="94" t="s">
        <v>90</v>
      </c>
      <c r="H11" s="95">
        <v>6</v>
      </c>
      <c r="I11" s="95" t="s">
        <v>22</v>
      </c>
      <c r="J11" s="98" t="s">
        <v>36682</v>
      </c>
      <c r="K11" s="95" t="s">
        <v>30111</v>
      </c>
      <c r="L11" s="95" t="s">
        <v>30027</v>
      </c>
      <c r="M11" s="95" t="s">
        <v>37063</v>
      </c>
      <c r="N11" s="95" t="s">
        <v>12</v>
      </c>
      <c r="O11" s="95">
        <v>1495.3679999999997</v>
      </c>
      <c r="S11" s="95">
        <v>40</v>
      </c>
      <c r="T11" s="95">
        <v>0</v>
      </c>
      <c r="U11" s="95">
        <v>0</v>
      </c>
      <c r="V11" s="95" t="s">
        <v>37062</v>
      </c>
      <c r="W11" s="95">
        <v>0</v>
      </c>
      <c r="X11" s="95" t="s">
        <v>37062</v>
      </c>
      <c r="Y11" s="95">
        <v>0</v>
      </c>
      <c r="Z11" s="95" t="s">
        <v>37062</v>
      </c>
      <c r="AA11" s="95">
        <v>0</v>
      </c>
      <c r="AB11" s="95" t="s">
        <v>37062</v>
      </c>
      <c r="AC11" s="95">
        <v>0</v>
      </c>
      <c r="AD11" s="95">
        <v>0</v>
      </c>
      <c r="AE11" s="95">
        <v>0</v>
      </c>
      <c r="AF11" s="95">
        <v>0</v>
      </c>
    </row>
    <row r="12" spans="1:42" ht="15" customHeight="1" x14ac:dyDescent="0.2">
      <c r="A12" s="95" t="s">
        <v>1851</v>
      </c>
      <c r="B12" s="95" t="s">
        <v>37713</v>
      </c>
      <c r="C12" s="95" t="s">
        <v>46</v>
      </c>
      <c r="D12" s="95" t="s">
        <v>37726</v>
      </c>
      <c r="E12" s="94" t="s">
        <v>10</v>
      </c>
      <c r="F12" s="95" t="s">
        <v>91</v>
      </c>
      <c r="G12" s="94" t="s">
        <v>90</v>
      </c>
      <c r="H12" s="95">
        <v>3</v>
      </c>
      <c r="I12" s="95" t="s">
        <v>25573</v>
      </c>
      <c r="J12" s="98" t="s">
        <v>36682</v>
      </c>
      <c r="K12" s="95" t="s">
        <v>30111</v>
      </c>
      <c r="L12" s="95" t="s">
        <v>30027</v>
      </c>
      <c r="M12" s="95" t="s">
        <v>31024</v>
      </c>
      <c r="N12" s="95" t="s">
        <v>12</v>
      </c>
      <c r="O12" s="95">
        <v>1178.8879999999997</v>
      </c>
      <c r="S12" s="95">
        <v>12</v>
      </c>
      <c r="T12" s="95">
        <v>0</v>
      </c>
      <c r="U12" s="95">
        <v>0</v>
      </c>
      <c r="V12" s="95" t="s">
        <v>37062</v>
      </c>
      <c r="W12" s="95">
        <v>0</v>
      </c>
      <c r="X12" s="95" t="s">
        <v>37062</v>
      </c>
      <c r="Y12" s="95">
        <v>0</v>
      </c>
      <c r="Z12" s="95" t="s">
        <v>37062</v>
      </c>
      <c r="AA12" s="95">
        <v>0</v>
      </c>
      <c r="AB12" s="95" t="s">
        <v>37062</v>
      </c>
      <c r="AC12" s="95">
        <v>0</v>
      </c>
      <c r="AD12" s="95">
        <v>0</v>
      </c>
      <c r="AE12" s="95">
        <v>0</v>
      </c>
      <c r="AF12" s="95">
        <v>0</v>
      </c>
    </row>
    <row r="13" spans="1:42" ht="15" customHeight="1" x14ac:dyDescent="0.2">
      <c r="A13" s="95" t="s">
        <v>1853</v>
      </c>
      <c r="B13" s="95" t="s">
        <v>37713</v>
      </c>
      <c r="C13" s="95" t="s">
        <v>46</v>
      </c>
      <c r="D13" s="95" t="s">
        <v>37726</v>
      </c>
      <c r="E13" s="94" t="s">
        <v>10</v>
      </c>
      <c r="F13" s="95" t="s">
        <v>91</v>
      </c>
      <c r="G13" s="94" t="s">
        <v>90</v>
      </c>
      <c r="H13" s="95">
        <v>8</v>
      </c>
      <c r="I13" s="95" t="s">
        <v>140</v>
      </c>
      <c r="J13" s="98" t="s">
        <v>36682</v>
      </c>
      <c r="K13" s="95" t="s">
        <v>30111</v>
      </c>
      <c r="L13" s="95" t="s">
        <v>30027</v>
      </c>
      <c r="M13" s="95" t="s">
        <v>31024</v>
      </c>
      <c r="N13" s="95" t="s">
        <v>12</v>
      </c>
      <c r="O13" s="95">
        <v>1178.8879999999997</v>
      </c>
      <c r="S13" s="95">
        <v>6</v>
      </c>
      <c r="T13" s="95">
        <v>0</v>
      </c>
      <c r="U13" s="95">
        <v>0</v>
      </c>
      <c r="V13" s="95" t="s">
        <v>37062</v>
      </c>
      <c r="W13" s="95">
        <v>0</v>
      </c>
      <c r="X13" s="95" t="s">
        <v>37062</v>
      </c>
      <c r="Y13" s="95">
        <v>0</v>
      </c>
      <c r="Z13" s="95" t="s">
        <v>37062</v>
      </c>
      <c r="AA13" s="95">
        <v>0</v>
      </c>
      <c r="AB13" s="95" t="s">
        <v>37062</v>
      </c>
      <c r="AC13" s="95">
        <v>0</v>
      </c>
      <c r="AD13" s="95">
        <v>0</v>
      </c>
      <c r="AE13" s="95">
        <v>0</v>
      </c>
      <c r="AF13" s="95">
        <v>0</v>
      </c>
    </row>
    <row r="14" spans="1:42" ht="15" customHeight="1" x14ac:dyDescent="0.2">
      <c r="A14" s="95" t="s">
        <v>1859</v>
      </c>
      <c r="B14" s="95" t="s">
        <v>37714</v>
      </c>
      <c r="C14" s="95" t="s">
        <v>46</v>
      </c>
      <c r="D14" s="95" t="s">
        <v>37726</v>
      </c>
      <c r="E14" s="94" t="s">
        <v>10</v>
      </c>
      <c r="F14" s="95" t="s">
        <v>91</v>
      </c>
      <c r="G14" s="94" t="s">
        <v>90</v>
      </c>
      <c r="H14" s="95">
        <v>75</v>
      </c>
      <c r="I14" s="95" t="s">
        <v>212</v>
      </c>
      <c r="J14" s="98" t="s">
        <v>36682</v>
      </c>
      <c r="K14" s="95" t="s">
        <v>30111</v>
      </c>
      <c r="L14" s="95" t="s">
        <v>30027</v>
      </c>
      <c r="M14" s="95" t="s">
        <v>31024</v>
      </c>
      <c r="N14" s="95" t="s">
        <v>12</v>
      </c>
      <c r="O14" s="95">
        <v>1178.8879999999997</v>
      </c>
      <c r="S14" s="95">
        <v>6</v>
      </c>
      <c r="T14" s="95">
        <v>0</v>
      </c>
      <c r="U14" s="95">
        <v>0</v>
      </c>
      <c r="V14" s="95" t="s">
        <v>37062</v>
      </c>
      <c r="W14" s="95">
        <v>0</v>
      </c>
      <c r="X14" s="95" t="s">
        <v>37062</v>
      </c>
      <c r="Y14" s="95">
        <v>0</v>
      </c>
      <c r="Z14" s="95" t="s">
        <v>37062</v>
      </c>
      <c r="AA14" s="95">
        <v>0</v>
      </c>
      <c r="AB14" s="95" t="s">
        <v>37062</v>
      </c>
      <c r="AC14" s="95">
        <v>0</v>
      </c>
      <c r="AD14" s="95">
        <v>0</v>
      </c>
      <c r="AE14" s="95">
        <v>0</v>
      </c>
      <c r="AF14" s="95">
        <v>0</v>
      </c>
    </row>
    <row r="15" spans="1:42" ht="15" customHeight="1" x14ac:dyDescent="0.2">
      <c r="A15" s="95" t="s">
        <v>1861</v>
      </c>
      <c r="B15" s="95" t="s">
        <v>37715</v>
      </c>
      <c r="C15" s="95" t="s">
        <v>46</v>
      </c>
      <c r="D15" s="95" t="s">
        <v>37726</v>
      </c>
      <c r="E15" s="94" t="s">
        <v>10</v>
      </c>
      <c r="F15" s="95" t="s">
        <v>91</v>
      </c>
      <c r="G15" s="94" t="s">
        <v>90</v>
      </c>
      <c r="H15" s="95">
        <v>31</v>
      </c>
      <c r="I15" s="95" t="s">
        <v>28</v>
      </c>
      <c r="J15" s="98" t="s">
        <v>36682</v>
      </c>
      <c r="K15" s="95" t="s">
        <v>30111</v>
      </c>
      <c r="L15" s="95" t="s">
        <v>30027</v>
      </c>
      <c r="M15" s="95" t="s">
        <v>31024</v>
      </c>
      <c r="N15" s="95" t="s">
        <v>12</v>
      </c>
      <c r="O15" s="95">
        <v>1178.8879999999997</v>
      </c>
      <c r="S15" s="95">
        <v>6</v>
      </c>
      <c r="T15" s="95">
        <v>0</v>
      </c>
      <c r="U15" s="95">
        <v>0</v>
      </c>
      <c r="V15" s="95" t="s">
        <v>37062</v>
      </c>
      <c r="W15" s="95">
        <v>0</v>
      </c>
      <c r="X15" s="95" t="s">
        <v>37062</v>
      </c>
      <c r="Y15" s="95">
        <v>0</v>
      </c>
      <c r="Z15" s="95" t="s">
        <v>37062</v>
      </c>
      <c r="AA15" s="95">
        <v>0</v>
      </c>
      <c r="AB15" s="95" t="s">
        <v>37062</v>
      </c>
      <c r="AC15" s="95">
        <v>0</v>
      </c>
      <c r="AD15" s="95">
        <v>0</v>
      </c>
      <c r="AE15" s="95">
        <v>0</v>
      </c>
      <c r="AF15" s="95">
        <v>0</v>
      </c>
    </row>
    <row r="16" spans="1:42" ht="15" customHeight="1" x14ac:dyDescent="0.2">
      <c r="A16" s="95" t="s">
        <v>37696</v>
      </c>
      <c r="B16" s="95" t="s">
        <v>37716</v>
      </c>
      <c r="C16" s="95" t="s">
        <v>46</v>
      </c>
      <c r="D16" s="95" t="s">
        <v>37726</v>
      </c>
      <c r="E16" s="94" t="s">
        <v>10</v>
      </c>
      <c r="F16" s="95" t="s">
        <v>37055</v>
      </c>
      <c r="G16" s="94" t="s">
        <v>90</v>
      </c>
      <c r="H16" s="95">
        <v>89</v>
      </c>
      <c r="I16" s="95" t="s">
        <v>37594</v>
      </c>
      <c r="J16" s="98" t="s">
        <v>37061</v>
      </c>
      <c r="K16" s="95" t="s">
        <v>30111</v>
      </c>
      <c r="L16" s="95" t="s">
        <v>30027</v>
      </c>
      <c r="M16" s="95" t="s">
        <v>37063</v>
      </c>
      <c r="N16" s="95" t="s">
        <v>12</v>
      </c>
      <c r="O16" s="95">
        <v>1178.8879999999997</v>
      </c>
      <c r="S16" s="95">
        <v>5</v>
      </c>
      <c r="T16" s="95">
        <v>0</v>
      </c>
      <c r="U16" s="95">
        <v>0</v>
      </c>
      <c r="V16" s="95" t="s">
        <v>37062</v>
      </c>
      <c r="W16" s="95">
        <v>0</v>
      </c>
      <c r="X16" s="95" t="s">
        <v>37062</v>
      </c>
      <c r="Y16" s="95">
        <v>0</v>
      </c>
      <c r="Z16" s="95" t="s">
        <v>37062</v>
      </c>
      <c r="AA16" s="95">
        <v>0</v>
      </c>
      <c r="AB16" s="95" t="s">
        <v>37062</v>
      </c>
      <c r="AC16" s="95">
        <v>0</v>
      </c>
      <c r="AD16" s="95">
        <v>0</v>
      </c>
      <c r="AE16" s="95">
        <v>0</v>
      </c>
      <c r="AF16" s="95">
        <v>0</v>
      </c>
    </row>
    <row r="17" spans="1:32" ht="15" customHeight="1" x14ac:dyDescent="0.2">
      <c r="A17" s="95" t="s">
        <v>37697</v>
      </c>
      <c r="B17" s="95" t="s">
        <v>37717</v>
      </c>
      <c r="C17" s="95" t="s">
        <v>31</v>
      </c>
      <c r="D17" s="95" t="s">
        <v>32</v>
      </c>
      <c r="E17" s="94" t="s">
        <v>10</v>
      </c>
      <c r="F17" s="95" t="s">
        <v>37055</v>
      </c>
      <c r="G17" s="94" t="s">
        <v>90</v>
      </c>
      <c r="H17" s="95">
        <v>2</v>
      </c>
      <c r="I17" s="95" t="s">
        <v>23</v>
      </c>
      <c r="J17" s="98" t="s">
        <v>37728</v>
      </c>
      <c r="K17" s="95" t="s">
        <v>30111</v>
      </c>
      <c r="L17" s="95" t="s">
        <v>30027</v>
      </c>
      <c r="M17" s="95" t="s">
        <v>37732</v>
      </c>
      <c r="N17" s="95" t="s">
        <v>60</v>
      </c>
      <c r="O17" s="95">
        <v>1811.8479999999997</v>
      </c>
      <c r="S17" s="95" t="s">
        <v>37062</v>
      </c>
      <c r="T17" s="95">
        <v>0</v>
      </c>
      <c r="U17" s="95">
        <v>0</v>
      </c>
      <c r="V17" s="95">
        <v>1</v>
      </c>
      <c r="W17" s="95">
        <v>0</v>
      </c>
      <c r="X17" s="95">
        <v>5</v>
      </c>
      <c r="Y17" s="95">
        <v>0</v>
      </c>
      <c r="Z17" s="95">
        <v>7</v>
      </c>
      <c r="AA17" s="95">
        <v>0</v>
      </c>
      <c r="AB17" s="95">
        <v>3</v>
      </c>
      <c r="AC17" s="95">
        <v>0</v>
      </c>
      <c r="AD17" s="95">
        <v>0</v>
      </c>
      <c r="AE17" s="95">
        <v>0</v>
      </c>
      <c r="AF17" s="95">
        <v>0</v>
      </c>
    </row>
    <row r="18" spans="1:32" ht="15" customHeight="1" x14ac:dyDescent="0.2">
      <c r="A18" s="95" t="s">
        <v>1023</v>
      </c>
      <c r="B18" s="95" t="s">
        <v>37688</v>
      </c>
      <c r="C18" s="95" t="s">
        <v>31</v>
      </c>
      <c r="D18" s="95" t="s">
        <v>32</v>
      </c>
      <c r="E18" s="94" t="s">
        <v>10</v>
      </c>
      <c r="F18" s="95" t="s">
        <v>91</v>
      </c>
      <c r="G18" s="94" t="s">
        <v>90</v>
      </c>
      <c r="H18" s="95">
        <v>2</v>
      </c>
      <c r="I18" s="95" t="s">
        <v>23</v>
      </c>
      <c r="J18" s="98" t="s">
        <v>36682</v>
      </c>
      <c r="K18" s="95" t="s">
        <v>30111</v>
      </c>
      <c r="L18" s="95" t="s">
        <v>30027</v>
      </c>
      <c r="M18" s="95" t="s">
        <v>31024</v>
      </c>
      <c r="N18" s="95" t="s">
        <v>12</v>
      </c>
      <c r="O18" s="95">
        <v>1020.6479999999999</v>
      </c>
      <c r="S18" s="95" t="s">
        <v>37062</v>
      </c>
      <c r="T18" s="95">
        <v>0</v>
      </c>
      <c r="U18" s="95">
        <v>0</v>
      </c>
      <c r="V18" s="95" t="s">
        <v>37062</v>
      </c>
      <c r="W18" s="95">
        <v>0</v>
      </c>
      <c r="X18" s="95">
        <v>5</v>
      </c>
      <c r="Y18" s="95">
        <v>0</v>
      </c>
      <c r="Z18" s="95">
        <v>5</v>
      </c>
      <c r="AA18" s="95">
        <v>0</v>
      </c>
      <c r="AB18" s="95" t="s">
        <v>37062</v>
      </c>
      <c r="AC18" s="95">
        <v>0</v>
      </c>
      <c r="AD18" s="95">
        <v>0</v>
      </c>
      <c r="AE18" s="95">
        <v>0</v>
      </c>
      <c r="AF18" s="95">
        <v>0</v>
      </c>
    </row>
    <row r="19" spans="1:32" ht="15" customHeight="1" x14ac:dyDescent="0.2">
      <c r="A19" s="95" t="s">
        <v>1019</v>
      </c>
      <c r="B19" s="95" t="s">
        <v>37688</v>
      </c>
      <c r="C19" s="95" t="s">
        <v>31</v>
      </c>
      <c r="D19" s="95" t="s">
        <v>32</v>
      </c>
      <c r="E19" s="94" t="s">
        <v>10</v>
      </c>
      <c r="F19" s="95" t="s">
        <v>91</v>
      </c>
      <c r="G19" s="94" t="s">
        <v>90</v>
      </c>
      <c r="H19" s="95">
        <v>32</v>
      </c>
      <c r="I19" s="95" t="s">
        <v>28</v>
      </c>
      <c r="J19" s="98" t="s">
        <v>36682</v>
      </c>
      <c r="K19" s="95" t="s">
        <v>30111</v>
      </c>
      <c r="L19" s="95" t="s">
        <v>30027</v>
      </c>
      <c r="M19" s="95" t="s">
        <v>31024</v>
      </c>
      <c r="N19" s="95" t="s">
        <v>12</v>
      </c>
      <c r="O19" s="95">
        <v>1020.6479999999999</v>
      </c>
      <c r="S19" s="95" t="s">
        <v>37062</v>
      </c>
      <c r="T19" s="95">
        <v>0</v>
      </c>
      <c r="U19" s="95">
        <v>0</v>
      </c>
      <c r="V19" s="95" t="s">
        <v>37062</v>
      </c>
      <c r="W19" s="95">
        <v>0</v>
      </c>
      <c r="X19" s="95">
        <v>4</v>
      </c>
      <c r="Y19" s="95">
        <v>0</v>
      </c>
      <c r="Z19" s="95">
        <v>9</v>
      </c>
      <c r="AA19" s="95">
        <v>0</v>
      </c>
      <c r="AB19" s="95" t="s">
        <v>37062</v>
      </c>
      <c r="AC19" s="95">
        <v>0</v>
      </c>
      <c r="AD19" s="95">
        <v>0</v>
      </c>
      <c r="AE19" s="95">
        <v>0</v>
      </c>
      <c r="AF19" s="95">
        <v>0</v>
      </c>
    </row>
    <row r="20" spans="1:32" ht="15" customHeight="1" x14ac:dyDescent="0.2">
      <c r="A20" s="95" t="s">
        <v>1015</v>
      </c>
      <c r="B20" s="95" t="s">
        <v>37688</v>
      </c>
      <c r="C20" s="95" t="s">
        <v>31</v>
      </c>
      <c r="D20" s="95" t="s">
        <v>32</v>
      </c>
      <c r="E20" s="94" t="s">
        <v>10</v>
      </c>
      <c r="F20" s="95" t="s">
        <v>91</v>
      </c>
      <c r="G20" s="94" t="s">
        <v>90</v>
      </c>
      <c r="H20" s="95">
        <v>55</v>
      </c>
      <c r="I20" s="95" t="s">
        <v>58</v>
      </c>
      <c r="J20" s="98" t="s">
        <v>36682</v>
      </c>
      <c r="K20" s="95" t="s">
        <v>30111</v>
      </c>
      <c r="L20" s="95" t="s">
        <v>30027</v>
      </c>
      <c r="M20" s="95" t="s">
        <v>31024</v>
      </c>
      <c r="N20" s="95" t="s">
        <v>12</v>
      </c>
      <c r="O20" s="95">
        <v>1020.6479999999999</v>
      </c>
      <c r="S20" s="95" t="s">
        <v>37062</v>
      </c>
      <c r="T20" s="95">
        <v>0</v>
      </c>
      <c r="U20" s="95">
        <v>0</v>
      </c>
      <c r="V20" s="95" t="s">
        <v>37062</v>
      </c>
      <c r="W20" s="95">
        <v>0</v>
      </c>
      <c r="X20" s="95">
        <v>5</v>
      </c>
      <c r="Y20" s="95">
        <v>0</v>
      </c>
      <c r="Z20" s="95">
        <v>6</v>
      </c>
      <c r="AA20" s="95">
        <v>0</v>
      </c>
      <c r="AB20" s="95" t="s">
        <v>37062</v>
      </c>
      <c r="AC20" s="95">
        <v>0</v>
      </c>
      <c r="AD20" s="95">
        <v>0</v>
      </c>
      <c r="AE20" s="95">
        <v>0</v>
      </c>
      <c r="AF20" s="95">
        <v>0</v>
      </c>
    </row>
    <row r="21" spans="1:32" ht="15" customHeight="1" x14ac:dyDescent="0.2">
      <c r="A21" s="95" t="s">
        <v>1875</v>
      </c>
      <c r="B21" s="95" t="s">
        <v>37689</v>
      </c>
      <c r="C21" s="95" t="s">
        <v>31</v>
      </c>
      <c r="D21" s="95" t="s">
        <v>25592</v>
      </c>
      <c r="E21" s="94" t="s">
        <v>10</v>
      </c>
      <c r="F21" s="95" t="s">
        <v>91</v>
      </c>
      <c r="G21" s="94" t="s">
        <v>90</v>
      </c>
      <c r="H21" s="95">
        <v>1</v>
      </c>
      <c r="I21" s="95" t="s">
        <v>1</v>
      </c>
      <c r="J21" s="98" t="s">
        <v>36682</v>
      </c>
      <c r="K21" s="95" t="s">
        <v>30111</v>
      </c>
      <c r="L21" s="95" t="s">
        <v>30027</v>
      </c>
      <c r="M21" s="95" t="s">
        <v>31024</v>
      </c>
      <c r="N21" s="95" t="s">
        <v>12</v>
      </c>
      <c r="O21" s="95">
        <v>1178.8879999999997</v>
      </c>
      <c r="S21" s="95" t="s">
        <v>37062</v>
      </c>
      <c r="T21" s="95">
        <v>0</v>
      </c>
      <c r="U21" s="95">
        <v>0</v>
      </c>
      <c r="V21" s="95" t="s">
        <v>37062</v>
      </c>
      <c r="W21" s="95">
        <v>0</v>
      </c>
      <c r="X21" s="95">
        <v>3</v>
      </c>
      <c r="Y21" s="95">
        <v>0</v>
      </c>
      <c r="Z21" s="95">
        <v>8</v>
      </c>
      <c r="AA21" s="95">
        <v>0</v>
      </c>
      <c r="AB21" s="95">
        <v>4</v>
      </c>
      <c r="AC21" s="95">
        <v>0</v>
      </c>
      <c r="AD21" s="95">
        <v>0</v>
      </c>
      <c r="AE21" s="95">
        <v>0</v>
      </c>
      <c r="AF21" s="95">
        <v>0</v>
      </c>
    </row>
    <row r="22" spans="1:32" ht="15" customHeight="1" x14ac:dyDescent="0.2">
      <c r="A22" s="95" t="s">
        <v>37698</v>
      </c>
      <c r="B22" s="95" t="s">
        <v>37689</v>
      </c>
      <c r="C22" s="95" t="s">
        <v>31</v>
      </c>
      <c r="D22" s="95" t="s">
        <v>25592</v>
      </c>
      <c r="E22" s="94" t="s">
        <v>10</v>
      </c>
      <c r="F22" s="95" t="s">
        <v>91</v>
      </c>
      <c r="G22" s="94" t="s">
        <v>90</v>
      </c>
      <c r="H22" s="95">
        <v>55</v>
      </c>
      <c r="I22" s="95" t="s">
        <v>54</v>
      </c>
      <c r="J22" s="98" t="s">
        <v>36682</v>
      </c>
      <c r="K22" s="95" t="s">
        <v>30111</v>
      </c>
      <c r="L22" s="95" t="s">
        <v>30027</v>
      </c>
      <c r="M22" s="95" t="s">
        <v>37063</v>
      </c>
      <c r="N22" s="95" t="s">
        <v>12</v>
      </c>
      <c r="O22" s="95">
        <v>1178.8879999999997</v>
      </c>
      <c r="S22" s="95" t="s">
        <v>37062</v>
      </c>
      <c r="T22" s="95">
        <v>0</v>
      </c>
      <c r="U22" s="95">
        <v>0</v>
      </c>
      <c r="V22" s="95">
        <v>1</v>
      </c>
      <c r="W22" s="95">
        <v>0</v>
      </c>
      <c r="X22" s="95">
        <v>4</v>
      </c>
      <c r="Y22" s="95">
        <v>0</v>
      </c>
      <c r="Z22" s="95">
        <v>7</v>
      </c>
      <c r="AA22" s="95">
        <v>0</v>
      </c>
      <c r="AB22" s="95">
        <v>2</v>
      </c>
      <c r="AC22" s="95">
        <v>0</v>
      </c>
      <c r="AD22" s="95">
        <v>0</v>
      </c>
      <c r="AE22" s="95">
        <v>0</v>
      </c>
      <c r="AF22" s="95">
        <v>0</v>
      </c>
    </row>
    <row r="23" spans="1:32" ht="15" customHeight="1" x14ac:dyDescent="0.2">
      <c r="A23" s="95" t="s">
        <v>37699</v>
      </c>
      <c r="B23" s="95" t="s">
        <v>37718</v>
      </c>
      <c r="C23" s="95" t="s">
        <v>46</v>
      </c>
      <c r="D23" s="95" t="s">
        <v>47</v>
      </c>
      <c r="E23" s="94" t="s">
        <v>10</v>
      </c>
      <c r="F23" s="95" t="s">
        <v>37054</v>
      </c>
      <c r="G23" s="94" t="s">
        <v>90</v>
      </c>
      <c r="H23" s="95">
        <v>3</v>
      </c>
      <c r="I23" s="95" t="s">
        <v>28</v>
      </c>
      <c r="J23" s="98" t="s">
        <v>37727</v>
      </c>
      <c r="K23" s="95" t="s">
        <v>30108</v>
      </c>
      <c r="L23" s="95" t="s">
        <v>30027</v>
      </c>
      <c r="M23" s="95" t="s">
        <v>37063</v>
      </c>
      <c r="N23" s="95" t="s">
        <v>12</v>
      </c>
      <c r="O23" s="95">
        <v>1495.3679999999997</v>
      </c>
      <c r="S23" s="95" t="s">
        <v>37062</v>
      </c>
      <c r="T23" s="95">
        <v>0</v>
      </c>
      <c r="U23" s="95">
        <v>0</v>
      </c>
      <c r="V23" s="95" t="s">
        <v>37062</v>
      </c>
      <c r="W23" s="95">
        <v>0</v>
      </c>
      <c r="X23" s="95">
        <v>4</v>
      </c>
      <c r="Y23" s="95">
        <v>0</v>
      </c>
      <c r="Z23" s="95">
        <v>6</v>
      </c>
      <c r="AA23" s="95">
        <v>0</v>
      </c>
      <c r="AB23" s="95" t="s">
        <v>37062</v>
      </c>
      <c r="AC23" s="95">
        <v>0</v>
      </c>
      <c r="AD23" s="95">
        <v>0</v>
      </c>
      <c r="AE23" s="95">
        <v>0</v>
      </c>
      <c r="AF23" s="95">
        <v>0</v>
      </c>
    </row>
    <row r="24" spans="1:32" ht="15" customHeight="1" x14ac:dyDescent="0.2">
      <c r="A24" s="95" t="s">
        <v>37700</v>
      </c>
      <c r="B24" s="95" t="s">
        <v>37719</v>
      </c>
      <c r="C24" s="95" t="s">
        <v>31</v>
      </c>
      <c r="D24" s="95" t="s">
        <v>39</v>
      </c>
      <c r="E24" s="94" t="s">
        <v>10</v>
      </c>
      <c r="F24" s="95" t="s">
        <v>37054</v>
      </c>
      <c r="G24" s="94" t="s">
        <v>90</v>
      </c>
      <c r="H24" s="95">
        <v>2</v>
      </c>
      <c r="I24" s="95" t="s">
        <v>27</v>
      </c>
      <c r="J24" s="98" t="s">
        <v>37727</v>
      </c>
      <c r="K24" s="95" t="s">
        <v>30108</v>
      </c>
      <c r="L24" s="95" t="s">
        <v>30027</v>
      </c>
      <c r="M24" s="95" t="s">
        <v>37732</v>
      </c>
      <c r="N24" s="95" t="s">
        <v>60</v>
      </c>
      <c r="O24" s="95">
        <v>2365.6880000000001</v>
      </c>
      <c r="S24" s="95" t="s">
        <v>37062</v>
      </c>
      <c r="T24" s="95">
        <v>0</v>
      </c>
      <c r="U24" s="95">
        <v>0</v>
      </c>
      <c r="V24" s="95">
        <v>1</v>
      </c>
      <c r="W24" s="95">
        <v>0</v>
      </c>
      <c r="X24" s="95">
        <v>5</v>
      </c>
      <c r="Y24" s="95">
        <v>0</v>
      </c>
      <c r="Z24" s="95">
        <v>8</v>
      </c>
      <c r="AA24" s="95">
        <v>0</v>
      </c>
      <c r="AB24" s="95">
        <v>2</v>
      </c>
      <c r="AC24" s="95">
        <v>0</v>
      </c>
      <c r="AD24" s="95">
        <v>0</v>
      </c>
      <c r="AE24" s="95">
        <v>0</v>
      </c>
      <c r="AF24" s="95">
        <v>0</v>
      </c>
    </row>
    <row r="25" spans="1:32" ht="15" customHeight="1" x14ac:dyDescent="0.2">
      <c r="A25" s="95" t="s">
        <v>37701</v>
      </c>
      <c r="B25" s="95" t="s">
        <v>37720</v>
      </c>
      <c r="C25" s="95" t="s">
        <v>31</v>
      </c>
      <c r="D25" s="95" t="s">
        <v>39</v>
      </c>
      <c r="E25" s="94" t="s">
        <v>10</v>
      </c>
      <c r="F25" s="95" t="s">
        <v>37054</v>
      </c>
      <c r="G25" s="94" t="s">
        <v>90</v>
      </c>
      <c r="H25" s="95">
        <v>6</v>
      </c>
      <c r="I25" s="95" t="s">
        <v>22</v>
      </c>
      <c r="J25" s="98" t="s">
        <v>37729</v>
      </c>
      <c r="K25" s="95" t="s">
        <v>30108</v>
      </c>
      <c r="L25" s="95" t="s">
        <v>30027</v>
      </c>
      <c r="M25" s="95" t="s">
        <v>37731</v>
      </c>
      <c r="N25" s="95" t="s">
        <v>61</v>
      </c>
      <c r="O25" s="95">
        <v>2998.6479999999997</v>
      </c>
      <c r="S25" s="95" t="s">
        <v>37062</v>
      </c>
      <c r="T25" s="95">
        <v>0</v>
      </c>
      <c r="U25" s="95">
        <v>0</v>
      </c>
      <c r="V25" s="95" t="s">
        <v>37062</v>
      </c>
      <c r="W25" s="95">
        <v>0</v>
      </c>
      <c r="X25" s="95">
        <v>4</v>
      </c>
      <c r="Y25" s="95">
        <v>0</v>
      </c>
      <c r="Z25" s="95">
        <v>6</v>
      </c>
      <c r="AA25" s="95">
        <v>0</v>
      </c>
      <c r="AB25" s="95">
        <v>1</v>
      </c>
      <c r="AC25" s="95">
        <v>0</v>
      </c>
      <c r="AD25" s="95">
        <v>0</v>
      </c>
      <c r="AE25" s="95">
        <v>0</v>
      </c>
      <c r="AF25" s="95">
        <v>0</v>
      </c>
    </row>
    <row r="26" spans="1:32" ht="15" customHeight="1" x14ac:dyDescent="0.2">
      <c r="A26" s="95" t="s">
        <v>1145</v>
      </c>
      <c r="B26" s="95" t="s">
        <v>37721</v>
      </c>
      <c r="C26" s="95" t="s">
        <v>8</v>
      </c>
      <c r="D26" s="95" t="s">
        <v>14</v>
      </c>
      <c r="E26" s="94" t="s">
        <v>10</v>
      </c>
      <c r="F26" s="95" t="s">
        <v>91</v>
      </c>
      <c r="G26" s="94" t="s">
        <v>90</v>
      </c>
      <c r="H26" s="95">
        <v>63</v>
      </c>
      <c r="I26" s="95" t="s">
        <v>233</v>
      </c>
      <c r="J26" s="98" t="s">
        <v>36678</v>
      </c>
      <c r="K26" s="95" t="s">
        <v>30107</v>
      </c>
      <c r="L26" s="95" t="s">
        <v>30027</v>
      </c>
      <c r="M26" s="95" t="s">
        <v>31024</v>
      </c>
      <c r="N26" s="95" t="s">
        <v>12</v>
      </c>
      <c r="O26" s="95">
        <v>4509.8399999999992</v>
      </c>
      <c r="S26" s="95" t="s">
        <v>37062</v>
      </c>
      <c r="T26" s="95">
        <v>0</v>
      </c>
      <c r="U26" s="95">
        <v>0</v>
      </c>
      <c r="V26" s="95" t="s">
        <v>37062</v>
      </c>
      <c r="W26" s="95">
        <v>0</v>
      </c>
      <c r="X26" s="95">
        <v>8</v>
      </c>
      <c r="Y26" s="95">
        <v>0</v>
      </c>
      <c r="Z26" s="95">
        <v>9</v>
      </c>
      <c r="AA26" s="95">
        <v>0</v>
      </c>
      <c r="AB26" s="95" t="s">
        <v>37062</v>
      </c>
      <c r="AC26" s="95">
        <v>0</v>
      </c>
      <c r="AD26" s="95">
        <v>0</v>
      </c>
      <c r="AE26" s="95">
        <v>0</v>
      </c>
      <c r="AF26" s="95">
        <v>0</v>
      </c>
    </row>
    <row r="27" spans="1:32" ht="15" customHeight="1" x14ac:dyDescent="0.2">
      <c r="A27" s="95" t="s">
        <v>667</v>
      </c>
      <c r="B27" s="95" t="s">
        <v>26202</v>
      </c>
      <c r="C27" s="95" t="s">
        <v>31</v>
      </c>
      <c r="D27" s="95" t="s">
        <v>25592</v>
      </c>
      <c r="E27" s="94" t="s">
        <v>10</v>
      </c>
      <c r="F27" s="95" t="s">
        <v>91</v>
      </c>
      <c r="G27" s="94" t="s">
        <v>90</v>
      </c>
      <c r="H27" s="95">
        <v>62</v>
      </c>
      <c r="I27" s="95" t="s">
        <v>233</v>
      </c>
      <c r="J27" s="98" t="s">
        <v>36678</v>
      </c>
      <c r="K27" s="95" t="s">
        <v>30107</v>
      </c>
      <c r="L27" s="95" t="s">
        <v>30027</v>
      </c>
      <c r="M27" s="95" t="s">
        <v>31024</v>
      </c>
      <c r="N27" s="95" t="s">
        <v>12</v>
      </c>
      <c r="O27" s="95">
        <v>2128.328</v>
      </c>
      <c r="S27" s="95">
        <v>10</v>
      </c>
      <c r="T27" s="95">
        <v>0</v>
      </c>
      <c r="U27" s="95">
        <v>0</v>
      </c>
      <c r="V27" s="95" t="s">
        <v>37062</v>
      </c>
      <c r="W27" s="95">
        <v>0</v>
      </c>
      <c r="X27" s="95" t="s">
        <v>37062</v>
      </c>
      <c r="Y27" s="95">
        <v>0</v>
      </c>
      <c r="Z27" s="95" t="s">
        <v>37062</v>
      </c>
      <c r="AA27" s="95">
        <v>0</v>
      </c>
      <c r="AB27" s="95" t="s">
        <v>37062</v>
      </c>
      <c r="AC27" s="95">
        <v>0</v>
      </c>
      <c r="AD27" s="95">
        <v>0</v>
      </c>
      <c r="AE27" s="95">
        <v>0</v>
      </c>
      <c r="AF27" s="95">
        <v>0</v>
      </c>
    </row>
    <row r="28" spans="1:32" ht="15" customHeight="1" x14ac:dyDescent="0.2">
      <c r="A28" s="95" t="s">
        <v>37702</v>
      </c>
      <c r="B28" s="95" t="s">
        <v>37722</v>
      </c>
      <c r="C28" s="95" t="s">
        <v>216</v>
      </c>
      <c r="D28" s="95" t="s">
        <v>217</v>
      </c>
      <c r="E28" s="94" t="s">
        <v>10</v>
      </c>
      <c r="F28" s="95" t="s">
        <v>31076</v>
      </c>
      <c r="G28" s="94" t="s">
        <v>90</v>
      </c>
      <c r="H28" s="95">
        <v>2</v>
      </c>
      <c r="I28" s="95" t="s">
        <v>27</v>
      </c>
      <c r="J28" s="98" t="s">
        <v>36682</v>
      </c>
      <c r="K28" s="95" t="s">
        <v>30111</v>
      </c>
      <c r="L28" s="95" t="s">
        <v>30027</v>
      </c>
      <c r="M28" s="95" t="s">
        <v>37063</v>
      </c>
      <c r="N28" s="95" t="s">
        <v>12</v>
      </c>
      <c r="O28" s="95">
        <v>2128.328</v>
      </c>
      <c r="S28" s="95" t="s">
        <v>37062</v>
      </c>
      <c r="T28" s="95">
        <v>0</v>
      </c>
      <c r="U28" s="95">
        <v>0</v>
      </c>
      <c r="V28" s="95" t="s">
        <v>37062</v>
      </c>
      <c r="W28" s="95">
        <v>0</v>
      </c>
      <c r="X28" s="95" t="s">
        <v>37062</v>
      </c>
      <c r="Y28" s="95">
        <v>0</v>
      </c>
      <c r="Z28" s="95">
        <v>4</v>
      </c>
      <c r="AA28" s="95">
        <v>0</v>
      </c>
      <c r="AB28" s="95">
        <v>2</v>
      </c>
      <c r="AC28" s="95">
        <v>0</v>
      </c>
      <c r="AD28" s="95">
        <v>0</v>
      </c>
      <c r="AE28" s="95">
        <v>0</v>
      </c>
      <c r="AF28" s="95">
        <v>0</v>
      </c>
    </row>
    <row r="29" spans="1:32" ht="15" customHeight="1" x14ac:dyDescent="0.2">
      <c r="A29" s="95" t="s">
        <v>957</v>
      </c>
      <c r="B29" s="95" t="s">
        <v>37722</v>
      </c>
      <c r="C29" s="95" t="s">
        <v>216</v>
      </c>
      <c r="D29" s="95" t="s">
        <v>217</v>
      </c>
      <c r="E29" s="94" t="s">
        <v>10</v>
      </c>
      <c r="F29" s="95" t="s">
        <v>31076</v>
      </c>
      <c r="G29" s="94" t="s">
        <v>90</v>
      </c>
      <c r="H29" s="95">
        <v>1</v>
      </c>
      <c r="I29" s="95" t="s">
        <v>1</v>
      </c>
      <c r="J29" s="98" t="s">
        <v>36682</v>
      </c>
      <c r="K29" s="95" t="s">
        <v>30111</v>
      </c>
      <c r="L29" s="95" t="s">
        <v>30027</v>
      </c>
      <c r="M29" s="95" t="s">
        <v>31024</v>
      </c>
      <c r="N29" s="95" t="s">
        <v>12</v>
      </c>
      <c r="O29" s="95">
        <v>2128.328</v>
      </c>
      <c r="S29" s="95" t="s">
        <v>37062</v>
      </c>
      <c r="T29" s="95">
        <v>0</v>
      </c>
      <c r="U29" s="95">
        <v>0</v>
      </c>
      <c r="V29" s="95" t="s">
        <v>37062</v>
      </c>
      <c r="W29" s="95">
        <v>0</v>
      </c>
      <c r="X29" s="95">
        <v>2</v>
      </c>
      <c r="Y29" s="95">
        <v>0</v>
      </c>
      <c r="Z29" s="95">
        <v>8</v>
      </c>
      <c r="AA29" s="95">
        <v>0</v>
      </c>
      <c r="AB29" s="95">
        <v>5</v>
      </c>
      <c r="AC29" s="95">
        <v>0</v>
      </c>
      <c r="AD29" s="95">
        <v>0</v>
      </c>
      <c r="AE29" s="95">
        <v>0</v>
      </c>
      <c r="AF29" s="95">
        <v>0</v>
      </c>
    </row>
    <row r="30" spans="1:32" ht="15" customHeight="1" x14ac:dyDescent="0.2">
      <c r="A30" s="95" t="s">
        <v>37703</v>
      </c>
      <c r="B30" s="95" t="s">
        <v>37722</v>
      </c>
      <c r="C30" s="95" t="s">
        <v>216</v>
      </c>
      <c r="D30" s="95" t="s">
        <v>217</v>
      </c>
      <c r="E30" s="94" t="s">
        <v>10</v>
      </c>
      <c r="F30" s="95" t="s">
        <v>31076</v>
      </c>
      <c r="G30" s="94" t="s">
        <v>90</v>
      </c>
      <c r="H30" s="95">
        <v>6</v>
      </c>
      <c r="I30" s="95" t="s">
        <v>22</v>
      </c>
      <c r="J30" s="98" t="s">
        <v>36682</v>
      </c>
      <c r="K30" s="95" t="s">
        <v>30111</v>
      </c>
      <c r="L30" s="95" t="s">
        <v>30027</v>
      </c>
      <c r="M30" s="95" t="s">
        <v>37063</v>
      </c>
      <c r="N30" s="95" t="s">
        <v>12</v>
      </c>
      <c r="O30" s="95">
        <v>2128.328</v>
      </c>
      <c r="S30" s="95" t="s">
        <v>37062</v>
      </c>
      <c r="T30" s="95">
        <v>0</v>
      </c>
      <c r="U30" s="95">
        <v>0</v>
      </c>
      <c r="V30" s="95" t="s">
        <v>37062</v>
      </c>
      <c r="W30" s="95">
        <v>0</v>
      </c>
      <c r="X30" s="95">
        <v>2</v>
      </c>
      <c r="Y30" s="95">
        <v>0</v>
      </c>
      <c r="Z30" s="95">
        <v>6</v>
      </c>
      <c r="AA30" s="95">
        <v>0</v>
      </c>
      <c r="AB30" s="95">
        <v>3</v>
      </c>
      <c r="AC30" s="95">
        <v>0</v>
      </c>
      <c r="AD30" s="95">
        <v>0</v>
      </c>
      <c r="AE30" s="95">
        <v>0</v>
      </c>
      <c r="AF30" s="95">
        <v>0</v>
      </c>
    </row>
    <row r="31" spans="1:32" ht="15" customHeight="1" x14ac:dyDescent="0.2">
      <c r="A31" s="95" t="s">
        <v>955</v>
      </c>
      <c r="B31" s="95" t="s">
        <v>37722</v>
      </c>
      <c r="C31" s="95" t="s">
        <v>216</v>
      </c>
      <c r="D31" s="95" t="s">
        <v>217</v>
      </c>
      <c r="E31" s="94" t="s">
        <v>10</v>
      </c>
      <c r="F31" s="95" t="s">
        <v>31076</v>
      </c>
      <c r="G31" s="94" t="s">
        <v>90</v>
      </c>
      <c r="H31" s="95">
        <v>61</v>
      </c>
      <c r="I31" s="95" t="s">
        <v>58</v>
      </c>
      <c r="J31" s="98" t="s">
        <v>36682</v>
      </c>
      <c r="K31" s="95" t="s">
        <v>30111</v>
      </c>
      <c r="L31" s="95" t="s">
        <v>30027</v>
      </c>
      <c r="M31" s="95" t="s">
        <v>31024</v>
      </c>
      <c r="N31" s="95" t="s">
        <v>12</v>
      </c>
      <c r="O31" s="95">
        <v>2128.328</v>
      </c>
      <c r="S31" s="95" t="s">
        <v>37062</v>
      </c>
      <c r="T31" s="95">
        <v>0</v>
      </c>
      <c r="U31" s="95">
        <v>0</v>
      </c>
      <c r="V31" s="95" t="s">
        <v>37062</v>
      </c>
      <c r="W31" s="95">
        <v>0</v>
      </c>
      <c r="X31" s="95" t="s">
        <v>37062</v>
      </c>
      <c r="Y31" s="95">
        <v>0</v>
      </c>
      <c r="Z31" s="95">
        <v>13</v>
      </c>
      <c r="AA31" s="95">
        <v>0</v>
      </c>
      <c r="AB31" s="95">
        <v>6</v>
      </c>
      <c r="AC31" s="95">
        <v>0</v>
      </c>
      <c r="AD31" s="95">
        <v>0</v>
      </c>
      <c r="AE31" s="95">
        <v>0</v>
      </c>
      <c r="AF31" s="95">
        <v>0</v>
      </c>
    </row>
    <row r="32" spans="1:32" ht="15" customHeight="1" x14ac:dyDescent="0.2">
      <c r="A32" s="95" t="s">
        <v>1063</v>
      </c>
      <c r="B32" s="95" t="s">
        <v>37723</v>
      </c>
      <c r="C32" s="95" t="s">
        <v>31</v>
      </c>
      <c r="D32" s="95" t="s">
        <v>25592</v>
      </c>
      <c r="E32" s="94" t="s">
        <v>10</v>
      </c>
      <c r="F32" s="95" t="s">
        <v>91</v>
      </c>
      <c r="G32" s="94" t="s">
        <v>90</v>
      </c>
      <c r="H32" s="95">
        <v>6</v>
      </c>
      <c r="I32" s="95" t="s">
        <v>22</v>
      </c>
      <c r="J32" s="98" t="s">
        <v>36682</v>
      </c>
      <c r="K32" s="95" t="s">
        <v>30111</v>
      </c>
      <c r="L32" s="95" t="s">
        <v>30027</v>
      </c>
      <c r="M32" s="95" t="s">
        <v>31024</v>
      </c>
      <c r="N32" s="95" t="s">
        <v>31092</v>
      </c>
      <c r="O32" s="95">
        <v>1178.8879999999997</v>
      </c>
      <c r="S32" s="95" t="s">
        <v>37062</v>
      </c>
      <c r="T32" s="95">
        <v>0</v>
      </c>
      <c r="U32" s="95">
        <v>0</v>
      </c>
      <c r="V32" s="95" t="s">
        <v>37062</v>
      </c>
      <c r="W32" s="95">
        <v>0</v>
      </c>
      <c r="X32" s="95">
        <v>2</v>
      </c>
      <c r="Y32" s="95">
        <v>0</v>
      </c>
      <c r="Z32" s="95">
        <v>7</v>
      </c>
      <c r="AA32" s="95">
        <v>0</v>
      </c>
      <c r="AB32" s="95" t="s">
        <v>37062</v>
      </c>
      <c r="AC32" s="95">
        <v>0</v>
      </c>
      <c r="AD32" s="95">
        <v>0</v>
      </c>
      <c r="AE32" s="95">
        <v>0</v>
      </c>
      <c r="AF32" s="95">
        <v>0</v>
      </c>
    </row>
    <row r="33" spans="1:32" ht="15" customHeight="1" x14ac:dyDescent="0.2">
      <c r="A33" s="95" t="s">
        <v>1513</v>
      </c>
      <c r="B33" s="95" t="s">
        <v>37724</v>
      </c>
      <c r="C33" s="95" t="s">
        <v>8</v>
      </c>
      <c r="D33" s="95" t="s">
        <v>21</v>
      </c>
      <c r="E33" s="94" t="s">
        <v>10</v>
      </c>
      <c r="F33" s="95" t="s">
        <v>91</v>
      </c>
      <c r="G33" s="94" t="s">
        <v>90</v>
      </c>
      <c r="H33" s="95">
        <v>6</v>
      </c>
      <c r="I33" s="95" t="s">
        <v>22</v>
      </c>
      <c r="J33" s="98" t="s">
        <v>37730</v>
      </c>
      <c r="K33" s="95" t="s">
        <v>30111</v>
      </c>
      <c r="L33" s="95" t="s">
        <v>30027</v>
      </c>
      <c r="M33" s="95" t="s">
        <v>31024</v>
      </c>
      <c r="N33" s="95" t="s">
        <v>31092</v>
      </c>
      <c r="O33" s="95">
        <v>2128.328</v>
      </c>
      <c r="S33" s="95" t="s">
        <v>37062</v>
      </c>
      <c r="T33" s="95">
        <v>0</v>
      </c>
      <c r="U33" s="95">
        <v>0</v>
      </c>
      <c r="V33" s="95" t="s">
        <v>37062</v>
      </c>
      <c r="W33" s="95">
        <v>0</v>
      </c>
      <c r="X33" s="95">
        <v>8</v>
      </c>
      <c r="Y33" s="95">
        <v>0</v>
      </c>
      <c r="Z33" s="95">
        <v>8</v>
      </c>
      <c r="AA33" s="95">
        <v>0</v>
      </c>
      <c r="AB33" s="95">
        <v>6</v>
      </c>
      <c r="AC33" s="95">
        <v>0</v>
      </c>
      <c r="AD33" s="95">
        <v>0</v>
      </c>
      <c r="AE33" s="95">
        <v>0</v>
      </c>
      <c r="AF33" s="95">
        <v>0</v>
      </c>
    </row>
    <row r="34" spans="1:32" ht="15" customHeight="1" x14ac:dyDescent="0.2">
      <c r="A34" s="95" t="s">
        <v>937</v>
      </c>
      <c r="B34" s="95" t="s">
        <v>37725</v>
      </c>
      <c r="C34" s="95" t="s">
        <v>8</v>
      </c>
      <c r="D34" s="95" t="s">
        <v>21</v>
      </c>
      <c r="E34" s="94" t="s">
        <v>10</v>
      </c>
      <c r="F34" s="95" t="s">
        <v>31076</v>
      </c>
      <c r="G34" s="94" t="s">
        <v>90</v>
      </c>
      <c r="H34" s="95">
        <v>23</v>
      </c>
      <c r="I34" s="95" t="s">
        <v>27</v>
      </c>
      <c r="J34" s="98" t="s">
        <v>36682</v>
      </c>
      <c r="K34" s="95" t="s">
        <v>30111</v>
      </c>
      <c r="L34" s="95" t="s">
        <v>30027</v>
      </c>
      <c r="M34" s="95" t="s">
        <v>31024</v>
      </c>
      <c r="N34" s="95" t="s">
        <v>31092</v>
      </c>
      <c r="O34" s="95">
        <v>1811.8479999999997</v>
      </c>
      <c r="S34" s="95" t="s">
        <v>37062</v>
      </c>
      <c r="T34" s="95">
        <v>0</v>
      </c>
      <c r="U34" s="95">
        <v>0</v>
      </c>
      <c r="V34" s="95" t="s">
        <v>37062</v>
      </c>
      <c r="W34" s="95">
        <v>0</v>
      </c>
      <c r="X34" s="95">
        <v>3</v>
      </c>
      <c r="Y34" s="95">
        <v>0</v>
      </c>
      <c r="Z34" s="95">
        <v>5</v>
      </c>
      <c r="AA34" s="95">
        <v>0</v>
      </c>
      <c r="AB34" s="95">
        <v>3</v>
      </c>
      <c r="AC34" s="95">
        <v>0</v>
      </c>
      <c r="AD34" s="95">
        <v>0</v>
      </c>
      <c r="AE34" s="95">
        <v>0</v>
      </c>
      <c r="AF34" s="95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49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2" bestFit="1" customWidth="1"/>
    <col min="24" max="24" width="7.42578125" style="71" customWidth="1"/>
    <col min="25" max="25" width="26.85546875" style="19" bestFit="1" customWidth="1"/>
    <col min="26" max="26" width="10.5703125" style="65" bestFit="1" customWidth="1"/>
    <col min="27" max="27" width="16" style="21" bestFit="1" customWidth="1"/>
    <col min="28" max="28" width="10.5703125" style="75" bestFit="1" customWidth="1"/>
    <col min="29" max="29" width="12.5703125" style="26" bestFit="1" customWidth="1"/>
    <col min="30" max="30" width="29.5703125" style="56" bestFit="1" customWidth="1"/>
    <col min="31" max="31" width="26.5703125" style="56" bestFit="1" customWidth="1"/>
    <col min="32" max="32" width="27.5703125" style="52" bestFit="1" customWidth="1"/>
    <col min="33" max="33" width="32.5703125" style="56" bestFit="1" customWidth="1"/>
    <col min="34" max="34" width="24.42578125" style="56" bestFit="1" customWidth="1"/>
    <col min="35" max="35" width="14.42578125" style="56" bestFit="1" customWidth="1"/>
    <col min="36" max="36" width="15.5703125" style="56" bestFit="1" customWidth="1"/>
    <col min="37" max="37" width="17.7109375" style="56" bestFit="1" customWidth="1"/>
    <col min="38" max="38" width="10.140625" style="56" bestFit="1" customWidth="1"/>
    <col min="39" max="39" width="9.140625" style="56" bestFit="1" customWidth="1"/>
    <col min="40" max="40" width="11.42578125" style="56" bestFit="1" customWidth="1"/>
    <col min="41" max="41" width="12.28515625" style="56" bestFit="1" customWidth="1"/>
    <col min="42" max="42" width="27.5703125" style="68" bestFit="1" customWidth="1"/>
    <col min="43" max="43" width="26" style="68" bestFit="1" customWidth="1"/>
    <col min="44" max="44" width="18.7109375" style="56"/>
    <col min="45" max="45" width="18.5703125" style="58" bestFit="1" customWidth="1"/>
    <col min="46" max="46" width="63" style="60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2" t="s">
        <v>261</v>
      </c>
      <c r="I1" s="5" t="s">
        <v>262</v>
      </c>
      <c r="J1" s="3" t="s">
        <v>86</v>
      </c>
      <c r="K1" s="3" t="s">
        <v>87</v>
      </c>
      <c r="L1" s="47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1" t="s">
        <v>6</v>
      </c>
      <c r="X1" s="69" t="s">
        <v>36817</v>
      </c>
      <c r="Y1" s="9" t="s">
        <v>267</v>
      </c>
      <c r="Z1" s="63" t="s">
        <v>268</v>
      </c>
      <c r="AA1" s="10" t="s">
        <v>269</v>
      </c>
      <c r="AB1" s="74" t="s">
        <v>260</v>
      </c>
      <c r="AC1" s="11" t="s">
        <v>270</v>
      </c>
      <c r="AD1" s="53" t="s">
        <v>271</v>
      </c>
      <c r="AE1" s="53" t="s">
        <v>272</v>
      </c>
      <c r="AF1" s="54" t="s">
        <v>273</v>
      </c>
      <c r="AG1" s="53" t="s">
        <v>274</v>
      </c>
      <c r="AH1" s="53" t="s">
        <v>275</v>
      </c>
      <c r="AI1" s="53" t="s">
        <v>276</v>
      </c>
      <c r="AJ1" s="53" t="s">
        <v>277</v>
      </c>
      <c r="AK1" s="53" t="s">
        <v>262</v>
      </c>
      <c r="AL1" s="55" t="s">
        <v>2</v>
      </c>
      <c r="AM1" s="55" t="s">
        <v>84</v>
      </c>
      <c r="AN1" s="55" t="s">
        <v>82</v>
      </c>
      <c r="AO1" s="55" t="s">
        <v>88</v>
      </c>
      <c r="AP1" s="67" t="s">
        <v>278</v>
      </c>
      <c r="AQ1" s="67" t="s">
        <v>279</v>
      </c>
      <c r="AR1" s="53"/>
      <c r="AS1" s="57" t="s">
        <v>280</v>
      </c>
      <c r="AT1" s="59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48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0" t="s">
        <v>22</v>
      </c>
      <c r="W2" s="51" t="str">
        <f>LEFT(Y2,9)</f>
        <v>02-052-91</v>
      </c>
      <c r="X2" s="70"/>
      <c r="Y2" s="73" t="s">
        <v>36692</v>
      </c>
      <c r="Z2" s="64" t="str">
        <f>VLOOKUP(I2,ЦветПолный!A:B,2,FALSE)</f>
        <v>91</v>
      </c>
      <c r="AA2" s="64" t="str">
        <f>IFERROR(VLOOKUP(L2,Размеры!A:D,4,FALSE),"")</f>
        <v>00</v>
      </c>
      <c r="AB2" s="75" t="str">
        <f>LEFT(VLOOKUP(LOOKUP(2,1/SEARCH(G2,Товары!A:A),Товары!A:A),Товары!A:B,2,0),6)</f>
        <v>02-052</v>
      </c>
      <c r="AC2" s="20"/>
      <c r="AD2" s="56">
        <f>SUMIF(Группа!A:A,C2,Группа!C:C)</f>
        <v>1</v>
      </c>
      <c r="AE2" s="56">
        <f>SUMIF(Группа!B:B,R2,Группа!C:C)</f>
        <v>1</v>
      </c>
      <c r="AF2" s="56">
        <f>SUMIF(Формы!A:A,D2,Формы!B:B)</f>
        <v>1</v>
      </c>
      <c r="AG2" s="56">
        <f>SUMIF(Материал!A:A,E2,Материал!B:B)</f>
        <v>1</v>
      </c>
      <c r="AH2" s="56">
        <f>SUMIF(Размеры!A:A,L2,Размеры!E:E)</f>
        <v>1</v>
      </c>
      <c r="AI2" s="56">
        <f>SUMIF(Сезон!A:A,J2,Сезон!B:B)</f>
        <v>1</v>
      </c>
      <c r="AJ2" s="56">
        <f>SUMIF(Состав!A:A,K2,Состав!B:B)</f>
        <v>0</v>
      </c>
      <c r="AK2" s="56">
        <f>SUMIF(ЦветПолный!A:A,I2,ЦветПолный!C:C)</f>
        <v>7</v>
      </c>
      <c r="AL2" s="56">
        <f>SUMIF(Цвет!A:A,V2,Цвет!B:B)</f>
        <v>1</v>
      </c>
      <c r="AM2" s="56">
        <f>SUMIF(Пол!B:B,F2,Пол!C:C)</f>
        <v>1</v>
      </c>
      <c r="AN2" s="56">
        <f>SUMIF(Марка!A:A,A2,Марка!B:B)</f>
        <v>1</v>
      </c>
      <c r="AO2" s="56">
        <f>SUMIF(Страна!A:A,M2,Страна!B:B)</f>
        <v>1</v>
      </c>
      <c r="AP2" s="68" t="str">
        <f>IF(VLOOKUP(U2,Товары!A:B,2,FALSE)=W2,"Есть в 1С","ERR")</f>
        <v>Есть в 1С</v>
      </c>
      <c r="AQ2" s="68" t="str">
        <f>IF(VLOOKUP(W2,Товары!B:B,1,FALSE)=W2,"Есть в 1С","ERR")</f>
        <v>Есть в 1С</v>
      </c>
      <c r="AS2" s="58" t="str">
        <f>VLOOKUP(U2,Товары!A:B,2,FALSE)</f>
        <v>02-052-91</v>
      </c>
      <c r="AT2" s="60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48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1" t="str">
        <f t="shared" ref="W3:W66" si="3">LEFT(Y3,9)</f>
        <v>new</v>
      </c>
      <c r="X3" s="70" t="s">
        <v>36690</v>
      </c>
      <c r="Y3" s="73" t="s">
        <v>13</v>
      </c>
      <c r="Z3" s="64" t="str">
        <f>VLOOKUP(I3,ЦветПолный!A:B,2,FALSE)</f>
        <v>08</v>
      </c>
      <c r="AA3" s="64" t="str">
        <f>IFERROR(VLOOKUP(L3,Размеры!A:D,4,FALSE),"")</f>
        <v>57</v>
      </c>
      <c r="AB3" s="75" t="str">
        <f>IF(LEFT(VLOOKUP(LOOKUP(2,1/SEARCH(G3,Товары!A:A),Товары!A:A),Товары!A:B,2,0),6)=LEFT(W3,6),"OK","НЕ НАЙДЕНО")</f>
        <v>НЕ НАЙДЕНО</v>
      </c>
      <c r="AC3" s="20"/>
      <c r="AD3" s="56">
        <f>SUMIF(Группа!A:A,C3,Группа!C:C)</f>
        <v>1</v>
      </c>
      <c r="AE3" s="56">
        <f>SUMIF(Группа!B:B,R3,Группа!C:C)</f>
        <v>1</v>
      </c>
      <c r="AF3" s="56">
        <f>SUMIF(Формы!A:A,D3,Формы!B:B)</f>
        <v>1</v>
      </c>
      <c r="AG3" s="56">
        <f>SUMIF(Материал!A:A,E3,Материал!B:B)</f>
        <v>1</v>
      </c>
      <c r="AH3" s="56">
        <f>SUMIF(Размеры!A:A,L3,Размеры!E:E)</f>
        <v>1</v>
      </c>
      <c r="AI3" s="56">
        <f>SUMIF(Сезон!A:A,J3,Сезон!B:B)</f>
        <v>1</v>
      </c>
      <c r="AJ3" s="56">
        <f>SUMIF(Состав!A:A,K3,Состав!B:B)</f>
        <v>0</v>
      </c>
      <c r="AK3" s="56">
        <f>SUMIF(ЦветПолный!A:A,I3,ЦветПолный!C:C)</f>
        <v>11</v>
      </c>
      <c r="AL3" s="56">
        <f>SUMIF(Цвет!A:A,V3,Цвет!B:B)</f>
        <v>1</v>
      </c>
      <c r="AM3" s="56">
        <f>SUMIF(Пол!B:B,F3,Пол!C:C)</f>
        <v>1</v>
      </c>
      <c r="AN3" s="56">
        <f>SUMIF(Марка!A:A,A3,Марка!B:B)</f>
        <v>1</v>
      </c>
      <c r="AO3" s="56">
        <f>SUMIF(Страна!A:A,M3,Страна!B:B)</f>
        <v>1</v>
      </c>
      <c r="AP3" s="68" t="str">
        <f>IF(VLOOKUP(U3,Товары!A:B,2,FALSE)=W3,"Есть в 1С","ERR")</f>
        <v>ERR</v>
      </c>
      <c r="AQ3" s="68" t="e">
        <f>IF(VLOOKUP(W3,Товары!B:B,1,FALSE)=W3,"Есть в 1С","ERR")</f>
        <v>#N/A</v>
      </c>
      <c r="AS3" s="58" t="str">
        <f>VLOOKUP(U3,Товары!A:B,2,FALSE)</f>
        <v>02-642-08</v>
      </c>
      <c r="AT3" s="60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48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1" t="str">
        <f t="shared" si="3"/>
        <v>new</v>
      </c>
      <c r="X4" s="70"/>
      <c r="Y4" s="73" t="s">
        <v>13</v>
      </c>
      <c r="Z4" s="64" t="str">
        <f>VLOOKUP(I4,ЦветПолный!A:B,2,FALSE)</f>
        <v>08</v>
      </c>
      <c r="AA4" s="64" t="str">
        <f>IFERROR(VLOOKUP(L4,Размеры!A:D,4,FALSE),"")</f>
        <v>59</v>
      </c>
      <c r="AB4" s="75" t="str">
        <f>IF(LEFT(VLOOKUP(LOOKUP(2,1/SEARCH(G4,Товары!A:A),Товары!A:A),Товары!A:B,2,0),6)=LEFT(W4,6),"OK","НЕ НАЙДЕНО")</f>
        <v>НЕ НАЙДЕНО</v>
      </c>
      <c r="AC4" s="20"/>
      <c r="AD4" s="56">
        <f>SUMIF(Группа!A:A,C4,Группа!C:C)</f>
        <v>1</v>
      </c>
      <c r="AE4" s="56">
        <f>SUMIF(Группа!B:B,R4,Группа!C:C)</f>
        <v>1</v>
      </c>
      <c r="AF4" s="56">
        <f>SUMIF(Формы!A:A,D4,Формы!B:B)</f>
        <v>1</v>
      </c>
      <c r="AG4" s="56">
        <f>SUMIF(Материал!A:A,E4,Материал!B:B)</f>
        <v>1</v>
      </c>
      <c r="AH4" s="56">
        <f>SUMIF(Размеры!A:A,L4,Размеры!E:E)</f>
        <v>1</v>
      </c>
      <c r="AI4" s="56">
        <f>SUMIF(Сезон!A:A,J4,Сезон!B:B)</f>
        <v>1</v>
      </c>
      <c r="AJ4" s="56">
        <f>SUMIF(Состав!A:A,K4,Состав!B:B)</f>
        <v>0</v>
      </c>
      <c r="AK4" s="56">
        <f>SUMIF(ЦветПолный!A:A,I4,ЦветПолный!C:C)</f>
        <v>11</v>
      </c>
      <c r="AL4" s="56">
        <f>SUMIF(Цвет!A:A,V4,Цвет!B:B)</f>
        <v>1</v>
      </c>
      <c r="AM4" s="56">
        <f>SUMIF(Пол!B:B,F4,Пол!C:C)</f>
        <v>1</v>
      </c>
      <c r="AN4" s="56">
        <f>SUMIF(Марка!A:A,A4,Марка!B:B)</f>
        <v>1</v>
      </c>
      <c r="AO4" s="56">
        <f>SUMIF(Страна!A:A,M4,Страна!B:B)</f>
        <v>1</v>
      </c>
      <c r="AP4" s="68" t="str">
        <f>IF(VLOOKUP(U4,Товары!A:B,2,FALSE)=W4,"Есть в 1С","ERR")</f>
        <v>ERR</v>
      </c>
      <c r="AQ4" s="68" t="e">
        <f>IF(VLOOKUP(W4,Товары!B:B,1,FALSE)=W4,"Есть в 1С","ERR")</f>
        <v>#N/A</v>
      </c>
      <c r="AS4" s="58" t="str">
        <f>VLOOKUP(U4,Товары!A:B,2,FALSE)</f>
        <v>02-642-08</v>
      </c>
      <c r="AT4" s="60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48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1" t="str">
        <f t="shared" si="3"/>
        <v>new</v>
      </c>
      <c r="X5" s="70"/>
      <c r="Y5" s="73" t="s">
        <v>13</v>
      </c>
      <c r="Z5" s="64" t="str">
        <f>VLOOKUP(I5,ЦветПолный!A:B,2,FALSE)</f>
        <v>08</v>
      </c>
      <c r="AA5" s="64" t="str">
        <f>IFERROR(VLOOKUP(L5,Размеры!A:D,4,FALSE),"")</f>
        <v>61</v>
      </c>
      <c r="AB5" s="75" t="str">
        <f>IF(LEFT(VLOOKUP(LOOKUP(2,1/SEARCH(G5,Товары!A:A),Товары!A:A),Товары!A:B,2,0),6)=LEFT(W5,6),"OK","НЕ НАЙДЕНО")</f>
        <v>НЕ НАЙДЕНО</v>
      </c>
      <c r="AC5" s="20"/>
      <c r="AD5" s="56">
        <f>SUMIF(Группа!A:A,C5,Группа!C:C)</f>
        <v>1</v>
      </c>
      <c r="AE5" s="56">
        <f>SUMIF(Группа!B:B,R5,Группа!C:C)</f>
        <v>1</v>
      </c>
      <c r="AF5" s="56">
        <f>SUMIF(Формы!A:A,D5,Формы!B:B)</f>
        <v>1</v>
      </c>
      <c r="AG5" s="56">
        <f>SUMIF(Материал!A:A,E5,Материал!B:B)</f>
        <v>1</v>
      </c>
      <c r="AH5" s="56">
        <f>SUMIF(Размеры!A:A,L5,Размеры!E:E)</f>
        <v>1</v>
      </c>
      <c r="AI5" s="56">
        <f>SUMIF(Сезон!A:A,J5,Сезон!B:B)</f>
        <v>1</v>
      </c>
      <c r="AJ5" s="56">
        <f>SUMIF(Состав!A:A,K5,Состав!B:B)</f>
        <v>0</v>
      </c>
      <c r="AK5" s="56">
        <f>SUMIF(ЦветПолный!A:A,I5,ЦветПолный!C:C)</f>
        <v>11</v>
      </c>
      <c r="AL5" s="56">
        <f>SUMIF(Цвет!A:A,V5,Цвет!B:B)</f>
        <v>1</v>
      </c>
      <c r="AM5" s="56">
        <f>SUMIF(Пол!B:B,F5,Пол!C:C)</f>
        <v>1</v>
      </c>
      <c r="AN5" s="56">
        <f>SUMIF(Марка!A:A,A5,Марка!B:B)</f>
        <v>1</v>
      </c>
      <c r="AO5" s="56">
        <f>SUMIF(Страна!A:A,M5,Страна!B:B)</f>
        <v>1</v>
      </c>
      <c r="AP5" s="68" t="str">
        <f>IF(VLOOKUP(U5,Товары!A:B,2,FALSE)=W5,"Есть в 1С","ERR")</f>
        <v>ERR</v>
      </c>
      <c r="AQ5" s="68" t="e">
        <f>IF(VLOOKUP(W5,Товары!B:B,1,FALSE)=W5,"Есть в 1С","ERR")</f>
        <v>#N/A</v>
      </c>
      <c r="AS5" s="58" t="str">
        <f>VLOOKUP(U5,Товары!A:B,2,FALSE)</f>
        <v>02-642-08</v>
      </c>
      <c r="AT5" s="60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48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1" t="str">
        <f t="shared" si="3"/>
        <v>new</v>
      </c>
      <c r="X6" s="70"/>
      <c r="Y6" s="73" t="s">
        <v>13</v>
      </c>
      <c r="Z6" s="64" t="str">
        <f>VLOOKUP(I6,ЦветПолный!A:B,2,FALSE)</f>
        <v>08</v>
      </c>
      <c r="AA6" s="64" t="str">
        <f>IFERROR(VLOOKUP(L6,Размеры!A:D,4,FALSE),"")</f>
        <v>63</v>
      </c>
      <c r="AB6" s="75" t="str">
        <f>IF(LEFT(VLOOKUP(LOOKUP(2,1/SEARCH(G6,Товары!A:A),Товары!A:A),Товары!A:B,2,0),6)=LEFT(W6,6),"OK","НЕ НАЙДЕНО")</f>
        <v>НЕ НАЙДЕНО</v>
      </c>
      <c r="AC6" s="20"/>
      <c r="AD6" s="56">
        <f>SUMIF(Группа!A:A,C6,Группа!C:C)</f>
        <v>1</v>
      </c>
      <c r="AE6" s="56">
        <f>SUMIF(Группа!B:B,R6,Группа!C:C)</f>
        <v>1</v>
      </c>
      <c r="AF6" s="56">
        <f>SUMIF(Формы!A:A,D6,Формы!B:B)</f>
        <v>1</v>
      </c>
      <c r="AG6" s="56">
        <f>SUMIF(Материал!A:A,E6,Материал!B:B)</f>
        <v>1</v>
      </c>
      <c r="AH6" s="56">
        <f>SUMIF(Размеры!A:A,L6,Размеры!E:E)</f>
        <v>1</v>
      </c>
      <c r="AI6" s="56">
        <f>SUMIF(Сезон!A:A,J6,Сезон!B:B)</f>
        <v>1</v>
      </c>
      <c r="AJ6" s="56">
        <f>SUMIF(Состав!A:A,K6,Состав!B:B)</f>
        <v>0</v>
      </c>
      <c r="AK6" s="56">
        <f>SUMIF(ЦветПолный!A:A,I6,ЦветПолный!C:C)</f>
        <v>11</v>
      </c>
      <c r="AL6" s="56">
        <f>SUMIF(Цвет!A:A,V6,Цвет!B:B)</f>
        <v>1</v>
      </c>
      <c r="AM6" s="56">
        <f>SUMIF(Пол!B:B,F6,Пол!C:C)</f>
        <v>1</v>
      </c>
      <c r="AN6" s="56">
        <f>SUMIF(Марка!A:A,A6,Марка!B:B)</f>
        <v>1</v>
      </c>
      <c r="AO6" s="56">
        <f>SUMIF(Страна!A:A,M6,Страна!B:B)</f>
        <v>1</v>
      </c>
      <c r="AP6" s="68" t="str">
        <f>IF(VLOOKUP(U6,Товары!A:B,2,FALSE)=W6,"Есть в 1С","ERR")</f>
        <v>ERR</v>
      </c>
      <c r="AQ6" s="68" t="e">
        <f>IF(VLOOKUP(W6,Товары!B:B,1,FALSE)=W6,"Есть в 1С","ERR")</f>
        <v>#N/A</v>
      </c>
      <c r="AS6" s="58" t="str">
        <f>VLOOKUP(U6,Товары!A:B,2,FALSE)</f>
        <v>02-642-08</v>
      </c>
      <c r="AT6" s="60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48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1" t="str">
        <f t="shared" si="3"/>
        <v>02-246-09</v>
      </c>
      <c r="X7" s="70"/>
      <c r="Y7" s="73" t="s">
        <v>36693</v>
      </c>
      <c r="Z7" s="64" t="str">
        <f>VLOOKUP(I7,ЦветПолный!A:B,2,FALSE)</f>
        <v>09</v>
      </c>
      <c r="AA7" s="64" t="str">
        <f>IFERROR(VLOOKUP(L7,Размеры!A:D,4,FALSE),"")</f>
        <v>57</v>
      </c>
      <c r="AB7" s="75" t="str">
        <f>IF(LEFT(VLOOKUP(LOOKUP(2,1/SEARCH(G7,Товары!A:A),Товары!A:A),Товары!A:B,2,0),6)=LEFT(W7,6),"OK","НЕ НАЙДЕНО")</f>
        <v>OK</v>
      </c>
      <c r="AC7" s="20"/>
      <c r="AD7" s="56">
        <f>SUMIF(Группа!A:A,C7,Группа!C:C)</f>
        <v>1</v>
      </c>
      <c r="AE7" s="56">
        <f>SUMIF(Группа!B:B,R7,Группа!C:C)</f>
        <v>1</v>
      </c>
      <c r="AF7" s="56">
        <f>SUMIF(Формы!A:A,D7,Формы!B:B)</f>
        <v>1</v>
      </c>
      <c r="AG7" s="56">
        <f>SUMIF(Материал!A:A,E7,Материал!B:B)</f>
        <v>1</v>
      </c>
      <c r="AH7" s="56">
        <f>SUMIF(Размеры!A:A,L7,Размеры!E:E)</f>
        <v>1</v>
      </c>
      <c r="AI7" s="56">
        <f>SUMIF(Сезон!A:A,J7,Сезон!B:B)</f>
        <v>1</v>
      </c>
      <c r="AJ7" s="56">
        <f>SUMIF(Состав!A:A,K7,Состав!B:B)</f>
        <v>0</v>
      </c>
      <c r="AK7" s="56">
        <f>SUMIF(ЦветПолный!A:A,I7,ЦветПолный!C:C)</f>
        <v>11</v>
      </c>
      <c r="AL7" s="56">
        <f>SUMIF(Цвет!A:A,V7,Цвет!B:B)</f>
        <v>1</v>
      </c>
      <c r="AM7" s="56">
        <f>SUMIF(Пол!B:B,F7,Пол!C:C)</f>
        <v>1</v>
      </c>
      <c r="AN7" s="56">
        <f>SUMIF(Марка!A:A,A7,Марка!B:B)</f>
        <v>1</v>
      </c>
      <c r="AO7" s="56">
        <f>SUMIF(Страна!A:A,M7,Страна!B:B)</f>
        <v>1</v>
      </c>
      <c r="AP7" s="68" t="str">
        <f>IF(VLOOKUP(U7,Товары!A:B,2,FALSE)=W7,"Есть в 1С","ERR")</f>
        <v>Есть в 1С</v>
      </c>
      <c r="AQ7" s="68" t="str">
        <f>IF(VLOOKUP(W7,Товары!B:B,1,FALSE)=W7,"Есть в 1С","ERR")</f>
        <v>Есть в 1С</v>
      </c>
      <c r="AS7" s="58" t="str">
        <f>VLOOKUP(U7,Товары!A:B,2,FALSE)</f>
        <v>02-246-09</v>
      </c>
      <c r="AT7" s="60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48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1" t="str">
        <f t="shared" si="3"/>
        <v>02-246-09</v>
      </c>
      <c r="X8" s="70"/>
      <c r="Y8" s="73" t="s">
        <v>36694</v>
      </c>
      <c r="Z8" s="64" t="str">
        <f>VLOOKUP(I8,ЦветПолный!A:B,2,FALSE)</f>
        <v>09</v>
      </c>
      <c r="AA8" s="64" t="str">
        <f>IFERROR(VLOOKUP(L8,Размеры!A:D,4,FALSE),"")</f>
        <v>59</v>
      </c>
      <c r="AB8" s="75" t="str">
        <f>IF(LEFT(VLOOKUP(LOOKUP(2,1/SEARCH(G8,Товары!A:A),Товары!A:A),Товары!A:B,2,0),6)=LEFT(W8,6),"OK","НЕ НАЙДЕНО")</f>
        <v>OK</v>
      </c>
      <c r="AC8" s="20"/>
      <c r="AD8" s="56">
        <f>SUMIF(Группа!A:A,C8,Группа!C:C)</f>
        <v>1</v>
      </c>
      <c r="AE8" s="56">
        <f>SUMIF(Группа!B:B,R8,Группа!C:C)</f>
        <v>1</v>
      </c>
      <c r="AF8" s="56">
        <f>SUMIF(Формы!A:A,D8,Формы!B:B)</f>
        <v>1</v>
      </c>
      <c r="AG8" s="56">
        <f>SUMIF(Материал!A:A,E8,Материал!B:B)</f>
        <v>1</v>
      </c>
      <c r="AH8" s="56">
        <f>SUMIF(Размеры!A:A,L8,Размеры!E:E)</f>
        <v>1</v>
      </c>
      <c r="AI8" s="56">
        <f>SUMIF(Сезон!A:A,J8,Сезон!B:B)</f>
        <v>1</v>
      </c>
      <c r="AJ8" s="56">
        <f>SUMIF(Состав!A:A,K8,Состав!B:B)</f>
        <v>0</v>
      </c>
      <c r="AK8" s="56">
        <f>SUMIF(ЦветПолный!A:A,I8,ЦветПолный!C:C)</f>
        <v>11</v>
      </c>
      <c r="AL8" s="56">
        <f>SUMIF(Цвет!A:A,V8,Цвет!B:B)</f>
        <v>1</v>
      </c>
      <c r="AM8" s="56">
        <f>SUMIF(Пол!B:B,F8,Пол!C:C)</f>
        <v>1</v>
      </c>
      <c r="AN8" s="56">
        <f>SUMIF(Марка!A:A,A8,Марка!B:B)</f>
        <v>1</v>
      </c>
      <c r="AO8" s="56">
        <f>SUMIF(Страна!A:A,M8,Страна!B:B)</f>
        <v>1</v>
      </c>
      <c r="AP8" s="68" t="str">
        <f>IF(VLOOKUP(U8,Товары!A:B,2,FALSE)=W8,"Есть в 1С","ERR")</f>
        <v>Есть в 1С</v>
      </c>
      <c r="AQ8" s="68" t="str">
        <f>IF(VLOOKUP(W8,Товары!B:B,1,FALSE)=W8,"Есть в 1С","ERR")</f>
        <v>Есть в 1С</v>
      </c>
      <c r="AS8" s="58" t="str">
        <f>VLOOKUP(U8,Товары!A:B,2,FALSE)</f>
        <v>02-246-09</v>
      </c>
      <c r="AT8" s="60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48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1" t="str">
        <f t="shared" si="3"/>
        <v>02-246-09</v>
      </c>
      <c r="X9" s="70"/>
      <c r="Y9" s="73" t="s">
        <v>36695</v>
      </c>
      <c r="Z9" s="64" t="str">
        <f>VLOOKUP(I9,ЦветПолный!A:B,2,FALSE)</f>
        <v>09</v>
      </c>
      <c r="AA9" s="64" t="str">
        <f>IFERROR(VLOOKUP(L9,Размеры!A:D,4,FALSE),"")</f>
        <v>61</v>
      </c>
      <c r="AB9" s="75" t="str">
        <f>IF(LEFT(VLOOKUP(LOOKUP(2,1/SEARCH(G9,Товары!A:A),Товары!A:A),Товары!A:B,2,0),6)=LEFT(W9,6),"OK","НЕ НАЙДЕНО")</f>
        <v>OK</v>
      </c>
      <c r="AC9" s="20"/>
      <c r="AD9" s="56">
        <f>SUMIF(Группа!A:A,C9,Группа!C:C)</f>
        <v>1</v>
      </c>
      <c r="AE9" s="56">
        <f>SUMIF(Группа!B:B,R9,Группа!C:C)</f>
        <v>1</v>
      </c>
      <c r="AF9" s="56">
        <f>SUMIF(Формы!A:A,D9,Формы!B:B)</f>
        <v>1</v>
      </c>
      <c r="AG9" s="56">
        <f>SUMIF(Материал!A:A,E9,Материал!B:B)</f>
        <v>1</v>
      </c>
      <c r="AH9" s="56">
        <f>SUMIF(Размеры!A:A,L9,Размеры!E:E)</f>
        <v>1</v>
      </c>
      <c r="AI9" s="56">
        <f>SUMIF(Сезон!A:A,J9,Сезон!B:B)</f>
        <v>1</v>
      </c>
      <c r="AJ9" s="56">
        <f>SUMIF(Состав!A:A,K9,Состав!B:B)</f>
        <v>0</v>
      </c>
      <c r="AK9" s="56">
        <f>SUMIF(ЦветПолный!A:A,I9,ЦветПолный!C:C)</f>
        <v>11</v>
      </c>
      <c r="AL9" s="56">
        <f>SUMIF(Цвет!A:A,V9,Цвет!B:B)</f>
        <v>1</v>
      </c>
      <c r="AM9" s="56">
        <f>SUMIF(Пол!B:B,F9,Пол!C:C)</f>
        <v>1</v>
      </c>
      <c r="AN9" s="56">
        <f>SUMIF(Марка!A:A,A9,Марка!B:B)</f>
        <v>1</v>
      </c>
      <c r="AO9" s="56">
        <f>SUMIF(Страна!A:A,M9,Страна!B:B)</f>
        <v>1</v>
      </c>
      <c r="AP9" s="68" t="str">
        <f>IF(VLOOKUP(U9,Товары!A:B,2,FALSE)=W9,"Есть в 1С","ERR")</f>
        <v>Есть в 1С</v>
      </c>
      <c r="AQ9" s="68" t="str">
        <f>IF(VLOOKUP(W9,Товары!B:B,1,FALSE)=W9,"Есть в 1С","ERR")</f>
        <v>Есть в 1С</v>
      </c>
      <c r="AS9" s="58" t="str">
        <f>VLOOKUP(U9,Товары!A:B,2,FALSE)</f>
        <v>02-246-09</v>
      </c>
      <c r="AT9" s="60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66" t="s">
        <v>1</v>
      </c>
      <c r="J10" s="1" t="s">
        <v>91</v>
      </c>
      <c r="K10" t="s">
        <v>36680</v>
      </c>
      <c r="L10" s="48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1" t="str">
        <f t="shared" si="3"/>
        <v>02-246-09</v>
      </c>
      <c r="X10" s="70"/>
      <c r="Y10" s="73" t="s">
        <v>36696</v>
      </c>
      <c r="Z10" s="64" t="str">
        <f>VLOOKUP(I10,ЦветПолный!A:B,2,FALSE)</f>
        <v>09</v>
      </c>
      <c r="AA10" s="64" t="str">
        <f>IFERROR(VLOOKUP(L10,Размеры!A:D,4,FALSE),"")</f>
        <v>63</v>
      </c>
      <c r="AB10" s="75" t="str">
        <f>IF(LEFT(VLOOKUP(LOOKUP(2,1/SEARCH(G10,Товары!A:A),Товары!A:A),Товары!A:B,2,0),6)=LEFT(W10,6),"OK","НЕ НАЙДЕНО")</f>
        <v>OK</v>
      </c>
      <c r="AC10" s="20"/>
      <c r="AD10" s="56">
        <f>SUMIF(Группа!A:A,C10,Группа!C:C)</f>
        <v>1</v>
      </c>
      <c r="AE10" s="56">
        <f>SUMIF(Группа!B:B,R10,Группа!C:C)</f>
        <v>1</v>
      </c>
      <c r="AF10" s="56">
        <f>SUMIF(Формы!A:A,D10,Формы!B:B)</f>
        <v>1</v>
      </c>
      <c r="AG10" s="56">
        <f>SUMIF(Материал!A:A,E10,Материал!B:B)</f>
        <v>1</v>
      </c>
      <c r="AH10" s="56">
        <f>SUMIF(Размеры!A:A,L10,Размеры!E:E)</f>
        <v>1</v>
      </c>
      <c r="AI10" s="56">
        <f>SUMIF(Сезон!A:A,J10,Сезон!B:B)</f>
        <v>1</v>
      </c>
      <c r="AJ10" s="56">
        <f>SUMIF(Состав!A:A,K10,Состав!B:B)</f>
        <v>0</v>
      </c>
      <c r="AK10" s="56">
        <f>SUMIF(ЦветПолный!A:A,I10,ЦветПолный!C:C)</f>
        <v>11</v>
      </c>
      <c r="AL10" s="56">
        <f>SUMIF(Цвет!A:A,V10,Цвет!B:B)</f>
        <v>1</v>
      </c>
      <c r="AM10" s="56">
        <f>SUMIF(Пол!B:B,F10,Пол!C:C)</f>
        <v>1</v>
      </c>
      <c r="AN10" s="56">
        <f>SUMIF(Марка!A:A,A10,Марка!B:B)</f>
        <v>1</v>
      </c>
      <c r="AO10" s="56">
        <f>SUMIF(Страна!A:A,M10,Страна!B:B)</f>
        <v>1</v>
      </c>
      <c r="AP10" s="68" t="str">
        <f>IF(VLOOKUP(U10,Товары!A:B,2,FALSE)=W10,"Есть в 1С","ERR")</f>
        <v>Есть в 1С</v>
      </c>
      <c r="AQ10" s="68" t="str">
        <f>IF(VLOOKUP(W10,Товары!B:B,1,FALSE)=W10,"Есть в 1С","ERR")</f>
        <v>Есть в 1С</v>
      </c>
      <c r="AS10" s="58" t="str">
        <f>VLOOKUP(U10,Товары!A:B,2,FALSE)</f>
        <v>02-246-09</v>
      </c>
      <c r="AT10" s="60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48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1" t="str">
        <f t="shared" si="3"/>
        <v>02-246-14</v>
      </c>
      <c r="X11" s="70"/>
      <c r="Y11" s="73" t="s">
        <v>36697</v>
      </c>
      <c r="Z11" s="64" t="str">
        <f>VLOOKUP(I11,ЦветПолный!A:B,2,FALSE)</f>
        <v>14</v>
      </c>
      <c r="AA11" s="64" t="str">
        <f>IFERROR(VLOOKUP(L11,Размеры!A:D,4,FALSE),"")</f>
        <v>57</v>
      </c>
      <c r="AB11" s="75" t="str">
        <f>IF(LEFT(VLOOKUP(LOOKUP(2,1/SEARCH(G11,Товары!A:A),Товары!A:A),Товары!A:B,2,0),6)=LEFT(W11,6),"OK","НЕ НАЙДЕНО")</f>
        <v>OK</v>
      </c>
      <c r="AC11" s="20"/>
      <c r="AD11" s="56">
        <f>SUMIF(Группа!A:A,C11,Группа!C:C)</f>
        <v>1</v>
      </c>
      <c r="AE11" s="56">
        <f>SUMIF(Группа!B:B,R11,Группа!C:C)</f>
        <v>1</v>
      </c>
      <c r="AF11" s="56">
        <f>SUMIF(Формы!A:A,D11,Формы!B:B)</f>
        <v>1</v>
      </c>
      <c r="AG11" s="56">
        <f>SUMIF(Материал!A:A,E11,Материал!B:B)</f>
        <v>1</v>
      </c>
      <c r="AH11" s="56">
        <f>SUMIF(Размеры!A:A,L11,Размеры!E:E)</f>
        <v>1</v>
      </c>
      <c r="AI11" s="56">
        <f>SUMIF(Сезон!A:A,J11,Сезон!B:B)</f>
        <v>1</v>
      </c>
      <c r="AJ11" s="56">
        <f>SUMIF(Состав!A:A,K11,Состав!B:B)</f>
        <v>0</v>
      </c>
      <c r="AK11" s="56">
        <f>SUMIF(ЦветПолный!A:A,I11,ЦветПолный!C:C)</f>
        <v>14</v>
      </c>
      <c r="AL11" s="56">
        <f>SUMIF(Цвет!A:A,V11,Цвет!B:B)</f>
        <v>1</v>
      </c>
      <c r="AM11" s="56">
        <f>SUMIF(Пол!B:B,F11,Пол!C:C)</f>
        <v>1</v>
      </c>
      <c r="AN11" s="56">
        <f>SUMIF(Марка!A:A,A11,Марка!B:B)</f>
        <v>1</v>
      </c>
      <c r="AO11" s="56">
        <f>SUMIF(Страна!A:A,M11,Страна!B:B)</f>
        <v>1</v>
      </c>
      <c r="AP11" s="68" t="str">
        <f>IF(VLOOKUP(U11,Товары!A:B,2,FALSE)=W11,"Есть в 1С","ERR")</f>
        <v>Есть в 1С</v>
      </c>
      <c r="AQ11" s="68" t="str">
        <f>IF(VLOOKUP(W11,Товары!B:B,1,FALSE)=W11,"Есть в 1С","ERR")</f>
        <v>Есть в 1С</v>
      </c>
      <c r="AS11" s="58" t="str">
        <f>VLOOKUP(U11,Товары!A:B,2,FALSE)</f>
        <v>02-246-14</v>
      </c>
      <c r="AT11" s="60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48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1" t="str">
        <f t="shared" si="3"/>
        <v>02-246-14</v>
      </c>
      <c r="X12" s="70"/>
      <c r="Y12" s="73" t="s">
        <v>36698</v>
      </c>
      <c r="Z12" s="64" t="str">
        <f>VLOOKUP(I12,ЦветПолный!A:B,2,FALSE)</f>
        <v>14</v>
      </c>
      <c r="AA12" s="64" t="str">
        <f>IFERROR(VLOOKUP(L12,Размеры!A:D,4,FALSE),"")</f>
        <v>59</v>
      </c>
      <c r="AB12" s="75" t="str">
        <f>IF(LEFT(VLOOKUP(LOOKUP(2,1/SEARCH(G12,Товары!A:A),Товары!A:A),Товары!A:B,2,0),6)=LEFT(W12,6),"OK","НЕ НАЙДЕНО")</f>
        <v>OK</v>
      </c>
      <c r="AC12" s="20"/>
      <c r="AD12" s="56">
        <f>SUMIF(Группа!A:A,C12,Группа!C:C)</f>
        <v>1</v>
      </c>
      <c r="AE12" s="56">
        <f>SUMIF(Группа!B:B,R12,Группа!C:C)</f>
        <v>1</v>
      </c>
      <c r="AF12" s="56">
        <f>SUMIF(Формы!A:A,D12,Формы!B:B)</f>
        <v>1</v>
      </c>
      <c r="AG12" s="56">
        <f>SUMIF(Материал!A:A,E12,Материал!B:B)</f>
        <v>1</v>
      </c>
      <c r="AH12" s="56">
        <f>SUMIF(Размеры!A:A,L12,Размеры!E:E)</f>
        <v>1</v>
      </c>
      <c r="AI12" s="56">
        <f>SUMIF(Сезон!A:A,J12,Сезон!B:B)</f>
        <v>1</v>
      </c>
      <c r="AJ12" s="56">
        <f>SUMIF(Состав!A:A,K12,Состав!B:B)</f>
        <v>0</v>
      </c>
      <c r="AK12" s="56">
        <f>SUMIF(ЦветПолный!A:A,I12,ЦветПолный!C:C)</f>
        <v>14</v>
      </c>
      <c r="AL12" s="56">
        <f>SUMIF(Цвет!A:A,V12,Цвет!B:B)</f>
        <v>1</v>
      </c>
      <c r="AM12" s="56">
        <f>SUMIF(Пол!B:B,F12,Пол!C:C)</f>
        <v>1</v>
      </c>
      <c r="AN12" s="56">
        <f>SUMIF(Марка!A:A,A12,Марка!B:B)</f>
        <v>1</v>
      </c>
      <c r="AO12" s="56">
        <f>SUMIF(Страна!A:A,M12,Страна!B:B)</f>
        <v>1</v>
      </c>
      <c r="AP12" s="68" t="str">
        <f>IF(VLOOKUP(U12,Товары!A:B,2,FALSE)=W12,"Есть в 1С","ERR")</f>
        <v>Есть в 1С</v>
      </c>
      <c r="AQ12" s="68" t="str">
        <f>IF(VLOOKUP(W12,Товары!B:B,1,FALSE)=W12,"Есть в 1С","ERR")</f>
        <v>Есть в 1С</v>
      </c>
      <c r="AS12" s="58" t="str">
        <f>VLOOKUP(U12,Товары!A:B,2,FALSE)</f>
        <v>02-246-14</v>
      </c>
      <c r="AT12" s="60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48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1" t="str">
        <f t="shared" si="3"/>
        <v>02-246-14</v>
      </c>
      <c r="X13" s="70"/>
      <c r="Y13" s="73" t="s">
        <v>36699</v>
      </c>
      <c r="Z13" s="64" t="str">
        <f>VLOOKUP(I13,ЦветПолный!A:B,2,FALSE)</f>
        <v>14</v>
      </c>
      <c r="AA13" s="64" t="str">
        <f>IFERROR(VLOOKUP(L13,Размеры!A:D,4,FALSE),"")</f>
        <v>61</v>
      </c>
      <c r="AB13" s="75" t="str">
        <f>IF(LEFT(VLOOKUP(LOOKUP(2,1/SEARCH(G13,Товары!A:A),Товары!A:A),Товары!A:B,2,0),6)=LEFT(W13,6),"OK","НЕ НАЙДЕНО")</f>
        <v>OK</v>
      </c>
      <c r="AC13" s="20"/>
      <c r="AD13" s="56">
        <f>SUMIF(Группа!A:A,C13,Группа!C:C)</f>
        <v>1</v>
      </c>
      <c r="AE13" s="56">
        <f>SUMIF(Группа!B:B,R13,Группа!C:C)</f>
        <v>1</v>
      </c>
      <c r="AF13" s="56">
        <f>SUMIF(Формы!A:A,D13,Формы!B:B)</f>
        <v>1</v>
      </c>
      <c r="AG13" s="56">
        <f>SUMIF(Материал!A:A,E13,Материал!B:B)</f>
        <v>1</v>
      </c>
      <c r="AH13" s="56">
        <f>SUMIF(Размеры!A:A,L13,Размеры!E:E)</f>
        <v>1</v>
      </c>
      <c r="AI13" s="56">
        <f>SUMIF(Сезон!A:A,J13,Сезон!B:B)</f>
        <v>1</v>
      </c>
      <c r="AJ13" s="56">
        <f>SUMIF(Состав!A:A,K13,Состав!B:B)</f>
        <v>0</v>
      </c>
      <c r="AK13" s="56">
        <f>SUMIF(ЦветПолный!A:A,I13,ЦветПолный!C:C)</f>
        <v>14</v>
      </c>
      <c r="AL13" s="56">
        <f>SUMIF(Цвет!A:A,V13,Цвет!B:B)</f>
        <v>1</v>
      </c>
      <c r="AM13" s="56">
        <f>SUMIF(Пол!B:B,F13,Пол!C:C)</f>
        <v>1</v>
      </c>
      <c r="AN13" s="56">
        <f>SUMIF(Марка!A:A,A13,Марка!B:B)</f>
        <v>1</v>
      </c>
      <c r="AO13" s="56">
        <f>SUMIF(Страна!A:A,M13,Страна!B:B)</f>
        <v>1</v>
      </c>
      <c r="AP13" s="68" t="str">
        <f>IF(VLOOKUP(U13,Товары!A:B,2,FALSE)=W13,"Есть в 1С","ERR")</f>
        <v>Есть в 1С</v>
      </c>
      <c r="AQ13" s="68" t="str">
        <f>IF(VLOOKUP(W13,Товары!B:B,1,FALSE)=W13,"Есть в 1С","ERR")</f>
        <v>Есть в 1С</v>
      </c>
      <c r="AS13" s="58" t="str">
        <f>VLOOKUP(U13,Товары!A:B,2,FALSE)</f>
        <v>02-246-14</v>
      </c>
      <c r="AT13" s="60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48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1" t="str">
        <f t="shared" si="3"/>
        <v>02-246-16</v>
      </c>
      <c r="X14" s="70"/>
      <c r="Y14" s="73" t="s">
        <v>36700</v>
      </c>
      <c r="Z14" s="64" t="str">
        <f>VLOOKUP(I14,ЦветПолный!A:B,2,FALSE)</f>
        <v>06</v>
      </c>
      <c r="AA14" s="64" t="str">
        <f>IFERROR(VLOOKUP(L14,Размеры!A:D,4,FALSE),"")</f>
        <v>57</v>
      </c>
      <c r="AB14" s="75" t="str">
        <f>IF(LEFT(VLOOKUP(LOOKUP(2,1/SEARCH(G14,Товары!A:A),Товары!A:A),Товары!A:B,2,0),6)=LEFT(W14,6),"OK","НЕ НАЙДЕНО")</f>
        <v>OK</v>
      </c>
      <c r="AC14" s="20"/>
      <c r="AD14" s="56">
        <f>SUMIF(Группа!A:A,C14,Группа!C:C)</f>
        <v>1</v>
      </c>
      <c r="AE14" s="56">
        <f>SUMIF(Группа!B:B,R14,Группа!C:C)</f>
        <v>1</v>
      </c>
      <c r="AF14" s="56">
        <f>SUMIF(Формы!A:A,D14,Формы!B:B)</f>
        <v>1</v>
      </c>
      <c r="AG14" s="56">
        <f>SUMIF(Материал!A:A,E14,Материал!B:B)</f>
        <v>1</v>
      </c>
      <c r="AH14" s="56">
        <f>SUMIF(Размеры!A:A,L14,Размеры!E:E)</f>
        <v>1</v>
      </c>
      <c r="AI14" s="56">
        <f>SUMIF(Сезон!A:A,J14,Сезон!B:B)</f>
        <v>1</v>
      </c>
      <c r="AJ14" s="56">
        <f>SUMIF(Состав!A:A,K14,Состав!B:B)</f>
        <v>0</v>
      </c>
      <c r="AK14" s="56">
        <f>SUMIF(ЦветПолный!A:A,I14,ЦветПолный!C:C)</f>
        <v>8</v>
      </c>
      <c r="AL14" s="56">
        <f>SUMIF(Цвет!A:A,V14,Цвет!B:B)</f>
        <v>1</v>
      </c>
      <c r="AM14" s="56">
        <f>SUMIF(Пол!B:B,F14,Пол!C:C)</f>
        <v>1</v>
      </c>
      <c r="AN14" s="56">
        <f>SUMIF(Марка!A:A,A14,Марка!B:B)</f>
        <v>1</v>
      </c>
      <c r="AO14" s="56">
        <f>SUMIF(Страна!A:A,M14,Страна!B:B)</f>
        <v>1</v>
      </c>
      <c r="AP14" s="68" t="str">
        <f>IF(VLOOKUP(U14,Товары!A:B,2,FALSE)=W14,"Есть в 1С","ERR")</f>
        <v>Есть в 1С</v>
      </c>
      <c r="AQ14" s="68" t="str">
        <f>IF(VLOOKUP(W14,Товары!B:B,1,FALSE)=W14,"Есть в 1С","ERR")</f>
        <v>Есть в 1С</v>
      </c>
      <c r="AS14" s="58" t="str">
        <f>VLOOKUP(U14,Товары!A:B,2,FALSE)</f>
        <v>02-246-16</v>
      </c>
      <c r="AT14" s="60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48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1" t="str">
        <f t="shared" si="3"/>
        <v>02-246-16</v>
      </c>
      <c r="X15" s="70"/>
      <c r="Y15" s="73" t="s">
        <v>36701</v>
      </c>
      <c r="Z15" s="64" t="str">
        <f>VLOOKUP(I15,ЦветПолный!A:B,2,FALSE)</f>
        <v>06</v>
      </c>
      <c r="AA15" s="64" t="str">
        <f>IFERROR(VLOOKUP(L15,Размеры!A:D,4,FALSE),"")</f>
        <v>59</v>
      </c>
      <c r="AB15" s="75" t="str">
        <f>IF(LEFT(VLOOKUP(LOOKUP(2,1/SEARCH(G15,Товары!A:A),Товары!A:A),Товары!A:B,2,0),6)=LEFT(W15,6),"OK","НЕ НАЙДЕНО")</f>
        <v>OK</v>
      </c>
      <c r="AC15" s="20"/>
      <c r="AD15" s="56">
        <f>SUMIF(Группа!A:A,C15,Группа!C:C)</f>
        <v>1</v>
      </c>
      <c r="AE15" s="56">
        <f>SUMIF(Группа!B:B,R15,Группа!C:C)</f>
        <v>1</v>
      </c>
      <c r="AF15" s="56">
        <f>SUMIF(Формы!A:A,D15,Формы!B:B)</f>
        <v>1</v>
      </c>
      <c r="AG15" s="56">
        <f>SUMIF(Материал!A:A,E15,Материал!B:B)</f>
        <v>1</v>
      </c>
      <c r="AH15" s="56">
        <f>SUMIF(Размеры!A:A,L15,Размеры!E:E)</f>
        <v>1</v>
      </c>
      <c r="AI15" s="56">
        <f>SUMIF(Сезон!A:A,J15,Сезон!B:B)</f>
        <v>1</v>
      </c>
      <c r="AJ15" s="56">
        <f>SUMIF(Состав!A:A,K15,Состав!B:B)</f>
        <v>0</v>
      </c>
      <c r="AK15" s="56">
        <f>SUMIF(ЦветПолный!A:A,I15,ЦветПолный!C:C)</f>
        <v>8</v>
      </c>
      <c r="AL15" s="56">
        <f>SUMIF(Цвет!A:A,V15,Цвет!B:B)</f>
        <v>1</v>
      </c>
      <c r="AM15" s="56">
        <f>SUMIF(Пол!B:B,F15,Пол!C:C)</f>
        <v>1</v>
      </c>
      <c r="AN15" s="56">
        <f>SUMIF(Марка!A:A,A15,Марка!B:B)</f>
        <v>1</v>
      </c>
      <c r="AO15" s="56">
        <f>SUMIF(Страна!A:A,M15,Страна!B:B)</f>
        <v>1</v>
      </c>
      <c r="AP15" s="68" t="str">
        <f>IF(VLOOKUP(U15,Товары!A:B,2,FALSE)=W15,"Есть в 1С","ERR")</f>
        <v>Есть в 1С</v>
      </c>
      <c r="AQ15" s="68" t="str">
        <f>IF(VLOOKUP(W15,Товары!B:B,1,FALSE)=W15,"Есть в 1С","ERR")</f>
        <v>Есть в 1С</v>
      </c>
      <c r="AS15" s="58" t="str">
        <f>VLOOKUP(U15,Товары!A:B,2,FALSE)</f>
        <v>02-246-16</v>
      </c>
      <c r="AT15" s="60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48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1" t="str">
        <f t="shared" si="3"/>
        <v>02-246-16</v>
      </c>
      <c r="X16" s="70"/>
      <c r="Y16" s="73" t="s">
        <v>36702</v>
      </c>
      <c r="Z16" s="64" t="str">
        <f>VLOOKUP(I16,ЦветПолный!A:B,2,FALSE)</f>
        <v>06</v>
      </c>
      <c r="AA16" s="64" t="str">
        <f>IFERROR(VLOOKUP(L16,Размеры!A:D,4,FALSE),"")</f>
        <v>61</v>
      </c>
      <c r="AB16" s="75" t="str">
        <f>IF(LEFT(VLOOKUP(LOOKUP(2,1/SEARCH(G16,Товары!A:A),Товары!A:A),Товары!A:B,2,0),6)=LEFT(W16,6),"OK","НЕ НАЙДЕНО")</f>
        <v>OK</v>
      </c>
      <c r="AC16" s="20"/>
      <c r="AD16" s="56">
        <f>SUMIF(Группа!A:A,C16,Группа!C:C)</f>
        <v>1</v>
      </c>
      <c r="AE16" s="56">
        <f>SUMIF(Группа!B:B,R16,Группа!C:C)</f>
        <v>1</v>
      </c>
      <c r="AF16" s="56">
        <f>SUMIF(Формы!A:A,D16,Формы!B:B)</f>
        <v>1</v>
      </c>
      <c r="AG16" s="56">
        <f>SUMIF(Материал!A:A,E16,Материал!B:B)</f>
        <v>1</v>
      </c>
      <c r="AH16" s="56">
        <f>SUMIF(Размеры!A:A,L16,Размеры!E:E)</f>
        <v>1</v>
      </c>
      <c r="AI16" s="56">
        <f>SUMIF(Сезон!A:A,J16,Сезон!B:B)</f>
        <v>1</v>
      </c>
      <c r="AJ16" s="56">
        <f>SUMIF(Состав!A:A,K16,Состав!B:B)</f>
        <v>0</v>
      </c>
      <c r="AK16" s="56">
        <f>SUMIF(ЦветПолный!A:A,I16,ЦветПолный!C:C)</f>
        <v>8</v>
      </c>
      <c r="AL16" s="56">
        <f>SUMIF(Цвет!A:A,V16,Цвет!B:B)</f>
        <v>1</v>
      </c>
      <c r="AM16" s="56">
        <f>SUMIF(Пол!B:B,F16,Пол!C:C)</f>
        <v>1</v>
      </c>
      <c r="AN16" s="56">
        <f>SUMIF(Марка!A:A,A16,Марка!B:B)</f>
        <v>1</v>
      </c>
      <c r="AO16" s="56">
        <f>SUMIF(Страна!A:A,M16,Страна!B:B)</f>
        <v>1</v>
      </c>
      <c r="AP16" s="68" t="str">
        <f>IF(VLOOKUP(U16,Товары!A:B,2,FALSE)=W16,"Есть в 1С","ERR")</f>
        <v>Есть в 1С</v>
      </c>
      <c r="AQ16" s="68" t="str">
        <f>IF(VLOOKUP(W16,Товары!B:B,1,FALSE)=W16,"Есть в 1С","ERR")</f>
        <v>Есть в 1С</v>
      </c>
      <c r="AS16" s="58" t="str">
        <f>VLOOKUP(U16,Товары!A:B,2,FALSE)</f>
        <v>02-246-16</v>
      </c>
      <c r="AT16" s="60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48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1" t="str">
        <f t="shared" si="3"/>
        <v>02-246-16</v>
      </c>
      <c r="X17" s="70"/>
      <c r="Y17" s="73" t="s">
        <v>36703</v>
      </c>
      <c r="Z17" s="64" t="str">
        <f>VLOOKUP(I17,ЦветПолный!A:B,2,FALSE)</f>
        <v>06</v>
      </c>
      <c r="AA17" s="64" t="str">
        <f>IFERROR(VLOOKUP(L17,Размеры!A:D,4,FALSE),"")</f>
        <v>63</v>
      </c>
      <c r="AB17" s="75" t="str">
        <f>IF(LEFT(VLOOKUP(LOOKUP(2,1/SEARCH(G17,Товары!A:A),Товары!A:A),Товары!A:B,2,0),6)=LEFT(W17,6),"OK","НЕ НАЙДЕНО")</f>
        <v>OK</v>
      </c>
      <c r="AC17" s="20"/>
      <c r="AD17" s="56">
        <f>SUMIF(Группа!A:A,C17,Группа!C:C)</f>
        <v>1</v>
      </c>
      <c r="AE17" s="56">
        <f>SUMIF(Группа!B:B,R17,Группа!C:C)</f>
        <v>1</v>
      </c>
      <c r="AF17" s="56">
        <f>SUMIF(Формы!A:A,D17,Формы!B:B)</f>
        <v>1</v>
      </c>
      <c r="AG17" s="56">
        <f>SUMIF(Материал!A:A,E17,Материал!B:B)</f>
        <v>1</v>
      </c>
      <c r="AH17" s="56">
        <f>SUMIF(Размеры!A:A,L17,Размеры!E:E)</f>
        <v>1</v>
      </c>
      <c r="AI17" s="56">
        <f>SUMIF(Сезон!A:A,J17,Сезон!B:B)</f>
        <v>1</v>
      </c>
      <c r="AJ17" s="56">
        <f>SUMIF(Состав!A:A,K17,Состав!B:B)</f>
        <v>0</v>
      </c>
      <c r="AK17" s="56">
        <f>SUMIF(ЦветПолный!A:A,I17,ЦветПолный!C:C)</f>
        <v>8</v>
      </c>
      <c r="AL17" s="56">
        <f>SUMIF(Цвет!A:A,V17,Цвет!B:B)</f>
        <v>1</v>
      </c>
      <c r="AM17" s="56">
        <f>SUMIF(Пол!B:B,F17,Пол!C:C)</f>
        <v>1</v>
      </c>
      <c r="AN17" s="56">
        <f>SUMIF(Марка!A:A,A17,Марка!B:B)</f>
        <v>1</v>
      </c>
      <c r="AO17" s="56">
        <f>SUMIF(Страна!A:A,M17,Страна!B:B)</f>
        <v>1</v>
      </c>
      <c r="AP17" s="68" t="str">
        <f>IF(VLOOKUP(U17,Товары!A:B,2,FALSE)=W17,"Есть в 1С","ERR")</f>
        <v>Есть в 1С</v>
      </c>
      <c r="AQ17" s="68" t="str">
        <f>IF(VLOOKUP(W17,Товары!B:B,1,FALSE)=W17,"Есть в 1С","ERR")</f>
        <v>Есть в 1С</v>
      </c>
      <c r="AS17" s="58" t="str">
        <f>VLOOKUP(U17,Товары!A:B,2,FALSE)</f>
        <v>02-246-16</v>
      </c>
      <c r="AT17" s="60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48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0" t="s">
        <v>28</v>
      </c>
      <c r="W18" s="51" t="str">
        <f t="shared" si="3"/>
        <v>02-246-05</v>
      </c>
      <c r="X18" s="70"/>
      <c r="Y18" s="73" t="s">
        <v>36704</v>
      </c>
      <c r="Z18" s="64" t="str">
        <f>VLOOKUP(I18,ЦветПолный!A:B,2,FALSE)</f>
        <v>05</v>
      </c>
      <c r="AA18" s="64" t="str">
        <f>IFERROR(VLOOKUP(L18,Размеры!A:D,4,FALSE),"")</f>
        <v>57</v>
      </c>
      <c r="AB18" s="75" t="str">
        <f>IF(LEFT(VLOOKUP(LOOKUP(2,1/SEARCH(G18,Товары!A:A),Товары!A:A),Товары!A:B,2,0),6)=LEFT(W18,6),"OK","НЕ НАЙДЕНО")</f>
        <v>OK</v>
      </c>
      <c r="AC18" s="20"/>
      <c r="AD18" s="56">
        <f>SUMIF(Группа!A:A,C18,Группа!C:C)</f>
        <v>1</v>
      </c>
      <c r="AE18" s="56">
        <f>SUMIF(Группа!B:B,R18,Группа!C:C)</f>
        <v>1</v>
      </c>
      <c r="AF18" s="56">
        <f>SUMIF(Формы!A:A,D18,Формы!B:B)</f>
        <v>1</v>
      </c>
      <c r="AG18" s="56">
        <f>SUMIF(Материал!A:A,E18,Материал!B:B)</f>
        <v>1</v>
      </c>
      <c r="AH18" s="56">
        <f>SUMIF(Размеры!A:A,L18,Размеры!E:E)</f>
        <v>1</v>
      </c>
      <c r="AI18" s="56">
        <f>SUMIF(Сезон!A:A,J18,Сезон!B:B)</f>
        <v>1</v>
      </c>
      <c r="AJ18" s="56">
        <f>SUMIF(Состав!A:A,K18,Состав!B:B)</f>
        <v>0</v>
      </c>
      <c r="AK18" s="56">
        <f>SUMIF(ЦветПолный!A:A,I18,ЦветПолный!C:C)</f>
        <v>6</v>
      </c>
      <c r="AL18" s="56">
        <f>SUMIF(Цвет!A:A,V18,Цвет!B:B)</f>
        <v>1</v>
      </c>
      <c r="AM18" s="56">
        <f>SUMIF(Пол!B:B,F18,Пол!C:C)</f>
        <v>1</v>
      </c>
      <c r="AN18" s="56">
        <f>SUMIF(Марка!A:A,A18,Марка!B:B)</f>
        <v>1</v>
      </c>
      <c r="AO18" s="56">
        <f>SUMIF(Страна!A:A,M18,Страна!B:B)</f>
        <v>1</v>
      </c>
      <c r="AP18" s="68" t="str">
        <f>IF(VLOOKUP(U18,Товары!A:B,2,FALSE)=W18,"Есть в 1С","ERR")</f>
        <v>Есть в 1С</v>
      </c>
      <c r="AQ18" s="68" t="str">
        <f>IF(VLOOKUP(W18,Товары!B:B,1,FALSE)=W18,"Есть в 1С","ERR")</f>
        <v>Есть в 1С</v>
      </c>
      <c r="AS18" s="58" t="str">
        <f>VLOOKUP(U18,Товары!A:B,2,FALSE)</f>
        <v>02-246-05</v>
      </c>
      <c r="AT18" s="60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48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0" t="s">
        <v>28</v>
      </c>
      <c r="W19" s="51" t="str">
        <f t="shared" si="3"/>
        <v>02-246-05</v>
      </c>
      <c r="X19" s="70"/>
      <c r="Y19" s="73" t="s">
        <v>36705</v>
      </c>
      <c r="Z19" s="64" t="str">
        <f>VLOOKUP(I19,ЦветПолный!A:B,2,FALSE)</f>
        <v>05</v>
      </c>
      <c r="AA19" s="64" t="str">
        <f>IFERROR(VLOOKUP(L19,Размеры!A:D,4,FALSE),"")</f>
        <v>59</v>
      </c>
      <c r="AB19" s="75" t="str">
        <f>IF(LEFT(VLOOKUP(LOOKUP(2,1/SEARCH(G19,Товары!A:A),Товары!A:A),Товары!A:B,2,0),6)=LEFT(W19,6),"OK","НЕ НАЙДЕНО")</f>
        <v>OK</v>
      </c>
      <c r="AC19" s="20"/>
      <c r="AD19" s="56">
        <f>SUMIF(Группа!A:A,C19,Группа!C:C)</f>
        <v>1</v>
      </c>
      <c r="AE19" s="56">
        <f>SUMIF(Группа!B:B,R19,Группа!C:C)</f>
        <v>1</v>
      </c>
      <c r="AF19" s="56">
        <f>SUMIF(Формы!A:A,D19,Формы!B:B)</f>
        <v>1</v>
      </c>
      <c r="AG19" s="56">
        <f>SUMIF(Материал!A:A,E19,Материал!B:B)</f>
        <v>1</v>
      </c>
      <c r="AH19" s="56">
        <f>SUMIF(Размеры!A:A,L19,Размеры!E:E)</f>
        <v>1</v>
      </c>
      <c r="AI19" s="56">
        <f>SUMIF(Сезон!A:A,J19,Сезон!B:B)</f>
        <v>1</v>
      </c>
      <c r="AJ19" s="56">
        <f>SUMIF(Состав!A:A,K19,Состав!B:B)</f>
        <v>0</v>
      </c>
      <c r="AK19" s="56">
        <f>SUMIF(ЦветПолный!A:A,I19,ЦветПолный!C:C)</f>
        <v>6</v>
      </c>
      <c r="AL19" s="56">
        <f>SUMIF(Цвет!A:A,V19,Цвет!B:B)</f>
        <v>1</v>
      </c>
      <c r="AM19" s="56">
        <f>SUMIF(Пол!B:B,F19,Пол!C:C)</f>
        <v>1</v>
      </c>
      <c r="AN19" s="56">
        <f>SUMIF(Марка!A:A,A19,Марка!B:B)</f>
        <v>1</v>
      </c>
      <c r="AO19" s="56">
        <f>SUMIF(Страна!A:A,M19,Страна!B:B)</f>
        <v>1</v>
      </c>
      <c r="AP19" s="68" t="str">
        <f>IF(VLOOKUP(U19,Товары!A:B,2,FALSE)=W19,"Есть в 1С","ERR")</f>
        <v>Есть в 1С</v>
      </c>
      <c r="AQ19" s="68" t="str">
        <f>IF(VLOOKUP(W19,Товары!B:B,1,FALSE)=W19,"Есть в 1С","ERR")</f>
        <v>Есть в 1С</v>
      </c>
      <c r="AS19" s="58" t="str">
        <f>VLOOKUP(U19,Товары!A:B,2,FALSE)</f>
        <v>02-246-05</v>
      </c>
      <c r="AT19" s="60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48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0" t="s">
        <v>28</v>
      </c>
      <c r="W20" s="51" t="str">
        <f t="shared" si="3"/>
        <v>02-246-05</v>
      </c>
      <c r="X20" s="70"/>
      <c r="Y20" s="73" t="s">
        <v>36706</v>
      </c>
      <c r="Z20" s="64" t="str">
        <f>VLOOKUP(I20,ЦветПолный!A:B,2,FALSE)</f>
        <v>05</v>
      </c>
      <c r="AA20" s="64" t="str">
        <f>IFERROR(VLOOKUP(L20,Размеры!A:D,4,FALSE),"")</f>
        <v>61</v>
      </c>
      <c r="AB20" s="75" t="str">
        <f>IF(LEFT(VLOOKUP(LOOKUP(2,1/SEARCH(G20,Товары!A:A),Товары!A:A),Товары!A:B,2,0),6)=LEFT(W20,6),"OK","НЕ НАЙДЕНО")</f>
        <v>OK</v>
      </c>
      <c r="AC20" s="20"/>
      <c r="AD20" s="56">
        <f>SUMIF(Группа!A:A,C20,Группа!C:C)</f>
        <v>1</v>
      </c>
      <c r="AE20" s="56">
        <f>SUMIF(Группа!B:B,R20,Группа!C:C)</f>
        <v>1</v>
      </c>
      <c r="AF20" s="56">
        <f>SUMIF(Формы!A:A,D20,Формы!B:B)</f>
        <v>1</v>
      </c>
      <c r="AG20" s="56">
        <f>SUMIF(Материал!A:A,E20,Материал!B:B)</f>
        <v>1</v>
      </c>
      <c r="AH20" s="56">
        <f>SUMIF(Размеры!A:A,L20,Размеры!E:E)</f>
        <v>1</v>
      </c>
      <c r="AI20" s="56">
        <f>SUMIF(Сезон!A:A,J20,Сезон!B:B)</f>
        <v>1</v>
      </c>
      <c r="AJ20" s="56">
        <f>SUMIF(Состав!A:A,K20,Состав!B:B)</f>
        <v>0</v>
      </c>
      <c r="AK20" s="56">
        <f>SUMIF(ЦветПолный!A:A,I20,ЦветПолный!C:C)</f>
        <v>6</v>
      </c>
      <c r="AL20" s="56">
        <f>SUMIF(Цвет!A:A,V20,Цвет!B:B)</f>
        <v>1</v>
      </c>
      <c r="AM20" s="56">
        <f>SUMIF(Пол!B:B,F20,Пол!C:C)</f>
        <v>1</v>
      </c>
      <c r="AN20" s="56">
        <f>SUMIF(Марка!A:A,A20,Марка!B:B)</f>
        <v>1</v>
      </c>
      <c r="AO20" s="56">
        <f>SUMIF(Страна!A:A,M20,Страна!B:B)</f>
        <v>1</v>
      </c>
      <c r="AP20" s="68" t="str">
        <f>IF(VLOOKUP(U20,Товары!A:B,2,FALSE)=W20,"Есть в 1С","ERR")</f>
        <v>Есть в 1С</v>
      </c>
      <c r="AQ20" s="68" t="str">
        <f>IF(VLOOKUP(W20,Товары!B:B,1,FALSE)=W20,"Есть в 1С","ERR")</f>
        <v>Есть в 1С</v>
      </c>
      <c r="AS20" s="58" t="str">
        <f>VLOOKUP(U20,Товары!A:B,2,FALSE)</f>
        <v>02-246-05</v>
      </c>
      <c r="AT20" s="60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48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0" t="s">
        <v>27</v>
      </c>
      <c r="W21" s="51" t="str">
        <f t="shared" si="3"/>
        <v>02-246-05</v>
      </c>
      <c r="X21" s="70"/>
      <c r="Y21" s="73" t="s">
        <v>36707</v>
      </c>
      <c r="Z21" s="64" t="str">
        <f>VLOOKUP(I21,ЦветПолный!A:B,2,FALSE)</f>
        <v>05</v>
      </c>
      <c r="AA21" s="64" t="str">
        <f>IFERROR(VLOOKUP(L21,Размеры!A:D,4,FALSE),"")</f>
        <v>63</v>
      </c>
      <c r="AB21" s="75" t="str">
        <f>IF(LEFT(VLOOKUP(LOOKUP(2,1/SEARCH(G21,Товары!A:A),Товары!A:A),Товары!A:B,2,0),6)=LEFT(W21,6),"OK","НЕ НАЙДЕНО")</f>
        <v>OK</v>
      </c>
      <c r="AC21" s="20"/>
      <c r="AD21" s="56">
        <f>SUMIF(Группа!A:A,C21,Группа!C:C)</f>
        <v>1</v>
      </c>
      <c r="AE21" s="56">
        <f>SUMIF(Группа!B:B,R21,Группа!C:C)</f>
        <v>1</v>
      </c>
      <c r="AF21" s="56">
        <f>SUMIF(Формы!A:A,D21,Формы!B:B)</f>
        <v>1</v>
      </c>
      <c r="AG21" s="56">
        <f>SUMIF(Материал!A:A,E21,Материал!B:B)</f>
        <v>1</v>
      </c>
      <c r="AH21" s="56">
        <f>SUMIF(Размеры!A:A,L21,Размеры!E:E)</f>
        <v>1</v>
      </c>
      <c r="AI21" s="56">
        <f>SUMIF(Сезон!A:A,J21,Сезон!B:B)</f>
        <v>1</v>
      </c>
      <c r="AJ21" s="56">
        <f>SUMIF(Состав!A:A,K21,Состав!B:B)</f>
        <v>0</v>
      </c>
      <c r="AK21" s="56">
        <f>SUMIF(ЦветПолный!A:A,I21,ЦветПолный!C:C)</f>
        <v>6</v>
      </c>
      <c r="AL21" s="56">
        <f>SUMIF(Цвет!A:A,V21,Цвет!B:B)</f>
        <v>1</v>
      </c>
      <c r="AM21" s="56">
        <f>SUMIF(Пол!B:B,F21,Пол!C:C)</f>
        <v>1</v>
      </c>
      <c r="AN21" s="56">
        <f>SUMIF(Марка!A:A,A21,Марка!B:B)</f>
        <v>1</v>
      </c>
      <c r="AO21" s="56">
        <f>SUMIF(Страна!A:A,M21,Страна!B:B)</f>
        <v>1</v>
      </c>
      <c r="AP21" s="68" t="str">
        <f>IF(VLOOKUP(U21,Товары!A:B,2,FALSE)=W21,"Есть в 1С","ERR")</f>
        <v>Есть в 1С</v>
      </c>
      <c r="AQ21" s="68" t="str">
        <f>IF(VLOOKUP(W21,Товары!B:B,1,FALSE)=W21,"Есть в 1С","ERR")</f>
        <v>Есть в 1С</v>
      </c>
      <c r="AS21" s="58" t="str">
        <f>VLOOKUP(U21,Товары!A:B,2,FALSE)</f>
        <v>02-246-05</v>
      </c>
      <c r="AT21" s="60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48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1" t="str">
        <f t="shared" si="3"/>
        <v>02-641-78</v>
      </c>
      <c r="X22" s="70"/>
      <c r="Y22" s="73" t="s">
        <v>36708</v>
      </c>
      <c r="Z22" s="64" t="str">
        <f>VLOOKUP(I22,ЦветПолный!A:B,2,FALSE)</f>
        <v>06</v>
      </c>
      <c r="AA22" s="64" t="str">
        <f>IFERROR(VLOOKUP(L22,Размеры!A:D,4,FALSE),"")</f>
        <v>57</v>
      </c>
      <c r="AB22" s="75" t="str">
        <f>IF(LEFT(VLOOKUP(LOOKUP(2,1/SEARCH(G22,Товары!A:A),Товары!A:A),Товары!A:B,2,0),6)=LEFT(W22,6),"OK","НЕ НАЙДЕНО")</f>
        <v>OK</v>
      </c>
      <c r="AC22" s="20"/>
      <c r="AD22" s="56">
        <f>SUMIF(Группа!A:A,C22,Группа!C:C)</f>
        <v>1</v>
      </c>
      <c r="AE22" s="56">
        <f>SUMIF(Группа!B:B,R22,Группа!C:C)</f>
        <v>1</v>
      </c>
      <c r="AF22" s="56">
        <f>SUMIF(Формы!A:A,D22,Формы!B:B)</f>
        <v>1</v>
      </c>
      <c r="AG22" s="56">
        <f>SUMIF(Материал!A:A,E22,Материал!B:B)</f>
        <v>1</v>
      </c>
      <c r="AH22" s="56">
        <f>SUMIF(Размеры!A:A,L22,Размеры!E:E)</f>
        <v>1</v>
      </c>
      <c r="AI22" s="56">
        <f>SUMIF(Сезон!A:A,J22,Сезон!B:B)</f>
        <v>1</v>
      </c>
      <c r="AJ22" s="56">
        <f>SUMIF(Состав!A:A,K22,Состав!B:B)</f>
        <v>0</v>
      </c>
      <c r="AK22" s="56">
        <f>SUMIF(ЦветПолный!A:A,I22,ЦветПолный!C:C)</f>
        <v>8</v>
      </c>
      <c r="AL22" s="56">
        <f>SUMIF(Цвет!A:A,V22,Цвет!B:B)</f>
        <v>1</v>
      </c>
      <c r="AM22" s="56">
        <f>SUMIF(Пол!B:B,F22,Пол!C:C)</f>
        <v>1</v>
      </c>
      <c r="AN22" s="56">
        <f>SUMIF(Марка!A:A,A22,Марка!B:B)</f>
        <v>1</v>
      </c>
      <c r="AO22" s="56">
        <f>SUMIF(Страна!A:A,M22,Страна!B:B)</f>
        <v>1</v>
      </c>
      <c r="AP22" s="68" t="str">
        <f>IF(VLOOKUP(U22,Товары!A:B,2,FALSE)=W22,"Есть в 1С","ERR")</f>
        <v>Есть в 1С</v>
      </c>
      <c r="AQ22" s="68" t="str">
        <f>IF(VLOOKUP(W22,Товары!B:B,1,FALSE)=W22,"Есть в 1С","ERR")</f>
        <v>Есть в 1С</v>
      </c>
      <c r="AS22" s="58" t="str">
        <f>VLOOKUP(U22,Товары!A:B,2,FALSE)</f>
        <v>02-641-78</v>
      </c>
      <c r="AT22" s="60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48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1" t="str">
        <f t="shared" si="3"/>
        <v>02-641-78</v>
      </c>
      <c r="X23" s="70"/>
      <c r="Y23" s="73" t="s">
        <v>36709</v>
      </c>
      <c r="Z23" s="64" t="str">
        <f>VLOOKUP(I23,ЦветПолный!A:B,2,FALSE)</f>
        <v>06</v>
      </c>
      <c r="AA23" s="64" t="str">
        <f>IFERROR(VLOOKUP(L23,Размеры!A:D,4,FALSE),"")</f>
        <v>59</v>
      </c>
      <c r="AB23" s="75" t="str">
        <f>IF(LEFT(VLOOKUP(LOOKUP(2,1/SEARCH(G23,Товары!A:A),Товары!A:A),Товары!A:B,2,0),6)=LEFT(W23,6),"OK","НЕ НАЙДЕНО")</f>
        <v>OK</v>
      </c>
      <c r="AC23" s="20"/>
      <c r="AD23" s="56">
        <f>SUMIF(Группа!A:A,C23,Группа!C:C)</f>
        <v>1</v>
      </c>
      <c r="AE23" s="56">
        <f>SUMIF(Группа!B:B,R23,Группа!C:C)</f>
        <v>1</v>
      </c>
      <c r="AF23" s="56">
        <f>SUMIF(Формы!A:A,D23,Формы!B:B)</f>
        <v>1</v>
      </c>
      <c r="AG23" s="56">
        <f>SUMIF(Материал!A:A,E23,Материал!B:B)</f>
        <v>1</v>
      </c>
      <c r="AH23" s="56">
        <f>SUMIF(Размеры!A:A,L23,Размеры!E:E)</f>
        <v>1</v>
      </c>
      <c r="AI23" s="56">
        <f>SUMIF(Сезон!A:A,J23,Сезон!B:B)</f>
        <v>1</v>
      </c>
      <c r="AJ23" s="56">
        <f>SUMIF(Состав!A:A,K23,Состав!B:B)</f>
        <v>0</v>
      </c>
      <c r="AK23" s="56">
        <f>SUMIF(ЦветПолный!A:A,I23,ЦветПолный!C:C)</f>
        <v>8</v>
      </c>
      <c r="AL23" s="56">
        <f>SUMIF(Цвет!A:A,V23,Цвет!B:B)</f>
        <v>1</v>
      </c>
      <c r="AM23" s="56">
        <f>SUMIF(Пол!B:B,F23,Пол!C:C)</f>
        <v>1</v>
      </c>
      <c r="AN23" s="56">
        <f>SUMIF(Марка!A:A,A23,Марка!B:B)</f>
        <v>1</v>
      </c>
      <c r="AO23" s="56">
        <f>SUMIF(Страна!A:A,M23,Страна!B:B)</f>
        <v>1</v>
      </c>
      <c r="AP23" s="68" t="str">
        <f>IF(VLOOKUP(U23,Товары!A:B,2,FALSE)=W23,"Есть в 1С","ERR")</f>
        <v>Есть в 1С</v>
      </c>
      <c r="AQ23" s="68" t="str">
        <f>IF(VLOOKUP(W23,Товары!B:B,1,FALSE)=W23,"Есть в 1С","ERR")</f>
        <v>Есть в 1С</v>
      </c>
      <c r="AS23" s="58" t="str">
        <f>VLOOKUP(U23,Товары!A:B,2,FALSE)</f>
        <v>02-641-78</v>
      </c>
      <c r="AT23" s="60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48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1" t="str">
        <f t="shared" si="3"/>
        <v>02-641-78</v>
      </c>
      <c r="X24" s="70"/>
      <c r="Y24" s="73" t="s">
        <v>36710</v>
      </c>
      <c r="Z24" s="64" t="str">
        <f>VLOOKUP(I24,ЦветПолный!A:B,2,FALSE)</f>
        <v>06</v>
      </c>
      <c r="AA24" s="64" t="str">
        <f>IFERROR(VLOOKUP(L24,Размеры!A:D,4,FALSE),"")</f>
        <v>61</v>
      </c>
      <c r="AB24" s="75" t="str">
        <f>IF(LEFT(VLOOKUP(LOOKUP(2,1/SEARCH(G24,Товары!A:A),Товары!A:A),Товары!A:B,2,0),6)=LEFT(W24,6),"OK","НЕ НАЙДЕНО")</f>
        <v>OK</v>
      </c>
      <c r="AC24" s="20"/>
      <c r="AD24" s="56">
        <f>SUMIF(Группа!A:A,C24,Группа!C:C)</f>
        <v>1</v>
      </c>
      <c r="AE24" s="56">
        <f>SUMIF(Группа!B:B,R24,Группа!C:C)</f>
        <v>1</v>
      </c>
      <c r="AF24" s="56">
        <f>SUMIF(Формы!A:A,D24,Формы!B:B)</f>
        <v>1</v>
      </c>
      <c r="AG24" s="56">
        <f>SUMIF(Материал!A:A,E24,Материал!B:B)</f>
        <v>1</v>
      </c>
      <c r="AH24" s="56">
        <f>SUMIF(Размеры!A:A,L24,Размеры!E:E)</f>
        <v>1</v>
      </c>
      <c r="AI24" s="56">
        <f>SUMIF(Сезон!A:A,J24,Сезон!B:B)</f>
        <v>1</v>
      </c>
      <c r="AJ24" s="56">
        <f>SUMIF(Состав!A:A,K24,Состав!B:B)</f>
        <v>0</v>
      </c>
      <c r="AK24" s="56">
        <f>SUMIF(ЦветПолный!A:A,I24,ЦветПолный!C:C)</f>
        <v>8</v>
      </c>
      <c r="AL24" s="56">
        <f>SUMIF(Цвет!A:A,V24,Цвет!B:B)</f>
        <v>1</v>
      </c>
      <c r="AM24" s="56">
        <f>SUMIF(Пол!B:B,F24,Пол!C:C)</f>
        <v>1</v>
      </c>
      <c r="AN24" s="56">
        <f>SUMIF(Марка!A:A,A24,Марка!B:B)</f>
        <v>1</v>
      </c>
      <c r="AO24" s="56">
        <f>SUMIF(Страна!A:A,M24,Страна!B:B)</f>
        <v>1</v>
      </c>
      <c r="AP24" s="68" t="str">
        <f>IF(VLOOKUP(U24,Товары!A:B,2,FALSE)=W24,"Есть в 1С","ERR")</f>
        <v>Есть в 1С</v>
      </c>
      <c r="AQ24" s="68" t="str">
        <f>IF(VLOOKUP(W24,Товары!B:B,1,FALSE)=W24,"Есть в 1С","ERR")</f>
        <v>Есть в 1С</v>
      </c>
      <c r="AS24" s="58" t="str">
        <f>VLOOKUP(U24,Товары!A:B,2,FALSE)</f>
        <v>02-641-78</v>
      </c>
      <c r="AT24" s="60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48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1" t="str">
        <f t="shared" si="3"/>
        <v>02-641-60</v>
      </c>
      <c r="X25" s="70"/>
      <c r="Y25" s="73" t="s">
        <v>36711</v>
      </c>
      <c r="Z25" s="64" t="str">
        <f>VLOOKUP(I25,ЦветПолный!A:B,2,FALSE)</f>
        <v>60</v>
      </c>
      <c r="AA25" s="64" t="str">
        <f>IFERROR(VLOOKUP(L25,Размеры!A:D,4,FALSE),"")</f>
        <v>57</v>
      </c>
      <c r="AB25" s="75" t="str">
        <f>IF(LEFT(VLOOKUP(LOOKUP(2,1/SEARCH(G25,Товары!A:A),Товары!A:A),Товары!A:B,2,0),6)=LEFT(W25,6),"OK","НЕ НАЙДЕНО")</f>
        <v>OK</v>
      </c>
      <c r="AC25" s="20"/>
      <c r="AD25" s="56">
        <f>SUMIF(Группа!A:A,C25,Группа!C:C)</f>
        <v>1</v>
      </c>
      <c r="AE25" s="56">
        <f>SUMIF(Группа!B:B,R25,Группа!C:C)</f>
        <v>1</v>
      </c>
      <c r="AF25" s="56">
        <f>SUMIF(Формы!A:A,D25,Формы!B:B)</f>
        <v>1</v>
      </c>
      <c r="AG25" s="56">
        <f>SUMIF(Материал!A:A,E25,Материал!B:B)</f>
        <v>1</v>
      </c>
      <c r="AH25" s="56">
        <f>SUMIF(Размеры!A:A,L25,Размеры!E:E)</f>
        <v>1</v>
      </c>
      <c r="AI25" s="56">
        <f>SUMIF(Сезон!A:A,J25,Сезон!B:B)</f>
        <v>1</v>
      </c>
      <c r="AJ25" s="56">
        <f>SUMIF(Состав!A:A,K25,Состав!B:B)</f>
        <v>0</v>
      </c>
      <c r="AK25" s="56">
        <f>SUMIF(ЦветПолный!A:A,I25,ЦветПолный!C:C)</f>
        <v>3</v>
      </c>
      <c r="AL25" s="56">
        <f>SUMIF(Цвет!A:A,V25,Цвет!B:B)</f>
        <v>1</v>
      </c>
      <c r="AM25" s="56">
        <f>SUMIF(Пол!B:B,F25,Пол!C:C)</f>
        <v>1</v>
      </c>
      <c r="AN25" s="56">
        <f>SUMIF(Марка!A:A,A25,Марка!B:B)</f>
        <v>1</v>
      </c>
      <c r="AO25" s="56">
        <f>SUMIF(Страна!A:A,M25,Страна!B:B)</f>
        <v>1</v>
      </c>
      <c r="AP25" s="68" t="str">
        <f>IF(VLOOKUP(U25,Товары!A:B,2,FALSE)=W25,"Есть в 1С","ERR")</f>
        <v>Есть в 1С</v>
      </c>
      <c r="AQ25" s="68" t="str">
        <f>IF(VLOOKUP(W25,Товары!B:B,1,FALSE)=W25,"Есть в 1С","ERR")</f>
        <v>Есть в 1С</v>
      </c>
      <c r="AS25" s="58" t="str">
        <f>VLOOKUP(U25,Товары!A:B,2,FALSE)</f>
        <v>02-641-60</v>
      </c>
      <c r="AT25" s="60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48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0" t="s">
        <v>28</v>
      </c>
      <c r="W26" s="51" t="str">
        <f t="shared" si="3"/>
        <v>02-101-05</v>
      </c>
      <c r="X26" s="70"/>
      <c r="Y26" s="73" t="s">
        <v>36712</v>
      </c>
      <c r="Z26" s="64" t="str">
        <f>VLOOKUP(I26,ЦветПолный!A:B,2,FALSE)</f>
        <v>05</v>
      </c>
      <c r="AA26" s="64" t="str">
        <f>IFERROR(VLOOKUP(L26,Размеры!A:D,4,FALSE),"")</f>
        <v>57</v>
      </c>
      <c r="AB26" s="75" t="str">
        <f>IF(LEFT(VLOOKUP(LOOKUP(2,1/SEARCH(G26,Товары!A:A),Товары!A:A),Товары!A:B,2,0),6)=LEFT(W26,6),"OK","НЕ НАЙДЕНО")</f>
        <v>OK</v>
      </c>
      <c r="AC26" s="20"/>
      <c r="AD26" s="56">
        <f>SUMIF(Группа!A:A,C26,Группа!C:C)</f>
        <v>1</v>
      </c>
      <c r="AE26" s="56">
        <f>SUMIF(Группа!B:B,R26,Группа!C:C)</f>
        <v>1</v>
      </c>
      <c r="AF26" s="56">
        <f>SUMIF(Формы!A:A,D26,Формы!B:B)</f>
        <v>1</v>
      </c>
      <c r="AG26" s="56">
        <f>SUMIF(Материал!A:A,E26,Материал!B:B)</f>
        <v>1</v>
      </c>
      <c r="AH26" s="56">
        <f>SUMIF(Размеры!A:A,L26,Размеры!E:E)</f>
        <v>1</v>
      </c>
      <c r="AI26" s="56">
        <f>SUMIF(Сезон!A:A,J26,Сезон!B:B)</f>
        <v>1</v>
      </c>
      <c r="AJ26" s="56">
        <f>SUMIF(Состав!A:A,K26,Состав!B:B)</f>
        <v>0</v>
      </c>
      <c r="AK26" s="56">
        <f>SUMIF(ЦветПолный!A:A,I26,ЦветПолный!C:C)</f>
        <v>6</v>
      </c>
      <c r="AL26" s="56">
        <f>SUMIF(Цвет!A:A,V26,Цвет!B:B)</f>
        <v>1</v>
      </c>
      <c r="AM26" s="56">
        <f>SUMIF(Пол!B:B,F26,Пол!C:C)</f>
        <v>1</v>
      </c>
      <c r="AN26" s="56">
        <f>SUMIF(Марка!A:A,A26,Марка!B:B)</f>
        <v>1</v>
      </c>
      <c r="AO26" s="56">
        <f>SUMIF(Страна!A:A,M26,Страна!B:B)</f>
        <v>1</v>
      </c>
      <c r="AP26" s="68" t="str">
        <f>IF(VLOOKUP(U26,Товары!A:B,2,FALSE)=W26,"Есть в 1С","ERR")</f>
        <v>Есть в 1С</v>
      </c>
      <c r="AQ26" s="68" t="str">
        <f>IF(VLOOKUP(W26,Товары!B:B,1,FALSE)=W26,"Есть в 1С","ERR")</f>
        <v>Есть в 1С</v>
      </c>
      <c r="AS26" s="58" t="str">
        <f>VLOOKUP(U26,Товары!A:B,2,FALSE)</f>
        <v>02-101-05</v>
      </c>
      <c r="AT26" s="60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48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0" t="s">
        <v>28</v>
      </c>
      <c r="W27" s="51" t="str">
        <f t="shared" si="3"/>
        <v>02-101-05</v>
      </c>
      <c r="X27" s="70"/>
      <c r="Y27" s="73" t="s">
        <v>36713</v>
      </c>
      <c r="Z27" s="64" t="str">
        <f>VLOOKUP(I27,ЦветПолный!A:B,2,FALSE)</f>
        <v>05</v>
      </c>
      <c r="AA27" s="64" t="str">
        <f>IFERROR(VLOOKUP(L27,Размеры!A:D,4,FALSE),"")</f>
        <v>59</v>
      </c>
      <c r="AB27" s="75" t="str">
        <f>IF(LEFT(VLOOKUP(LOOKUP(2,1/SEARCH(G27,Товары!A:A),Товары!A:A),Товары!A:B,2,0),6)=LEFT(W27,6),"OK","НЕ НАЙДЕНО")</f>
        <v>OK</v>
      </c>
      <c r="AC27" s="20"/>
      <c r="AD27" s="56">
        <f>SUMIF(Группа!A:A,C27,Группа!C:C)</f>
        <v>1</v>
      </c>
      <c r="AE27" s="56">
        <f>SUMIF(Группа!B:B,R27,Группа!C:C)</f>
        <v>1</v>
      </c>
      <c r="AF27" s="56">
        <f>SUMIF(Формы!A:A,D27,Формы!B:B)</f>
        <v>1</v>
      </c>
      <c r="AG27" s="56">
        <f>SUMIF(Материал!A:A,E27,Материал!B:B)</f>
        <v>1</v>
      </c>
      <c r="AH27" s="56">
        <f>SUMIF(Размеры!A:A,L27,Размеры!E:E)</f>
        <v>1</v>
      </c>
      <c r="AI27" s="56">
        <f>SUMIF(Сезон!A:A,J27,Сезон!B:B)</f>
        <v>1</v>
      </c>
      <c r="AJ27" s="56">
        <f>SUMIF(Состав!A:A,K27,Состав!B:B)</f>
        <v>0</v>
      </c>
      <c r="AK27" s="56">
        <f>SUMIF(ЦветПолный!A:A,I27,ЦветПолный!C:C)</f>
        <v>6</v>
      </c>
      <c r="AL27" s="56">
        <f>SUMIF(Цвет!A:A,V27,Цвет!B:B)</f>
        <v>1</v>
      </c>
      <c r="AM27" s="56">
        <f>SUMIF(Пол!B:B,F27,Пол!C:C)</f>
        <v>1</v>
      </c>
      <c r="AN27" s="56">
        <f>SUMIF(Марка!A:A,A27,Марка!B:B)</f>
        <v>1</v>
      </c>
      <c r="AO27" s="56">
        <f>SUMIF(Страна!A:A,M27,Страна!B:B)</f>
        <v>1</v>
      </c>
      <c r="AP27" s="68" t="str">
        <f>IF(VLOOKUP(U27,Товары!A:B,2,FALSE)=W27,"Есть в 1С","ERR")</f>
        <v>Есть в 1С</v>
      </c>
      <c r="AQ27" s="68" t="str">
        <f>IF(VLOOKUP(W27,Товары!B:B,1,FALSE)=W27,"Есть в 1С","ERR")</f>
        <v>Есть в 1С</v>
      </c>
      <c r="AS27" s="58" t="str">
        <f>VLOOKUP(U27,Товары!A:B,2,FALSE)</f>
        <v>02-101-05</v>
      </c>
      <c r="AT27" s="60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48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0" t="s">
        <v>28</v>
      </c>
      <c r="W28" s="51" t="str">
        <f t="shared" si="3"/>
        <v>02-101-05</v>
      </c>
      <c r="X28" s="70"/>
      <c r="Y28" s="73" t="s">
        <v>36714</v>
      </c>
      <c r="Z28" s="64" t="str">
        <f>VLOOKUP(I28,ЦветПолный!A:B,2,FALSE)</f>
        <v>05</v>
      </c>
      <c r="AA28" s="64" t="str">
        <f>IFERROR(VLOOKUP(L28,Размеры!A:D,4,FALSE),"")</f>
        <v>61</v>
      </c>
      <c r="AB28" s="75" t="str">
        <f>IF(LEFT(VLOOKUP(LOOKUP(2,1/SEARCH(G28,Товары!A:A),Товары!A:A),Товары!A:B,2,0),6)=LEFT(W28,6),"OK","НЕ НАЙДЕНО")</f>
        <v>OK</v>
      </c>
      <c r="AC28" s="20"/>
      <c r="AD28" s="56">
        <f>SUMIF(Группа!A:A,C28,Группа!C:C)</f>
        <v>1</v>
      </c>
      <c r="AE28" s="56">
        <f>SUMIF(Группа!B:B,R28,Группа!C:C)</f>
        <v>1</v>
      </c>
      <c r="AF28" s="56">
        <f>SUMIF(Формы!A:A,D28,Формы!B:B)</f>
        <v>1</v>
      </c>
      <c r="AG28" s="56">
        <f>SUMIF(Материал!A:A,E28,Материал!B:B)</f>
        <v>1</v>
      </c>
      <c r="AH28" s="56">
        <f>SUMIF(Размеры!A:A,L28,Размеры!E:E)</f>
        <v>1</v>
      </c>
      <c r="AI28" s="56">
        <f>SUMIF(Сезон!A:A,J28,Сезон!B:B)</f>
        <v>1</v>
      </c>
      <c r="AJ28" s="56">
        <f>SUMIF(Состав!A:A,K28,Состав!B:B)</f>
        <v>0</v>
      </c>
      <c r="AK28" s="56">
        <f>SUMIF(ЦветПолный!A:A,I28,ЦветПолный!C:C)</f>
        <v>6</v>
      </c>
      <c r="AL28" s="56">
        <f>SUMIF(Цвет!A:A,V28,Цвет!B:B)</f>
        <v>1</v>
      </c>
      <c r="AM28" s="56">
        <f>SUMIF(Пол!B:B,F28,Пол!C:C)</f>
        <v>1</v>
      </c>
      <c r="AN28" s="56">
        <f>SUMIF(Марка!A:A,A28,Марка!B:B)</f>
        <v>1</v>
      </c>
      <c r="AO28" s="56">
        <f>SUMIF(Страна!A:A,M28,Страна!B:B)</f>
        <v>1</v>
      </c>
      <c r="AP28" s="68" t="str">
        <f>IF(VLOOKUP(U28,Товары!A:B,2,FALSE)=W28,"Есть в 1С","ERR")</f>
        <v>Есть в 1С</v>
      </c>
      <c r="AQ28" s="68" t="str">
        <f>IF(VLOOKUP(W28,Товары!B:B,1,FALSE)=W28,"Есть в 1С","ERR")</f>
        <v>Есть в 1С</v>
      </c>
      <c r="AS28" s="58" t="str">
        <f>VLOOKUP(U28,Товары!A:B,2,FALSE)</f>
        <v>02-101-05</v>
      </c>
      <c r="AT28" s="60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48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0" t="s">
        <v>28</v>
      </c>
      <c r="W29" s="51" t="str">
        <f t="shared" si="3"/>
        <v>02-101-05</v>
      </c>
      <c r="X29" s="70"/>
      <c r="Y29" s="73" t="s">
        <v>36715</v>
      </c>
      <c r="Z29" s="64" t="str">
        <f>VLOOKUP(I29,ЦветПолный!A:B,2,FALSE)</f>
        <v>05</v>
      </c>
      <c r="AA29" s="64" t="str">
        <f>IFERROR(VLOOKUP(L29,Размеры!A:D,4,FALSE),"")</f>
        <v>63</v>
      </c>
      <c r="AB29" s="75" t="str">
        <f>IF(LEFT(VLOOKUP(LOOKUP(2,1/SEARCH(G29,Товары!A:A),Товары!A:A),Товары!A:B,2,0),6)=LEFT(W29,6),"OK","НЕ НАЙДЕНО")</f>
        <v>OK</v>
      </c>
      <c r="AC29" s="20"/>
      <c r="AD29" s="56">
        <f>SUMIF(Группа!A:A,C29,Группа!C:C)</f>
        <v>1</v>
      </c>
      <c r="AE29" s="56">
        <f>SUMIF(Группа!B:B,R29,Группа!C:C)</f>
        <v>1</v>
      </c>
      <c r="AF29" s="56">
        <f>SUMIF(Формы!A:A,D29,Формы!B:B)</f>
        <v>1</v>
      </c>
      <c r="AG29" s="56">
        <f>SUMIF(Материал!A:A,E29,Материал!B:B)</f>
        <v>1</v>
      </c>
      <c r="AH29" s="56">
        <f>SUMIF(Размеры!A:A,L29,Размеры!E:E)</f>
        <v>1</v>
      </c>
      <c r="AI29" s="56">
        <f>SUMIF(Сезон!A:A,J29,Сезон!B:B)</f>
        <v>1</v>
      </c>
      <c r="AJ29" s="56">
        <f>SUMIF(Состав!A:A,K29,Состав!B:B)</f>
        <v>0</v>
      </c>
      <c r="AK29" s="56">
        <f>SUMIF(ЦветПолный!A:A,I29,ЦветПолный!C:C)</f>
        <v>6</v>
      </c>
      <c r="AL29" s="56">
        <f>SUMIF(Цвет!A:A,V29,Цвет!B:B)</f>
        <v>1</v>
      </c>
      <c r="AM29" s="56">
        <f>SUMIF(Пол!B:B,F29,Пол!C:C)</f>
        <v>1</v>
      </c>
      <c r="AN29" s="56">
        <f>SUMIF(Марка!A:A,A29,Марка!B:B)</f>
        <v>1</v>
      </c>
      <c r="AO29" s="56">
        <f>SUMIF(Страна!A:A,M29,Страна!B:B)</f>
        <v>1</v>
      </c>
      <c r="AP29" s="68" t="str">
        <f>IF(VLOOKUP(U29,Товары!A:B,2,FALSE)=W29,"Есть в 1С","ERR")</f>
        <v>Есть в 1С</v>
      </c>
      <c r="AQ29" s="68" t="str">
        <f>IF(VLOOKUP(W29,Товары!B:B,1,FALSE)=W29,"Есть в 1С","ERR")</f>
        <v>Есть в 1С</v>
      </c>
      <c r="AS29" s="58" t="str">
        <f>VLOOKUP(U29,Товары!A:B,2,FALSE)</f>
        <v>02-101-05</v>
      </c>
      <c r="AT29" s="60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48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1" t="str">
        <f t="shared" si="3"/>
        <v>02-072-08</v>
      </c>
      <c r="X30" s="70"/>
      <c r="Y30" s="73" t="s">
        <v>36716</v>
      </c>
      <c r="Z30" s="64" t="str">
        <f>VLOOKUP(I30,ЦветПолный!A:B,2,FALSE)</f>
        <v>08</v>
      </c>
      <c r="AA30" s="64" t="str">
        <f>IFERROR(VLOOKUP(L30,Размеры!A:D,4,FALSE),"")</f>
        <v>55</v>
      </c>
      <c r="AB30" s="75" t="str">
        <f>IF(LEFT(VLOOKUP(LOOKUP(2,1/SEARCH(G30,Товары!A:A),Товары!A:A),Товары!A:B,2,0),6)=LEFT(W30,6),"OK","НЕ НАЙДЕНО")</f>
        <v>OK</v>
      </c>
      <c r="AC30" s="20"/>
      <c r="AD30" s="56">
        <f>SUMIF(Группа!A:A,C30,Группа!C:C)</f>
        <v>1</v>
      </c>
      <c r="AE30" s="56">
        <f>SUMIF(Группа!B:B,R30,Группа!C:C)</f>
        <v>1</v>
      </c>
      <c r="AF30" s="56">
        <f>SUMIF(Формы!A:A,D30,Формы!B:B)</f>
        <v>1</v>
      </c>
      <c r="AG30" s="56">
        <f>SUMIF(Материал!A:A,E30,Материал!B:B)</f>
        <v>1</v>
      </c>
      <c r="AH30" s="56">
        <f>SUMIF(Размеры!A:A,L30,Размеры!E:E)</f>
        <v>1</v>
      </c>
      <c r="AI30" s="56">
        <f>SUMIF(Сезон!A:A,J30,Сезон!B:B)</f>
        <v>1</v>
      </c>
      <c r="AJ30" s="56">
        <f>SUMIF(Состав!A:A,K30,Состав!B:B)</f>
        <v>0</v>
      </c>
      <c r="AK30" s="56">
        <f>SUMIF(ЦветПолный!A:A,I30,ЦветПолный!C:C)</f>
        <v>11</v>
      </c>
      <c r="AL30" s="56">
        <f>SUMIF(Цвет!A:A,V30,Цвет!B:B)</f>
        <v>1</v>
      </c>
      <c r="AM30" s="56">
        <f>SUMIF(Пол!B:B,F30,Пол!C:C)</f>
        <v>1</v>
      </c>
      <c r="AN30" s="56">
        <f>SUMIF(Марка!A:A,A30,Марка!B:B)</f>
        <v>1</v>
      </c>
      <c r="AO30" s="56">
        <f>SUMIF(Страна!A:A,M30,Страна!B:B)</f>
        <v>1</v>
      </c>
      <c r="AP30" s="68" t="str">
        <f>IF(VLOOKUP(U30,Товары!A:B,2,FALSE)=W30,"Есть в 1С","ERR")</f>
        <v>Есть в 1С</v>
      </c>
      <c r="AQ30" s="68" t="str">
        <f>IF(VLOOKUP(W30,Товары!B:B,1,FALSE)=W30,"Есть в 1С","ERR")</f>
        <v>Есть в 1С</v>
      </c>
      <c r="AS30" s="58" t="str">
        <f>VLOOKUP(U30,Товары!A:B,2,FALSE)</f>
        <v>02-072-08</v>
      </c>
      <c r="AT30" s="60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48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1" t="str">
        <f t="shared" si="3"/>
        <v>02-072-08</v>
      </c>
      <c r="X31" s="70"/>
      <c r="Y31" s="73" t="s">
        <v>36717</v>
      </c>
      <c r="Z31" s="64" t="str">
        <f>VLOOKUP(I31,ЦветПолный!A:B,2,FALSE)</f>
        <v>08</v>
      </c>
      <c r="AA31" s="64" t="str">
        <f>IFERROR(VLOOKUP(L31,Размеры!A:D,4,FALSE),"")</f>
        <v>57</v>
      </c>
      <c r="AB31" s="75" t="str">
        <f>IF(LEFT(VLOOKUP(LOOKUP(2,1/SEARCH(G31,Товары!A:A),Товары!A:A),Товары!A:B,2,0),6)=LEFT(W31,6),"OK","НЕ НАЙДЕНО")</f>
        <v>OK</v>
      </c>
      <c r="AC31" s="20"/>
      <c r="AD31" s="56">
        <f>SUMIF(Группа!A:A,C31,Группа!C:C)</f>
        <v>1</v>
      </c>
      <c r="AE31" s="56">
        <f>SUMIF(Группа!B:B,R31,Группа!C:C)</f>
        <v>1</v>
      </c>
      <c r="AF31" s="56">
        <f>SUMIF(Формы!A:A,D31,Формы!B:B)</f>
        <v>1</v>
      </c>
      <c r="AG31" s="56">
        <f>SUMIF(Материал!A:A,E31,Материал!B:B)</f>
        <v>1</v>
      </c>
      <c r="AH31" s="56">
        <f>SUMIF(Размеры!A:A,L31,Размеры!E:E)</f>
        <v>1</v>
      </c>
      <c r="AI31" s="56">
        <f>SUMIF(Сезон!A:A,J31,Сезон!B:B)</f>
        <v>1</v>
      </c>
      <c r="AJ31" s="56">
        <f>SUMIF(Состав!A:A,K31,Состав!B:B)</f>
        <v>0</v>
      </c>
      <c r="AK31" s="56">
        <f>SUMIF(ЦветПолный!A:A,I31,ЦветПолный!C:C)</f>
        <v>11</v>
      </c>
      <c r="AL31" s="56">
        <f>SUMIF(Цвет!A:A,V31,Цвет!B:B)</f>
        <v>1</v>
      </c>
      <c r="AM31" s="56">
        <f>SUMIF(Пол!B:B,F31,Пол!C:C)</f>
        <v>1</v>
      </c>
      <c r="AN31" s="56">
        <f>SUMIF(Марка!A:A,A31,Марка!B:B)</f>
        <v>1</v>
      </c>
      <c r="AO31" s="56">
        <f>SUMIF(Страна!A:A,M31,Страна!B:B)</f>
        <v>1</v>
      </c>
      <c r="AP31" s="68" t="str">
        <f>IF(VLOOKUP(U31,Товары!A:B,2,FALSE)=W31,"Есть в 1С","ERR")</f>
        <v>Есть в 1С</v>
      </c>
      <c r="AQ31" s="68" t="str">
        <f>IF(VLOOKUP(W31,Товары!B:B,1,FALSE)=W31,"Есть в 1С","ERR")</f>
        <v>Есть в 1С</v>
      </c>
      <c r="AS31" s="58" t="str">
        <f>VLOOKUP(U31,Товары!A:B,2,FALSE)</f>
        <v>02-072-08</v>
      </c>
      <c r="AT31" s="60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48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1" t="str">
        <f t="shared" si="3"/>
        <v>02-072-08</v>
      </c>
      <c r="X32" s="70"/>
      <c r="Y32" s="73" t="s">
        <v>36718</v>
      </c>
      <c r="Z32" s="64" t="str">
        <f>VLOOKUP(I32,ЦветПолный!A:B,2,FALSE)</f>
        <v>08</v>
      </c>
      <c r="AA32" s="64" t="str">
        <f>IFERROR(VLOOKUP(L32,Размеры!A:D,4,FALSE),"")</f>
        <v>59</v>
      </c>
      <c r="AB32" s="75" t="str">
        <f>IF(LEFT(VLOOKUP(LOOKUP(2,1/SEARCH(G32,Товары!A:A),Товары!A:A),Товары!A:B,2,0),6)=LEFT(W32,6),"OK","НЕ НАЙДЕНО")</f>
        <v>OK</v>
      </c>
      <c r="AC32" s="20"/>
      <c r="AD32" s="56">
        <f>SUMIF(Группа!A:A,C32,Группа!C:C)</f>
        <v>1</v>
      </c>
      <c r="AE32" s="56">
        <f>SUMIF(Группа!B:B,R32,Группа!C:C)</f>
        <v>1</v>
      </c>
      <c r="AF32" s="56">
        <f>SUMIF(Формы!A:A,D32,Формы!B:B)</f>
        <v>1</v>
      </c>
      <c r="AG32" s="56">
        <f>SUMIF(Материал!A:A,E32,Материал!B:B)</f>
        <v>1</v>
      </c>
      <c r="AH32" s="56">
        <f>SUMIF(Размеры!A:A,L32,Размеры!E:E)</f>
        <v>1</v>
      </c>
      <c r="AI32" s="56">
        <f>SUMIF(Сезон!A:A,J32,Сезон!B:B)</f>
        <v>1</v>
      </c>
      <c r="AJ32" s="56">
        <f>SUMIF(Состав!A:A,K32,Состав!B:B)</f>
        <v>0</v>
      </c>
      <c r="AK32" s="56">
        <f>SUMIF(ЦветПолный!A:A,I32,ЦветПолный!C:C)</f>
        <v>11</v>
      </c>
      <c r="AL32" s="56">
        <f>SUMIF(Цвет!A:A,V32,Цвет!B:B)</f>
        <v>1</v>
      </c>
      <c r="AM32" s="56">
        <f>SUMIF(Пол!B:B,F32,Пол!C:C)</f>
        <v>1</v>
      </c>
      <c r="AN32" s="56">
        <f>SUMIF(Марка!A:A,A32,Марка!B:B)</f>
        <v>1</v>
      </c>
      <c r="AO32" s="56">
        <f>SUMIF(Страна!A:A,M32,Страна!B:B)</f>
        <v>1</v>
      </c>
      <c r="AP32" s="68" t="str">
        <f>IF(VLOOKUP(U32,Товары!A:B,2,FALSE)=W32,"Есть в 1С","ERR")</f>
        <v>Есть в 1С</v>
      </c>
      <c r="AQ32" s="68" t="str">
        <f>IF(VLOOKUP(W32,Товары!B:B,1,FALSE)=W32,"Есть в 1С","ERR")</f>
        <v>Есть в 1С</v>
      </c>
      <c r="AS32" s="58" t="str">
        <f>VLOOKUP(U32,Товары!A:B,2,FALSE)</f>
        <v>02-072-08</v>
      </c>
      <c r="AT32" s="60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48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1" t="str">
        <f t="shared" si="3"/>
        <v>02-072-08</v>
      </c>
      <c r="X33" s="70"/>
      <c r="Y33" s="73" t="s">
        <v>36719</v>
      </c>
      <c r="Z33" s="64" t="str">
        <f>VLOOKUP(I33,ЦветПолный!A:B,2,FALSE)</f>
        <v>08</v>
      </c>
      <c r="AA33" s="64" t="str">
        <f>IFERROR(VLOOKUP(L33,Размеры!A:D,4,FALSE),"")</f>
        <v>61</v>
      </c>
      <c r="AB33" s="75" t="str">
        <f>IF(LEFT(VLOOKUP(LOOKUP(2,1/SEARCH(G33,Товары!A:A),Товары!A:A),Товары!A:B,2,0),6)=LEFT(W33,6),"OK","НЕ НАЙДЕНО")</f>
        <v>OK</v>
      </c>
      <c r="AC33" s="20"/>
      <c r="AD33" s="56">
        <f>SUMIF(Группа!A:A,C33,Группа!C:C)</f>
        <v>1</v>
      </c>
      <c r="AE33" s="56">
        <f>SUMIF(Группа!B:B,R33,Группа!C:C)</f>
        <v>1</v>
      </c>
      <c r="AF33" s="56">
        <f>SUMIF(Формы!A:A,D33,Формы!B:B)</f>
        <v>1</v>
      </c>
      <c r="AG33" s="56">
        <f>SUMIF(Материал!A:A,E33,Материал!B:B)</f>
        <v>1</v>
      </c>
      <c r="AH33" s="56">
        <f>SUMIF(Размеры!A:A,L33,Размеры!E:E)</f>
        <v>1</v>
      </c>
      <c r="AI33" s="56">
        <f>SUMIF(Сезон!A:A,J33,Сезон!B:B)</f>
        <v>1</v>
      </c>
      <c r="AJ33" s="56">
        <f>SUMIF(Состав!A:A,K33,Состав!B:B)</f>
        <v>0</v>
      </c>
      <c r="AK33" s="56">
        <f>SUMIF(ЦветПолный!A:A,I33,ЦветПолный!C:C)</f>
        <v>11</v>
      </c>
      <c r="AL33" s="56">
        <f>SUMIF(Цвет!A:A,V33,Цвет!B:B)</f>
        <v>1</v>
      </c>
      <c r="AM33" s="56">
        <f>SUMIF(Пол!B:B,F33,Пол!C:C)</f>
        <v>1</v>
      </c>
      <c r="AN33" s="56">
        <f>SUMIF(Марка!A:A,A33,Марка!B:B)</f>
        <v>1</v>
      </c>
      <c r="AO33" s="56">
        <f>SUMIF(Страна!A:A,M33,Страна!B:B)</f>
        <v>1</v>
      </c>
      <c r="AP33" s="68" t="str">
        <f>IF(VLOOKUP(U33,Товары!A:B,2,FALSE)=W33,"Есть в 1С","ERR")</f>
        <v>Есть в 1С</v>
      </c>
      <c r="AQ33" s="68" t="str">
        <f>IF(VLOOKUP(W33,Товары!B:B,1,FALSE)=W33,"Есть в 1С","ERR")</f>
        <v>Есть в 1С</v>
      </c>
      <c r="AS33" s="58" t="str">
        <f>VLOOKUP(U33,Товары!A:B,2,FALSE)</f>
        <v>02-072-08</v>
      </c>
      <c r="AT33" s="60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48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1" t="str">
        <f t="shared" si="3"/>
        <v>02-072-08</v>
      </c>
      <c r="X34" s="70"/>
      <c r="Y34" s="73" t="s">
        <v>36720</v>
      </c>
      <c r="Z34" s="64" t="str">
        <f>VLOOKUP(I34,ЦветПолный!A:B,2,FALSE)</f>
        <v>08</v>
      </c>
      <c r="AA34" s="64" t="str">
        <f>IFERROR(VLOOKUP(L34,Размеры!A:D,4,FALSE),"")</f>
        <v>63</v>
      </c>
      <c r="AB34" s="75" t="str">
        <f>IF(LEFT(VLOOKUP(LOOKUP(2,1/SEARCH(G34,Товары!A:A),Товары!A:A),Товары!A:B,2,0),6)=LEFT(W34,6),"OK","НЕ НАЙДЕНО")</f>
        <v>OK</v>
      </c>
      <c r="AC34" s="20"/>
      <c r="AD34" s="56">
        <f>SUMIF(Группа!A:A,C34,Группа!C:C)</f>
        <v>1</v>
      </c>
      <c r="AE34" s="56">
        <f>SUMIF(Группа!B:B,R34,Группа!C:C)</f>
        <v>1</v>
      </c>
      <c r="AF34" s="56">
        <f>SUMIF(Формы!A:A,D34,Формы!B:B)</f>
        <v>1</v>
      </c>
      <c r="AG34" s="56">
        <f>SUMIF(Материал!A:A,E34,Материал!B:B)</f>
        <v>1</v>
      </c>
      <c r="AH34" s="56">
        <f>SUMIF(Размеры!A:A,L34,Размеры!E:E)</f>
        <v>1</v>
      </c>
      <c r="AI34" s="56">
        <f>SUMIF(Сезон!A:A,J34,Сезон!B:B)</f>
        <v>1</v>
      </c>
      <c r="AJ34" s="56">
        <f>SUMIF(Состав!A:A,K34,Состав!B:B)</f>
        <v>0</v>
      </c>
      <c r="AK34" s="56">
        <f>SUMIF(ЦветПолный!A:A,I34,ЦветПолный!C:C)</f>
        <v>11</v>
      </c>
      <c r="AL34" s="56">
        <f>SUMIF(Цвет!A:A,V34,Цвет!B:B)</f>
        <v>1</v>
      </c>
      <c r="AM34" s="56">
        <f>SUMIF(Пол!B:B,F34,Пол!C:C)</f>
        <v>1</v>
      </c>
      <c r="AN34" s="56">
        <f>SUMIF(Марка!A:A,A34,Марка!B:B)</f>
        <v>1</v>
      </c>
      <c r="AO34" s="56">
        <f>SUMIF(Страна!A:A,M34,Страна!B:B)</f>
        <v>1</v>
      </c>
      <c r="AP34" s="68" t="str">
        <f>IF(VLOOKUP(U34,Товары!A:B,2,FALSE)=W34,"Есть в 1С","ERR")</f>
        <v>Есть в 1С</v>
      </c>
      <c r="AQ34" s="68" t="str">
        <f>IF(VLOOKUP(W34,Товары!B:B,1,FALSE)=W34,"Есть в 1С","ERR")</f>
        <v>Есть в 1С</v>
      </c>
      <c r="AS34" s="58" t="str">
        <f>VLOOKUP(U34,Товары!A:B,2,FALSE)</f>
        <v>02-072-08</v>
      </c>
      <c r="AT34" s="60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48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0" t="s">
        <v>54</v>
      </c>
      <c r="W35" s="51" t="str">
        <f t="shared" si="3"/>
        <v>02-072-07</v>
      </c>
      <c r="X35" s="70"/>
      <c r="Y35" s="73" t="s">
        <v>36721</v>
      </c>
      <c r="Z35" s="64" t="str">
        <f>VLOOKUP(I35,ЦветПолный!A:B,2,FALSE)</f>
        <v>07</v>
      </c>
      <c r="AA35" s="64" t="str">
        <f>IFERROR(VLOOKUP(L35,Размеры!A:D,4,FALSE),"")</f>
        <v>55</v>
      </c>
      <c r="AB35" s="75" t="str">
        <f>IF(LEFT(VLOOKUP(LOOKUP(2,1/SEARCH(G35,Товары!A:A),Товары!A:A),Товары!A:B,2,0),6)=LEFT(W35,6),"OK","НЕ НАЙДЕНО")</f>
        <v>OK</v>
      </c>
      <c r="AC35" s="20"/>
      <c r="AD35" s="56">
        <f>SUMIF(Группа!A:A,C35,Группа!C:C)</f>
        <v>1</v>
      </c>
      <c r="AE35" s="56">
        <f>SUMIF(Группа!B:B,R35,Группа!C:C)</f>
        <v>1</v>
      </c>
      <c r="AF35" s="56">
        <f>SUMIF(Формы!A:A,D35,Формы!B:B)</f>
        <v>1</v>
      </c>
      <c r="AG35" s="56">
        <f>SUMIF(Материал!A:A,E35,Материал!B:B)</f>
        <v>1</v>
      </c>
      <c r="AH35" s="56">
        <f>SUMIF(Размеры!A:A,L35,Размеры!E:E)</f>
        <v>1</v>
      </c>
      <c r="AI35" s="56">
        <f>SUMIF(Сезон!A:A,J35,Сезон!B:B)</f>
        <v>1</v>
      </c>
      <c r="AJ35" s="56">
        <f>SUMIF(Состав!A:A,K35,Состав!B:B)</f>
        <v>0</v>
      </c>
      <c r="AK35" s="56">
        <f>SUMIF(ЦветПолный!A:A,I35,ЦветПолный!C:C)</f>
        <v>6</v>
      </c>
      <c r="AL35" s="56">
        <f>SUMIF(Цвет!A:A,V35,Цвет!B:B)</f>
        <v>1</v>
      </c>
      <c r="AM35" s="56">
        <f>SUMIF(Пол!B:B,F35,Пол!C:C)</f>
        <v>1</v>
      </c>
      <c r="AN35" s="56">
        <f>SUMIF(Марка!A:A,A35,Марка!B:B)</f>
        <v>1</v>
      </c>
      <c r="AO35" s="56">
        <f>SUMIF(Страна!A:A,M35,Страна!B:B)</f>
        <v>1</v>
      </c>
      <c r="AP35" s="68" t="str">
        <f>IF(VLOOKUP(U35,Товары!A:B,2,FALSE)=W35,"Есть в 1С","ERR")</f>
        <v>Есть в 1С</v>
      </c>
      <c r="AQ35" s="68" t="str">
        <f>IF(VLOOKUP(W35,Товары!B:B,1,FALSE)=W35,"Есть в 1С","ERR")</f>
        <v>Есть в 1С</v>
      </c>
      <c r="AS35" s="58" t="str">
        <f>VLOOKUP(U35,Товары!A:B,2,FALSE)</f>
        <v>02-072-07</v>
      </c>
      <c r="AT35" s="60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48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0" t="s">
        <v>54</v>
      </c>
      <c r="W36" s="51" t="str">
        <f t="shared" si="3"/>
        <v>02-072-07</v>
      </c>
      <c r="X36" s="70"/>
      <c r="Y36" s="73" t="s">
        <v>36722</v>
      </c>
      <c r="Z36" s="64" t="str">
        <f>VLOOKUP(I36,ЦветПолный!A:B,2,FALSE)</f>
        <v>07</v>
      </c>
      <c r="AA36" s="64" t="str">
        <f>IFERROR(VLOOKUP(L36,Размеры!A:D,4,FALSE),"")</f>
        <v>57</v>
      </c>
      <c r="AB36" s="75" t="str">
        <f>IF(LEFT(VLOOKUP(LOOKUP(2,1/SEARCH(G36,Товары!A:A),Товары!A:A),Товары!A:B,2,0),6)=LEFT(W36,6),"OK","НЕ НАЙДЕНО")</f>
        <v>OK</v>
      </c>
      <c r="AC36" s="20"/>
      <c r="AD36" s="56">
        <f>SUMIF(Группа!A:A,C36,Группа!C:C)</f>
        <v>1</v>
      </c>
      <c r="AE36" s="56">
        <f>SUMIF(Группа!B:B,R36,Группа!C:C)</f>
        <v>1</v>
      </c>
      <c r="AF36" s="56">
        <f>SUMIF(Формы!A:A,D36,Формы!B:B)</f>
        <v>1</v>
      </c>
      <c r="AG36" s="56">
        <f>SUMIF(Материал!A:A,E36,Материал!B:B)</f>
        <v>1</v>
      </c>
      <c r="AH36" s="56">
        <f>SUMIF(Размеры!A:A,L36,Размеры!E:E)</f>
        <v>1</v>
      </c>
      <c r="AI36" s="56">
        <f>SUMIF(Сезон!A:A,J36,Сезон!B:B)</f>
        <v>1</v>
      </c>
      <c r="AJ36" s="56">
        <f>SUMIF(Состав!A:A,K36,Состав!B:B)</f>
        <v>0</v>
      </c>
      <c r="AK36" s="56">
        <f>SUMIF(ЦветПолный!A:A,I36,ЦветПолный!C:C)</f>
        <v>6</v>
      </c>
      <c r="AL36" s="56">
        <f>SUMIF(Цвет!A:A,V36,Цвет!B:B)</f>
        <v>1</v>
      </c>
      <c r="AM36" s="56">
        <f>SUMIF(Пол!B:B,F36,Пол!C:C)</f>
        <v>1</v>
      </c>
      <c r="AN36" s="56">
        <f>SUMIF(Марка!A:A,A36,Марка!B:B)</f>
        <v>1</v>
      </c>
      <c r="AO36" s="56">
        <f>SUMIF(Страна!A:A,M36,Страна!B:B)</f>
        <v>1</v>
      </c>
      <c r="AP36" s="68" t="str">
        <f>IF(VLOOKUP(U36,Товары!A:B,2,FALSE)=W36,"Есть в 1С","ERR")</f>
        <v>Есть в 1С</v>
      </c>
      <c r="AQ36" s="68" t="str">
        <f>IF(VLOOKUP(W36,Товары!B:B,1,FALSE)=W36,"Есть в 1С","ERR")</f>
        <v>Есть в 1С</v>
      </c>
      <c r="AS36" s="58" t="str">
        <f>VLOOKUP(U36,Товары!A:B,2,FALSE)</f>
        <v>02-072-07</v>
      </c>
      <c r="AT36" s="60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48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0" t="s">
        <v>54</v>
      </c>
      <c r="W37" s="51" t="str">
        <f t="shared" si="3"/>
        <v>02-072-07</v>
      </c>
      <c r="X37" s="70"/>
      <c r="Y37" s="73" t="s">
        <v>36723</v>
      </c>
      <c r="Z37" s="64" t="str">
        <f>VLOOKUP(I37,ЦветПолный!A:B,2,FALSE)</f>
        <v>07</v>
      </c>
      <c r="AA37" s="64" t="str">
        <f>IFERROR(VLOOKUP(L37,Размеры!A:D,4,FALSE),"")</f>
        <v>59</v>
      </c>
      <c r="AB37" s="75" t="str">
        <f>IF(LEFT(VLOOKUP(LOOKUP(2,1/SEARCH(G37,Товары!A:A),Товары!A:A),Товары!A:B,2,0),6)=LEFT(W37,6),"OK","НЕ НАЙДЕНО")</f>
        <v>OK</v>
      </c>
      <c r="AC37" s="20"/>
      <c r="AD37" s="56">
        <f>SUMIF(Группа!A:A,C37,Группа!C:C)</f>
        <v>1</v>
      </c>
      <c r="AE37" s="56">
        <f>SUMIF(Группа!B:B,R37,Группа!C:C)</f>
        <v>1</v>
      </c>
      <c r="AF37" s="56">
        <f>SUMIF(Формы!A:A,D37,Формы!B:B)</f>
        <v>1</v>
      </c>
      <c r="AG37" s="56">
        <f>SUMIF(Материал!A:A,E37,Материал!B:B)</f>
        <v>1</v>
      </c>
      <c r="AH37" s="56">
        <f>SUMIF(Размеры!A:A,L37,Размеры!E:E)</f>
        <v>1</v>
      </c>
      <c r="AI37" s="56">
        <f>SUMIF(Сезон!A:A,J37,Сезон!B:B)</f>
        <v>1</v>
      </c>
      <c r="AJ37" s="56">
        <f>SUMIF(Состав!A:A,K37,Состав!B:B)</f>
        <v>0</v>
      </c>
      <c r="AK37" s="56">
        <f>SUMIF(ЦветПолный!A:A,I37,ЦветПолный!C:C)</f>
        <v>6</v>
      </c>
      <c r="AL37" s="56">
        <f>SUMIF(Цвет!A:A,V37,Цвет!B:B)</f>
        <v>1</v>
      </c>
      <c r="AM37" s="56">
        <f>SUMIF(Пол!B:B,F37,Пол!C:C)</f>
        <v>1</v>
      </c>
      <c r="AN37" s="56">
        <f>SUMIF(Марка!A:A,A37,Марка!B:B)</f>
        <v>1</v>
      </c>
      <c r="AO37" s="56">
        <f>SUMIF(Страна!A:A,M37,Страна!B:B)</f>
        <v>1</v>
      </c>
      <c r="AP37" s="68" t="str">
        <f>IF(VLOOKUP(U37,Товары!A:B,2,FALSE)=W37,"Есть в 1С","ERR")</f>
        <v>Есть в 1С</v>
      </c>
      <c r="AQ37" s="68" t="str">
        <f>IF(VLOOKUP(W37,Товары!B:B,1,FALSE)=W37,"Есть в 1С","ERR")</f>
        <v>Есть в 1С</v>
      </c>
      <c r="AS37" s="58" t="str">
        <f>VLOOKUP(U37,Товары!A:B,2,FALSE)</f>
        <v>02-072-07</v>
      </c>
      <c r="AT37" s="60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48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0" t="s">
        <v>54</v>
      </c>
      <c r="W38" s="51" t="str">
        <f t="shared" si="3"/>
        <v>02-072-07</v>
      </c>
      <c r="X38" s="70"/>
      <c r="Y38" s="73" t="s">
        <v>36724</v>
      </c>
      <c r="Z38" s="64" t="str">
        <f>VLOOKUP(I38,ЦветПолный!A:B,2,FALSE)</f>
        <v>07</v>
      </c>
      <c r="AA38" s="64" t="str">
        <f>IFERROR(VLOOKUP(L38,Размеры!A:D,4,FALSE),"")</f>
        <v>61</v>
      </c>
      <c r="AB38" s="75" t="str">
        <f>IF(LEFT(VLOOKUP(LOOKUP(2,1/SEARCH(G38,Товары!A:A),Товары!A:A),Товары!A:B,2,0),6)=LEFT(W38,6),"OK","НЕ НАЙДЕНО")</f>
        <v>OK</v>
      </c>
      <c r="AC38" s="20"/>
      <c r="AD38" s="56">
        <f>SUMIF(Группа!A:A,C38,Группа!C:C)</f>
        <v>1</v>
      </c>
      <c r="AE38" s="56">
        <f>SUMIF(Группа!B:B,R38,Группа!C:C)</f>
        <v>1</v>
      </c>
      <c r="AF38" s="56">
        <f>SUMIF(Формы!A:A,D38,Формы!B:B)</f>
        <v>1</v>
      </c>
      <c r="AG38" s="56">
        <f>SUMIF(Материал!A:A,E38,Материал!B:B)</f>
        <v>1</v>
      </c>
      <c r="AH38" s="56">
        <f>SUMIF(Размеры!A:A,L38,Размеры!E:E)</f>
        <v>1</v>
      </c>
      <c r="AI38" s="56">
        <f>SUMIF(Сезон!A:A,J38,Сезон!B:B)</f>
        <v>1</v>
      </c>
      <c r="AJ38" s="56">
        <f>SUMIF(Состав!A:A,K38,Состав!B:B)</f>
        <v>0</v>
      </c>
      <c r="AK38" s="56">
        <f>SUMIF(ЦветПолный!A:A,I38,ЦветПолный!C:C)</f>
        <v>6</v>
      </c>
      <c r="AL38" s="56">
        <f>SUMIF(Цвет!A:A,V38,Цвет!B:B)</f>
        <v>1</v>
      </c>
      <c r="AM38" s="56">
        <f>SUMIF(Пол!B:B,F38,Пол!C:C)</f>
        <v>1</v>
      </c>
      <c r="AN38" s="56">
        <f>SUMIF(Марка!A:A,A38,Марка!B:B)</f>
        <v>1</v>
      </c>
      <c r="AO38" s="56">
        <f>SUMIF(Страна!A:A,M38,Страна!B:B)</f>
        <v>1</v>
      </c>
      <c r="AP38" s="68" t="str">
        <f>IF(VLOOKUP(U38,Товары!A:B,2,FALSE)=W38,"Есть в 1С","ERR")</f>
        <v>Есть в 1С</v>
      </c>
      <c r="AQ38" s="68" t="str">
        <f>IF(VLOOKUP(W38,Товары!B:B,1,FALSE)=W38,"Есть в 1С","ERR")</f>
        <v>Есть в 1С</v>
      </c>
      <c r="AS38" s="58" t="str">
        <f>VLOOKUP(U38,Товары!A:B,2,FALSE)</f>
        <v>02-072-07</v>
      </c>
      <c r="AT38" s="60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48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0" t="s">
        <v>28</v>
      </c>
      <c r="W39" s="51" t="str">
        <f t="shared" si="3"/>
        <v>02-072-07</v>
      </c>
      <c r="X39" s="70"/>
      <c r="Y39" s="73" t="s">
        <v>36725</v>
      </c>
      <c r="Z39" s="64" t="str">
        <f>VLOOKUP(I39,ЦветПолный!A:B,2,FALSE)</f>
        <v>07</v>
      </c>
      <c r="AA39" s="64" t="str">
        <f>IFERROR(VLOOKUP(L39,Размеры!A:D,4,FALSE),"")</f>
        <v>63</v>
      </c>
      <c r="AB39" s="75" t="str">
        <f>IF(LEFT(VLOOKUP(LOOKUP(2,1/SEARCH(G39,Товары!A:A),Товары!A:A),Товары!A:B,2,0),6)=LEFT(W39,6),"OK","НЕ НАЙДЕНО")</f>
        <v>OK</v>
      </c>
      <c r="AC39" s="20"/>
      <c r="AD39" s="56">
        <f>SUMIF(Группа!A:A,C39,Группа!C:C)</f>
        <v>1</v>
      </c>
      <c r="AE39" s="56">
        <f>SUMIF(Группа!B:B,R39,Группа!C:C)</f>
        <v>1</v>
      </c>
      <c r="AF39" s="56">
        <f>SUMIF(Формы!A:A,D39,Формы!B:B)</f>
        <v>1</v>
      </c>
      <c r="AG39" s="56">
        <f>SUMIF(Материал!A:A,E39,Материал!B:B)</f>
        <v>1</v>
      </c>
      <c r="AH39" s="56">
        <f>SUMIF(Размеры!A:A,L39,Размеры!E:E)</f>
        <v>1</v>
      </c>
      <c r="AI39" s="56">
        <f>SUMIF(Сезон!A:A,J39,Сезон!B:B)</f>
        <v>1</v>
      </c>
      <c r="AJ39" s="56">
        <f>SUMIF(Состав!A:A,K39,Состав!B:B)</f>
        <v>0</v>
      </c>
      <c r="AK39" s="56">
        <f>SUMIF(ЦветПолный!A:A,I39,ЦветПолный!C:C)</f>
        <v>6</v>
      </c>
      <c r="AL39" s="56">
        <f>SUMIF(Цвет!A:A,V39,Цвет!B:B)</f>
        <v>1</v>
      </c>
      <c r="AM39" s="56">
        <f>SUMIF(Пол!B:B,F39,Пол!C:C)</f>
        <v>1</v>
      </c>
      <c r="AN39" s="56">
        <f>SUMIF(Марка!A:A,A39,Марка!B:B)</f>
        <v>1</v>
      </c>
      <c r="AO39" s="56">
        <f>SUMIF(Страна!A:A,M39,Страна!B:B)</f>
        <v>1</v>
      </c>
      <c r="AP39" s="68" t="str">
        <f>IF(VLOOKUP(U39,Товары!A:B,2,FALSE)=W39,"Есть в 1С","ERR")</f>
        <v>Есть в 1С</v>
      </c>
      <c r="AQ39" s="68" t="str">
        <f>IF(VLOOKUP(W39,Товары!B:B,1,FALSE)=W39,"Есть в 1С","ERR")</f>
        <v>Есть в 1С</v>
      </c>
      <c r="AS39" s="58" t="str">
        <f>VLOOKUP(U39,Товары!A:B,2,FALSE)</f>
        <v>02-072-07</v>
      </c>
      <c r="AT39" s="60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48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0" t="s">
        <v>28</v>
      </c>
      <c r="W40" s="51" t="str">
        <f t="shared" si="3"/>
        <v>new</v>
      </c>
      <c r="X40" s="70"/>
      <c r="Y40" s="73" t="s">
        <v>13</v>
      </c>
      <c r="Z40" s="64" t="str">
        <f>VLOOKUP(I40,ЦветПолный!A:B,2,FALSE)</f>
        <v>14</v>
      </c>
      <c r="AA40" s="64" t="str">
        <f>IFERROR(VLOOKUP(L40,Размеры!A:D,4,FALSE),"")</f>
        <v>00</v>
      </c>
      <c r="AB40" s="75" t="str">
        <f>IF(LEFT(VLOOKUP(LOOKUP(2,1/SEARCH(G40,Товары!A:A),Товары!A:A),Товары!A:B,2,0),6)=LEFT(W40,6),"OK","НЕ НАЙДЕНО")</f>
        <v>НЕ НАЙДЕНО</v>
      </c>
      <c r="AC40" s="20"/>
      <c r="AD40" s="56">
        <f>SUMIF(Группа!A:A,C40,Группа!C:C)</f>
        <v>1</v>
      </c>
      <c r="AE40" s="56">
        <f>SUMIF(Группа!B:B,R40,Группа!C:C)</f>
        <v>1</v>
      </c>
      <c r="AF40" s="56">
        <f>SUMIF(Формы!A:A,D40,Формы!B:B)</f>
        <v>1</v>
      </c>
      <c r="AG40" s="56">
        <f>SUMIF(Материал!A:A,E40,Материал!B:B)</f>
        <v>1</v>
      </c>
      <c r="AH40" s="56">
        <f>SUMIF(Размеры!A:A,L40,Размеры!E:E)</f>
        <v>1</v>
      </c>
      <c r="AI40" s="56">
        <f>SUMIF(Сезон!A:A,J40,Сезон!B:B)</f>
        <v>1</v>
      </c>
      <c r="AJ40" s="56">
        <f>SUMIF(Состав!A:A,K40,Состав!B:B)</f>
        <v>0</v>
      </c>
      <c r="AK40" s="56">
        <f>SUMIF(ЦветПолный!A:A,I40,ЦветПолный!C:C)</f>
        <v>14</v>
      </c>
      <c r="AL40" s="56">
        <f>SUMIF(Цвет!A:A,V40,Цвет!B:B)</f>
        <v>1</v>
      </c>
      <c r="AM40" s="56">
        <f>SUMIF(Пол!B:B,F40,Пол!C:C)</f>
        <v>1</v>
      </c>
      <c r="AN40" s="56">
        <f>SUMIF(Марка!A:A,A40,Марка!B:B)</f>
        <v>1</v>
      </c>
      <c r="AO40" s="56">
        <f>SUMIF(Страна!A:A,M40,Страна!B:B)</f>
        <v>1</v>
      </c>
      <c r="AP40" s="68" t="str">
        <f>IF(VLOOKUP(U40,Товары!A:B,2,FALSE)=W40,"Есть в 1С","ERR")</f>
        <v>ERR</v>
      </c>
      <c r="AQ40" s="68" t="e">
        <f>IF(VLOOKUP(W40,Товары!B:B,1,FALSE)=W40,"Есть в 1С","ERR")</f>
        <v>#N/A</v>
      </c>
      <c r="AS40" s="58" t="str">
        <f>VLOOKUP(U40,Товары!A:B,2,FALSE)</f>
        <v>02-643-14</v>
      </c>
      <c r="AT40" s="60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48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0" t="s">
        <v>28</v>
      </c>
      <c r="W41" s="51" t="str">
        <f t="shared" si="3"/>
        <v>02-398-60</v>
      </c>
      <c r="X41" s="70"/>
      <c r="Y41" s="73" t="s">
        <v>36726</v>
      </c>
      <c r="Z41" s="64" t="str">
        <f>VLOOKUP(I41,ЦветПолный!A:B,2,FALSE)</f>
        <v>60</v>
      </c>
      <c r="AA41" s="64" t="str">
        <f>IFERROR(VLOOKUP(L41,Размеры!A:D,4,FALSE),"")</f>
        <v>00</v>
      </c>
      <c r="AB41" s="75" t="str">
        <f>IF(LEFT(VLOOKUP(LOOKUP(2,1/SEARCH(G41,Товары!A:A),Товары!A:A),Товары!A:B,2,0),6)=LEFT(W41,6),"OK","НЕ НАЙДЕНО")</f>
        <v>OK</v>
      </c>
      <c r="AC41" s="20"/>
      <c r="AD41" s="56">
        <f>SUMIF(Группа!A:A,C41,Группа!C:C)</f>
        <v>1</v>
      </c>
      <c r="AE41" s="56">
        <f>SUMIF(Группа!B:B,R41,Группа!C:C)</f>
        <v>1</v>
      </c>
      <c r="AF41" s="56">
        <f>SUMIF(Формы!A:A,D41,Формы!B:B)</f>
        <v>1</v>
      </c>
      <c r="AG41" s="56">
        <f>SUMIF(Материал!A:A,E41,Материал!B:B)</f>
        <v>1</v>
      </c>
      <c r="AH41" s="56">
        <f>SUMIF(Размеры!A:A,L41,Размеры!E:E)</f>
        <v>1</v>
      </c>
      <c r="AI41" s="56">
        <f>SUMIF(Сезон!A:A,J41,Сезон!B:B)</f>
        <v>1</v>
      </c>
      <c r="AJ41" s="56">
        <f>SUMIF(Состав!A:A,K41,Состав!B:B)</f>
        <v>0</v>
      </c>
      <c r="AK41" s="56">
        <f>SUMIF(ЦветПолный!A:A,I41,ЦветПолный!C:C)</f>
        <v>3</v>
      </c>
      <c r="AL41" s="56">
        <f>SUMIF(Цвет!A:A,V41,Цвет!B:B)</f>
        <v>1</v>
      </c>
      <c r="AM41" s="56">
        <f>SUMIF(Пол!B:B,F41,Пол!C:C)</f>
        <v>1</v>
      </c>
      <c r="AN41" s="56">
        <f>SUMIF(Марка!A:A,A41,Марка!B:B)</f>
        <v>1</v>
      </c>
      <c r="AO41" s="56">
        <f>SUMIF(Страна!A:A,M41,Страна!B:B)</f>
        <v>1</v>
      </c>
      <c r="AP41" s="68" t="str">
        <f>IF(VLOOKUP(U41,Товары!A:B,2,FALSE)=W41,"Есть в 1С","ERR")</f>
        <v>Есть в 1С</v>
      </c>
      <c r="AQ41" s="68" t="str">
        <f>IF(VLOOKUP(W41,Товары!B:B,1,FALSE)=W41,"Есть в 1С","ERR")</f>
        <v>Есть в 1С</v>
      </c>
      <c r="AS41" s="58" t="str">
        <f>VLOOKUP(U41,Товары!A:B,2,FALSE)</f>
        <v>02-398-60</v>
      </c>
      <c r="AT41" s="60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48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1" t="str">
        <f t="shared" si="3"/>
        <v>new</v>
      </c>
      <c r="X42" s="70"/>
      <c r="Y42" s="73" t="s">
        <v>13</v>
      </c>
      <c r="Z42" s="64" t="str">
        <f>VLOOKUP(I42,ЦветПолный!A:B,2,FALSE)</f>
        <v>08</v>
      </c>
      <c r="AA42" s="64" t="str">
        <f>IFERROR(VLOOKUP(L42,Размеры!A:D,4,FALSE),"")</f>
        <v>00</v>
      </c>
      <c r="AB42" s="75" t="str">
        <f>IF(LEFT(VLOOKUP(LOOKUP(2,1/SEARCH(G42,Товары!A:A),Товары!A:A),Товары!A:B,2,0),6)=LEFT(W42,6),"OK","НЕ НАЙДЕНО")</f>
        <v>НЕ НАЙДЕНО</v>
      </c>
      <c r="AC42" s="20"/>
      <c r="AD42" s="56">
        <f>SUMIF(Группа!A:A,C42,Группа!C:C)</f>
        <v>1</v>
      </c>
      <c r="AE42" s="56">
        <f>SUMIF(Группа!B:B,R42,Группа!C:C)</f>
        <v>1</v>
      </c>
      <c r="AF42" s="56">
        <f>SUMIF(Формы!A:A,D42,Формы!B:B)</f>
        <v>1</v>
      </c>
      <c r="AG42" s="56">
        <f>SUMIF(Материал!A:A,E42,Материал!B:B)</f>
        <v>1</v>
      </c>
      <c r="AH42" s="56">
        <f>SUMIF(Размеры!A:A,L42,Размеры!E:E)</f>
        <v>1</v>
      </c>
      <c r="AI42" s="56">
        <f>SUMIF(Сезон!A:A,J42,Сезон!B:B)</f>
        <v>1</v>
      </c>
      <c r="AJ42" s="56">
        <f>SUMIF(Состав!A:A,K42,Состав!B:B)</f>
        <v>0</v>
      </c>
      <c r="AK42" s="56">
        <f>SUMIF(ЦветПолный!A:A,I42,ЦветПолный!C:C)</f>
        <v>11</v>
      </c>
      <c r="AL42" s="56">
        <f>SUMIF(Цвет!A:A,V42,Цвет!B:B)</f>
        <v>1</v>
      </c>
      <c r="AM42" s="56">
        <f>SUMIF(Пол!B:B,F42,Пол!C:C)</f>
        <v>1</v>
      </c>
      <c r="AN42" s="56">
        <f>SUMIF(Марка!A:A,A42,Марка!B:B)</f>
        <v>1</v>
      </c>
      <c r="AO42" s="56">
        <f>SUMIF(Страна!A:A,M42,Страна!B:B)</f>
        <v>1</v>
      </c>
      <c r="AP42" s="68" t="str">
        <f>IF(VLOOKUP(U42,Товары!A:B,2,FALSE)=W42,"Есть в 1С","ERR")</f>
        <v>ERR</v>
      </c>
      <c r="AQ42" s="68" t="e">
        <f>IF(VLOOKUP(W42,Товары!B:B,1,FALSE)=W42,"Есть в 1С","ERR")</f>
        <v>#N/A</v>
      </c>
      <c r="AS42" s="58" t="str">
        <f>VLOOKUP(U42,Товары!A:B,2,FALSE)</f>
        <v>02-644-08</v>
      </c>
      <c r="AT42" s="60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48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1" t="str">
        <f t="shared" si="3"/>
        <v>new</v>
      </c>
      <c r="X43" s="70"/>
      <c r="Y43" s="73" t="s">
        <v>13</v>
      </c>
      <c r="Z43" s="64" t="str">
        <f>VLOOKUP(I43,ЦветПолный!A:B,2,FALSE)</f>
        <v>03</v>
      </c>
      <c r="AA43" s="64" t="str">
        <f>IFERROR(VLOOKUP(L43,Размеры!A:D,4,FALSE),"")</f>
        <v>00</v>
      </c>
      <c r="AB43" s="75" t="str">
        <f>IF(LEFT(VLOOKUP(LOOKUP(2,1/SEARCH(G43,Товары!A:A),Товары!A:A),Товары!A:B,2,0),6)=LEFT(W43,6),"OK","НЕ НАЙДЕНО")</f>
        <v>НЕ НАЙДЕНО</v>
      </c>
      <c r="AC43" s="20"/>
      <c r="AD43" s="56">
        <f>SUMIF(Группа!A:A,C43,Группа!C:C)</f>
        <v>1</v>
      </c>
      <c r="AE43" s="56">
        <f>SUMIF(Группа!B:B,R43,Группа!C:C)</f>
        <v>1</v>
      </c>
      <c r="AF43" s="56">
        <f>SUMIF(Формы!A:A,D43,Формы!B:B)</f>
        <v>1</v>
      </c>
      <c r="AG43" s="56">
        <f>SUMIF(Материал!A:A,E43,Материал!B:B)</f>
        <v>1</v>
      </c>
      <c r="AH43" s="56">
        <f>SUMIF(Размеры!A:A,L43,Размеры!E:E)</f>
        <v>1</v>
      </c>
      <c r="AI43" s="56">
        <f>SUMIF(Сезон!A:A,J43,Сезон!B:B)</f>
        <v>1</v>
      </c>
      <c r="AJ43" s="56">
        <f>SUMIF(Состав!A:A,K43,Состав!B:B)</f>
        <v>0</v>
      </c>
      <c r="AK43" s="56">
        <f>SUMIF(ЦветПолный!A:A,I43,ЦветПолный!C:C)</f>
        <v>7</v>
      </c>
      <c r="AL43" s="56">
        <f>SUMIF(Цвет!A:A,V43,Цвет!B:B)</f>
        <v>1</v>
      </c>
      <c r="AM43" s="56">
        <f>SUMIF(Пол!B:B,F43,Пол!C:C)</f>
        <v>1</v>
      </c>
      <c r="AN43" s="56">
        <f>SUMIF(Марка!A:A,A43,Марка!B:B)</f>
        <v>1</v>
      </c>
      <c r="AO43" s="56">
        <f>SUMIF(Страна!A:A,M43,Страна!B:B)</f>
        <v>1</v>
      </c>
      <c r="AP43" s="68" t="str">
        <f>IF(VLOOKUP(U43,Товары!A:B,2,FALSE)=W43,"Есть в 1С","ERR")</f>
        <v>ERR</v>
      </c>
      <c r="AQ43" s="68" t="e">
        <f>IF(VLOOKUP(W43,Товары!B:B,1,FALSE)=W43,"Есть в 1С","ERR")</f>
        <v>#N/A</v>
      </c>
      <c r="AS43" s="58" t="str">
        <f>VLOOKUP(U43,Товары!A:B,2,FALSE)</f>
        <v>02-644-03</v>
      </c>
      <c r="AT43" s="60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48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1" t="str">
        <f t="shared" si="3"/>
        <v>02-069-16</v>
      </c>
      <c r="X44" s="70"/>
      <c r="Y44" s="73" t="s">
        <v>36727</v>
      </c>
      <c r="Z44" s="64" t="str">
        <f>VLOOKUP(I44,ЦветПолный!A:B,2,FALSE)</f>
        <v>21</v>
      </c>
      <c r="AA44" s="64" t="str">
        <f>IFERROR(VLOOKUP(L44,Размеры!A:D,4,FALSE),"")</f>
        <v>57</v>
      </c>
      <c r="AB44" s="75" t="str">
        <f>IF(LEFT(VLOOKUP(LOOKUP(2,1/SEARCH(G44,Товары!A:A),Товары!A:A),Товары!A:B,2,0),6)=LEFT(W44,6),"OK","НЕ НАЙДЕНО")</f>
        <v>OK</v>
      </c>
      <c r="AC44" s="20"/>
      <c r="AD44" s="56">
        <f>SUMIF(Группа!A:A,C44,Группа!C:C)</f>
        <v>1</v>
      </c>
      <c r="AE44" s="56">
        <f>SUMIF(Группа!B:B,R44,Группа!C:C)</f>
        <v>1</v>
      </c>
      <c r="AF44" s="56">
        <f>SUMIF(Формы!A:A,D44,Формы!B:B)</f>
        <v>1</v>
      </c>
      <c r="AG44" s="56">
        <f>SUMIF(Материал!A:A,E44,Материал!B:B)</f>
        <v>1</v>
      </c>
      <c r="AH44" s="56">
        <f>SUMIF(Размеры!A:A,L44,Размеры!E:E)</f>
        <v>1</v>
      </c>
      <c r="AI44" s="56">
        <f>SUMIF(Сезон!A:A,J44,Сезон!B:B)</f>
        <v>1</v>
      </c>
      <c r="AJ44" s="56">
        <f>SUMIF(Состав!A:A,K44,Состав!B:B)</f>
        <v>0</v>
      </c>
      <c r="AK44" s="56">
        <f>SUMIF(ЦветПолный!A:A,I44,ЦветПолный!C:C)</f>
        <v>5</v>
      </c>
      <c r="AL44" s="56">
        <f>SUMIF(Цвет!A:A,V44,Цвет!B:B)</f>
        <v>1</v>
      </c>
      <c r="AM44" s="56">
        <f>SUMIF(Пол!B:B,F44,Пол!C:C)</f>
        <v>1</v>
      </c>
      <c r="AN44" s="56">
        <f>SUMIF(Марка!A:A,A44,Марка!B:B)</f>
        <v>1</v>
      </c>
      <c r="AO44" s="56">
        <f>SUMIF(Страна!A:A,M44,Страна!B:B)</f>
        <v>1</v>
      </c>
      <c r="AP44" s="68" t="str">
        <f>IF(VLOOKUP(U44,Товары!A:B,2,FALSE)=W44,"Есть в 1С","ERR")</f>
        <v>Есть в 1С</v>
      </c>
      <c r="AQ44" s="68" t="str">
        <f>IF(VLOOKUP(W44,Товары!B:B,1,FALSE)=W44,"Есть в 1С","ERR")</f>
        <v>Есть в 1С</v>
      </c>
      <c r="AS44" s="58" t="str">
        <f>VLOOKUP(U44,Товары!A:B,2,FALSE)</f>
        <v>02-069-16</v>
      </c>
      <c r="AT44" s="60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48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1" t="str">
        <f t="shared" si="3"/>
        <v>02-069-16</v>
      </c>
      <c r="X45" s="70"/>
      <c r="Y45" s="73" t="s">
        <v>36728</v>
      </c>
      <c r="Z45" s="64" t="str">
        <f>VLOOKUP(I45,ЦветПолный!A:B,2,FALSE)</f>
        <v>21</v>
      </c>
      <c r="AA45" s="64" t="str">
        <f>IFERROR(VLOOKUP(L45,Размеры!A:D,4,FALSE),"")</f>
        <v>59</v>
      </c>
      <c r="AB45" s="75" t="str">
        <f>IF(LEFT(VLOOKUP(LOOKUP(2,1/SEARCH(G45,Товары!A:A),Товары!A:A),Товары!A:B,2,0),6)=LEFT(W45,6),"OK","НЕ НАЙДЕНО")</f>
        <v>OK</v>
      </c>
      <c r="AC45" s="20"/>
      <c r="AD45" s="56">
        <f>SUMIF(Группа!A:A,C45,Группа!C:C)</f>
        <v>1</v>
      </c>
      <c r="AE45" s="56">
        <f>SUMIF(Группа!B:B,R45,Группа!C:C)</f>
        <v>1</v>
      </c>
      <c r="AF45" s="56">
        <f>SUMIF(Формы!A:A,D45,Формы!B:B)</f>
        <v>1</v>
      </c>
      <c r="AG45" s="56">
        <f>SUMIF(Материал!A:A,E45,Материал!B:B)</f>
        <v>1</v>
      </c>
      <c r="AH45" s="56">
        <f>SUMIF(Размеры!A:A,L45,Размеры!E:E)</f>
        <v>1</v>
      </c>
      <c r="AI45" s="56">
        <f>SUMIF(Сезон!A:A,J45,Сезон!B:B)</f>
        <v>1</v>
      </c>
      <c r="AJ45" s="56">
        <f>SUMIF(Состав!A:A,K45,Состав!B:B)</f>
        <v>0</v>
      </c>
      <c r="AK45" s="56">
        <f>SUMIF(ЦветПолный!A:A,I45,ЦветПолный!C:C)</f>
        <v>5</v>
      </c>
      <c r="AL45" s="56">
        <f>SUMIF(Цвет!A:A,V45,Цвет!B:B)</f>
        <v>1</v>
      </c>
      <c r="AM45" s="56">
        <f>SUMIF(Пол!B:B,F45,Пол!C:C)</f>
        <v>1</v>
      </c>
      <c r="AN45" s="56">
        <f>SUMIF(Марка!A:A,A45,Марка!B:B)</f>
        <v>1</v>
      </c>
      <c r="AO45" s="56">
        <f>SUMIF(Страна!A:A,M45,Страна!B:B)</f>
        <v>1</v>
      </c>
      <c r="AP45" s="68" t="str">
        <f>IF(VLOOKUP(U45,Товары!A:B,2,FALSE)=W45,"Есть в 1С","ERR")</f>
        <v>Есть в 1С</v>
      </c>
      <c r="AQ45" s="68" t="str">
        <f>IF(VLOOKUP(W45,Товары!B:B,1,FALSE)=W45,"Есть в 1С","ERR")</f>
        <v>Есть в 1С</v>
      </c>
      <c r="AS45" s="58" t="str">
        <f>VLOOKUP(U45,Товары!A:B,2,FALSE)</f>
        <v>02-069-16</v>
      </c>
      <c r="AT45" s="60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48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1" t="str">
        <f t="shared" si="3"/>
        <v>02-069-16</v>
      </c>
      <c r="X46" s="70"/>
      <c r="Y46" s="73" t="s">
        <v>36729</v>
      </c>
      <c r="Z46" s="64" t="str">
        <f>VLOOKUP(I46,ЦветПолный!A:B,2,FALSE)</f>
        <v>21</v>
      </c>
      <c r="AA46" s="64" t="str">
        <f>IFERROR(VLOOKUP(L46,Размеры!A:D,4,FALSE),"")</f>
        <v>61</v>
      </c>
      <c r="AB46" s="75" t="str">
        <f>IF(LEFT(VLOOKUP(LOOKUP(2,1/SEARCH(G46,Товары!A:A),Товары!A:A),Товары!A:B,2,0),6)=LEFT(W46,6),"OK","НЕ НАЙДЕНО")</f>
        <v>OK</v>
      </c>
      <c r="AC46" s="20"/>
      <c r="AD46" s="56">
        <f>SUMIF(Группа!A:A,C46,Группа!C:C)</f>
        <v>1</v>
      </c>
      <c r="AE46" s="56">
        <f>SUMIF(Группа!B:B,R46,Группа!C:C)</f>
        <v>1</v>
      </c>
      <c r="AF46" s="56">
        <f>SUMIF(Формы!A:A,D46,Формы!B:B)</f>
        <v>1</v>
      </c>
      <c r="AG46" s="56">
        <f>SUMIF(Материал!A:A,E46,Материал!B:B)</f>
        <v>1</v>
      </c>
      <c r="AH46" s="56">
        <f>SUMIF(Размеры!A:A,L46,Размеры!E:E)</f>
        <v>1</v>
      </c>
      <c r="AI46" s="56">
        <f>SUMIF(Сезон!A:A,J46,Сезон!B:B)</f>
        <v>1</v>
      </c>
      <c r="AJ46" s="56">
        <f>SUMIF(Состав!A:A,K46,Состав!B:B)</f>
        <v>0</v>
      </c>
      <c r="AK46" s="56">
        <f>SUMIF(ЦветПолный!A:A,I46,ЦветПолный!C:C)</f>
        <v>5</v>
      </c>
      <c r="AL46" s="56">
        <f>SUMIF(Цвет!A:A,V46,Цвет!B:B)</f>
        <v>1</v>
      </c>
      <c r="AM46" s="56">
        <f>SUMIF(Пол!B:B,F46,Пол!C:C)</f>
        <v>1</v>
      </c>
      <c r="AN46" s="56">
        <f>SUMIF(Марка!A:A,A46,Марка!B:B)</f>
        <v>1</v>
      </c>
      <c r="AO46" s="56">
        <f>SUMIF(Страна!A:A,M46,Страна!B:B)</f>
        <v>1</v>
      </c>
      <c r="AP46" s="68" t="str">
        <f>IF(VLOOKUP(U46,Товары!A:B,2,FALSE)=W46,"Есть в 1С","ERR")</f>
        <v>Есть в 1С</v>
      </c>
      <c r="AQ46" s="68" t="str">
        <f>IF(VLOOKUP(W46,Товары!B:B,1,FALSE)=W46,"Есть в 1С","ERR")</f>
        <v>Есть в 1С</v>
      </c>
      <c r="AS46" s="58" t="str">
        <f>VLOOKUP(U46,Товары!A:B,2,FALSE)</f>
        <v>02-069-16</v>
      </c>
      <c r="AT46" s="60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48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0" t="s">
        <v>28</v>
      </c>
      <c r="W47" s="51" t="str">
        <f t="shared" si="3"/>
        <v>02-069-05</v>
      </c>
      <c r="X47" s="70"/>
      <c r="Y47" s="73" t="s">
        <v>36730</v>
      </c>
      <c r="Z47" s="64" t="str">
        <f>VLOOKUP(I47,ЦветПолный!A:B,2,FALSE)</f>
        <v>05</v>
      </c>
      <c r="AA47" s="64" t="str">
        <f>IFERROR(VLOOKUP(L47,Размеры!A:D,4,FALSE),"")</f>
        <v>56</v>
      </c>
      <c r="AB47" s="75" t="str">
        <f>IF(LEFT(VLOOKUP(LOOKUP(2,1/SEARCH(G47,Товары!A:A),Товары!A:A),Товары!A:B,2,0),6)=LEFT(W47,6),"OK","НЕ НАЙДЕНО")</f>
        <v>OK</v>
      </c>
      <c r="AC47" s="20"/>
      <c r="AD47" s="56">
        <f>SUMIF(Группа!A:A,C47,Группа!C:C)</f>
        <v>1</v>
      </c>
      <c r="AE47" s="56">
        <f>SUMIF(Группа!B:B,R47,Группа!C:C)</f>
        <v>1</v>
      </c>
      <c r="AF47" s="56">
        <f>SUMIF(Формы!A:A,D47,Формы!B:B)</f>
        <v>1</v>
      </c>
      <c r="AG47" s="56">
        <f>SUMIF(Материал!A:A,E47,Материал!B:B)</f>
        <v>1</v>
      </c>
      <c r="AH47" s="56">
        <f>SUMIF(Размеры!A:A,L47,Размеры!E:E)</f>
        <v>1</v>
      </c>
      <c r="AI47" s="56">
        <f>SUMIF(Сезон!A:A,J47,Сезон!B:B)</f>
        <v>1</v>
      </c>
      <c r="AJ47" s="56">
        <f>SUMIF(Состав!A:A,K47,Состав!B:B)</f>
        <v>0</v>
      </c>
      <c r="AK47" s="56">
        <f>SUMIF(ЦветПолный!A:A,I47,ЦветПолный!C:C)</f>
        <v>6</v>
      </c>
      <c r="AL47" s="56">
        <f>SUMIF(Цвет!A:A,V47,Цвет!B:B)</f>
        <v>1</v>
      </c>
      <c r="AM47" s="56">
        <f>SUMIF(Пол!B:B,F47,Пол!C:C)</f>
        <v>1</v>
      </c>
      <c r="AN47" s="56">
        <f>SUMIF(Марка!A:A,A47,Марка!B:B)</f>
        <v>1</v>
      </c>
      <c r="AO47" s="56">
        <f>SUMIF(Страна!A:A,M47,Страна!B:B)</f>
        <v>1</v>
      </c>
      <c r="AP47" s="68" t="str">
        <f>IF(VLOOKUP(U47,Товары!A:B,2,FALSE)=W47,"Есть в 1С","ERR")</f>
        <v>Есть в 1С</v>
      </c>
      <c r="AQ47" s="68" t="str">
        <f>IF(VLOOKUP(W47,Товары!B:B,1,FALSE)=W47,"Есть в 1С","ERR")</f>
        <v>Есть в 1С</v>
      </c>
      <c r="AS47" s="58" t="str">
        <f>VLOOKUP(U47,Товары!A:B,2,FALSE)</f>
        <v>02-069-05</v>
      </c>
      <c r="AT47" s="60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48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0" t="s">
        <v>28</v>
      </c>
      <c r="W48" s="51" t="str">
        <f t="shared" si="3"/>
        <v>02-069-05</v>
      </c>
      <c r="X48" s="70"/>
      <c r="Y48" s="73" t="s">
        <v>36731</v>
      </c>
      <c r="Z48" s="64" t="str">
        <f>VLOOKUP(I48,ЦветПолный!A:B,2,FALSE)</f>
        <v>05</v>
      </c>
      <c r="AA48" s="64" t="str">
        <f>IFERROR(VLOOKUP(L48,Размеры!A:D,4,FALSE),"")</f>
        <v>57</v>
      </c>
      <c r="AB48" s="75" t="str">
        <f>IF(LEFT(VLOOKUP(LOOKUP(2,1/SEARCH(G48,Товары!A:A),Товары!A:A),Товары!A:B,2,0),6)=LEFT(W48,6),"OK","НЕ НАЙДЕНО")</f>
        <v>OK</v>
      </c>
      <c r="AC48" s="20"/>
      <c r="AD48" s="56">
        <f>SUMIF(Группа!A:A,C48,Группа!C:C)</f>
        <v>1</v>
      </c>
      <c r="AE48" s="56">
        <f>SUMIF(Группа!B:B,R48,Группа!C:C)</f>
        <v>1</v>
      </c>
      <c r="AF48" s="56">
        <f>SUMIF(Формы!A:A,D48,Формы!B:B)</f>
        <v>1</v>
      </c>
      <c r="AG48" s="56">
        <f>SUMIF(Материал!A:A,E48,Материал!B:B)</f>
        <v>1</v>
      </c>
      <c r="AH48" s="56">
        <f>SUMIF(Размеры!A:A,L48,Размеры!E:E)</f>
        <v>1</v>
      </c>
      <c r="AI48" s="56">
        <f>SUMIF(Сезон!A:A,J48,Сезон!B:B)</f>
        <v>1</v>
      </c>
      <c r="AJ48" s="56">
        <f>SUMIF(Состав!A:A,K48,Состав!B:B)</f>
        <v>0</v>
      </c>
      <c r="AK48" s="56">
        <f>SUMIF(ЦветПолный!A:A,I48,ЦветПолный!C:C)</f>
        <v>6</v>
      </c>
      <c r="AL48" s="56">
        <f>SUMIF(Цвет!A:A,V48,Цвет!B:B)</f>
        <v>1</v>
      </c>
      <c r="AM48" s="56">
        <f>SUMIF(Пол!B:B,F48,Пол!C:C)</f>
        <v>1</v>
      </c>
      <c r="AN48" s="56">
        <f>SUMIF(Марка!A:A,A48,Марка!B:B)</f>
        <v>1</v>
      </c>
      <c r="AO48" s="56">
        <f>SUMIF(Страна!A:A,M48,Страна!B:B)</f>
        <v>1</v>
      </c>
      <c r="AP48" s="68" t="str">
        <f>IF(VLOOKUP(U48,Товары!A:B,2,FALSE)=W48,"Есть в 1С","ERR")</f>
        <v>Есть в 1С</v>
      </c>
      <c r="AQ48" s="68" t="str">
        <f>IF(VLOOKUP(W48,Товары!B:B,1,FALSE)=W48,"Есть в 1С","ERR")</f>
        <v>Есть в 1С</v>
      </c>
      <c r="AS48" s="58" t="str">
        <f>VLOOKUP(U48,Товары!A:B,2,FALSE)</f>
        <v>02-069-05</v>
      </c>
      <c r="AT48" s="60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48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0" t="s">
        <v>28</v>
      </c>
      <c r="W49" s="51" t="str">
        <f t="shared" si="3"/>
        <v>02-069-05</v>
      </c>
      <c r="X49" s="70"/>
      <c r="Y49" s="73" t="s">
        <v>36732</v>
      </c>
      <c r="Z49" s="64" t="str">
        <f>VLOOKUP(I49,ЦветПолный!A:B,2,FALSE)</f>
        <v>05</v>
      </c>
      <c r="AA49" s="64" t="str">
        <f>IFERROR(VLOOKUP(L49,Размеры!A:D,4,FALSE),"")</f>
        <v>58</v>
      </c>
      <c r="AB49" s="75" t="str">
        <f>IF(LEFT(VLOOKUP(LOOKUP(2,1/SEARCH(G49,Товары!A:A),Товары!A:A),Товары!A:B,2,0),6)=LEFT(W49,6),"OK","НЕ НАЙДЕНО")</f>
        <v>OK</v>
      </c>
      <c r="AC49" s="20"/>
      <c r="AD49" s="56">
        <f>SUMIF(Группа!A:A,C49,Группа!C:C)</f>
        <v>1</v>
      </c>
      <c r="AE49" s="56">
        <f>SUMIF(Группа!B:B,R49,Группа!C:C)</f>
        <v>1</v>
      </c>
      <c r="AF49" s="56">
        <f>SUMIF(Формы!A:A,D49,Формы!B:B)</f>
        <v>1</v>
      </c>
      <c r="AG49" s="56">
        <f>SUMIF(Материал!A:A,E49,Материал!B:B)</f>
        <v>1</v>
      </c>
      <c r="AH49" s="56">
        <f>SUMIF(Размеры!A:A,L49,Размеры!E:E)</f>
        <v>1</v>
      </c>
      <c r="AI49" s="56">
        <f>SUMIF(Сезон!A:A,J49,Сезон!B:B)</f>
        <v>1</v>
      </c>
      <c r="AJ49" s="56">
        <f>SUMIF(Состав!A:A,K49,Состав!B:B)</f>
        <v>0</v>
      </c>
      <c r="AK49" s="56">
        <f>SUMIF(ЦветПолный!A:A,I49,ЦветПолный!C:C)</f>
        <v>6</v>
      </c>
      <c r="AL49" s="56">
        <f>SUMIF(Цвет!A:A,V49,Цвет!B:B)</f>
        <v>1</v>
      </c>
      <c r="AM49" s="56">
        <f>SUMIF(Пол!B:B,F49,Пол!C:C)</f>
        <v>1</v>
      </c>
      <c r="AN49" s="56">
        <f>SUMIF(Марка!A:A,A49,Марка!B:B)</f>
        <v>1</v>
      </c>
      <c r="AO49" s="56">
        <f>SUMIF(Страна!A:A,M49,Страна!B:B)</f>
        <v>1</v>
      </c>
      <c r="AP49" s="68" t="str">
        <f>IF(VLOOKUP(U49,Товары!A:B,2,FALSE)=W49,"Есть в 1С","ERR")</f>
        <v>Есть в 1С</v>
      </c>
      <c r="AQ49" s="68" t="str">
        <f>IF(VLOOKUP(W49,Товары!B:B,1,FALSE)=W49,"Есть в 1С","ERR")</f>
        <v>Есть в 1С</v>
      </c>
      <c r="AS49" s="58" t="str">
        <f>VLOOKUP(U49,Товары!A:B,2,FALSE)</f>
        <v>02-069-05</v>
      </c>
      <c r="AT49" s="60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48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0" t="s">
        <v>28</v>
      </c>
      <c r="W50" s="51" t="str">
        <f t="shared" si="3"/>
        <v>02-069-05</v>
      </c>
      <c r="X50" s="70"/>
      <c r="Y50" s="73" t="s">
        <v>36733</v>
      </c>
      <c r="Z50" s="64" t="str">
        <f>VLOOKUP(I50,ЦветПолный!A:B,2,FALSE)</f>
        <v>05</v>
      </c>
      <c r="AA50" s="64" t="str">
        <f>IFERROR(VLOOKUP(L50,Размеры!A:D,4,FALSE),"")</f>
        <v>59</v>
      </c>
      <c r="AB50" s="75" t="str">
        <f>IF(LEFT(VLOOKUP(LOOKUP(2,1/SEARCH(G50,Товары!A:A),Товары!A:A),Товары!A:B,2,0),6)=LEFT(W50,6),"OK","НЕ НАЙДЕНО")</f>
        <v>OK</v>
      </c>
      <c r="AC50" s="20"/>
      <c r="AD50" s="56">
        <f>SUMIF(Группа!A:A,C50,Группа!C:C)</f>
        <v>1</v>
      </c>
      <c r="AE50" s="56">
        <f>SUMIF(Группа!B:B,R50,Группа!C:C)</f>
        <v>1</v>
      </c>
      <c r="AF50" s="56">
        <f>SUMIF(Формы!A:A,D50,Формы!B:B)</f>
        <v>1</v>
      </c>
      <c r="AG50" s="56">
        <f>SUMIF(Материал!A:A,E50,Материал!B:B)</f>
        <v>1</v>
      </c>
      <c r="AH50" s="56">
        <f>SUMIF(Размеры!A:A,L50,Размеры!E:E)</f>
        <v>1</v>
      </c>
      <c r="AI50" s="56">
        <f>SUMIF(Сезон!A:A,J50,Сезон!B:B)</f>
        <v>1</v>
      </c>
      <c r="AJ50" s="56">
        <f>SUMIF(Состав!A:A,K50,Состав!B:B)</f>
        <v>0</v>
      </c>
      <c r="AK50" s="56">
        <f>SUMIF(ЦветПолный!A:A,I50,ЦветПолный!C:C)</f>
        <v>6</v>
      </c>
      <c r="AL50" s="56">
        <f>SUMIF(Цвет!A:A,V50,Цвет!B:B)</f>
        <v>1</v>
      </c>
      <c r="AM50" s="56">
        <f>SUMIF(Пол!B:B,F50,Пол!C:C)</f>
        <v>1</v>
      </c>
      <c r="AN50" s="56">
        <f>SUMIF(Марка!A:A,A50,Марка!B:B)</f>
        <v>1</v>
      </c>
      <c r="AO50" s="56">
        <f>SUMIF(Страна!A:A,M50,Страна!B:B)</f>
        <v>1</v>
      </c>
      <c r="AP50" s="68" t="str">
        <f>IF(VLOOKUP(U50,Товары!A:B,2,FALSE)=W50,"Есть в 1С","ERR")</f>
        <v>Есть в 1С</v>
      </c>
      <c r="AQ50" s="68" t="str">
        <f>IF(VLOOKUP(W50,Товары!B:B,1,FALSE)=W50,"Есть в 1С","ERR")</f>
        <v>Есть в 1С</v>
      </c>
      <c r="AS50" s="58" t="str">
        <f>VLOOKUP(U50,Товары!A:B,2,FALSE)</f>
        <v>02-069-05</v>
      </c>
      <c r="AT50" s="60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48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0" t="s">
        <v>28</v>
      </c>
      <c r="W51" s="51" t="str">
        <f t="shared" si="3"/>
        <v>02-069-05</v>
      </c>
      <c r="X51" s="70"/>
      <c r="Y51" s="73" t="s">
        <v>36734</v>
      </c>
      <c r="Z51" s="64" t="str">
        <f>VLOOKUP(I51,ЦветПолный!A:B,2,FALSE)</f>
        <v>05</v>
      </c>
      <c r="AA51" s="64" t="str">
        <f>IFERROR(VLOOKUP(L51,Размеры!A:D,4,FALSE),"")</f>
        <v>60</v>
      </c>
      <c r="AB51" s="75" t="str">
        <f>IF(LEFT(VLOOKUP(LOOKUP(2,1/SEARCH(G51,Товары!A:A),Товары!A:A),Товары!A:B,2,0),6)=LEFT(W51,6),"OK","НЕ НАЙДЕНО")</f>
        <v>OK</v>
      </c>
      <c r="AC51" s="20"/>
      <c r="AD51" s="56">
        <f>SUMIF(Группа!A:A,C51,Группа!C:C)</f>
        <v>1</v>
      </c>
      <c r="AE51" s="56">
        <f>SUMIF(Группа!B:B,R51,Группа!C:C)</f>
        <v>1</v>
      </c>
      <c r="AF51" s="56">
        <f>SUMIF(Формы!A:A,D51,Формы!B:B)</f>
        <v>1</v>
      </c>
      <c r="AG51" s="56">
        <f>SUMIF(Материал!A:A,E51,Материал!B:B)</f>
        <v>1</v>
      </c>
      <c r="AH51" s="56">
        <f>SUMIF(Размеры!A:A,L51,Размеры!E:E)</f>
        <v>1</v>
      </c>
      <c r="AI51" s="56">
        <f>SUMIF(Сезон!A:A,J51,Сезон!B:B)</f>
        <v>1</v>
      </c>
      <c r="AJ51" s="56">
        <f>SUMIF(Состав!A:A,K51,Состав!B:B)</f>
        <v>0</v>
      </c>
      <c r="AK51" s="56">
        <f>SUMIF(ЦветПолный!A:A,I51,ЦветПолный!C:C)</f>
        <v>6</v>
      </c>
      <c r="AL51" s="56">
        <f>SUMIF(Цвет!A:A,V51,Цвет!B:B)</f>
        <v>1</v>
      </c>
      <c r="AM51" s="56">
        <f>SUMIF(Пол!B:B,F51,Пол!C:C)</f>
        <v>1</v>
      </c>
      <c r="AN51" s="56">
        <f>SUMIF(Марка!A:A,A51,Марка!B:B)</f>
        <v>1</v>
      </c>
      <c r="AO51" s="56">
        <f>SUMIF(Страна!A:A,M51,Страна!B:B)</f>
        <v>1</v>
      </c>
      <c r="AP51" s="68" t="str">
        <f>IF(VLOOKUP(U51,Товары!A:B,2,FALSE)=W51,"Есть в 1С","ERR")</f>
        <v>Есть в 1С</v>
      </c>
      <c r="AQ51" s="68" t="str">
        <f>IF(VLOOKUP(W51,Товары!B:B,1,FALSE)=W51,"Есть в 1С","ERR")</f>
        <v>Есть в 1С</v>
      </c>
      <c r="AS51" s="58" t="str">
        <f>VLOOKUP(U51,Товары!A:B,2,FALSE)</f>
        <v>02-069-05</v>
      </c>
      <c r="AT51" s="60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48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0" t="s">
        <v>28</v>
      </c>
      <c r="W52" s="51" t="str">
        <f t="shared" si="3"/>
        <v>02-069-05</v>
      </c>
      <c r="X52" s="70"/>
      <c r="Y52" s="73" t="s">
        <v>36735</v>
      </c>
      <c r="Z52" s="64" t="str">
        <f>VLOOKUP(I52,ЦветПолный!A:B,2,FALSE)</f>
        <v>05</v>
      </c>
      <c r="AA52" s="64" t="str">
        <f>IFERROR(VLOOKUP(L52,Размеры!A:D,4,FALSE),"")</f>
        <v>61</v>
      </c>
      <c r="AB52" s="75" t="str">
        <f>IF(LEFT(VLOOKUP(LOOKUP(2,1/SEARCH(G52,Товары!A:A),Товары!A:A),Товары!A:B,2,0),6)=LEFT(W52,6),"OK","НЕ НАЙДЕНО")</f>
        <v>OK</v>
      </c>
      <c r="AC52" s="20"/>
      <c r="AD52" s="56">
        <f>SUMIF(Группа!A:A,C52,Группа!C:C)</f>
        <v>1</v>
      </c>
      <c r="AE52" s="56">
        <f>SUMIF(Группа!B:B,R52,Группа!C:C)</f>
        <v>1</v>
      </c>
      <c r="AF52" s="56">
        <f>SUMIF(Формы!A:A,D52,Формы!B:B)</f>
        <v>1</v>
      </c>
      <c r="AG52" s="56">
        <f>SUMIF(Материал!A:A,E52,Материал!B:B)</f>
        <v>1</v>
      </c>
      <c r="AH52" s="56">
        <f>SUMIF(Размеры!A:A,L52,Размеры!E:E)</f>
        <v>1</v>
      </c>
      <c r="AI52" s="56">
        <f>SUMIF(Сезон!A:A,J52,Сезон!B:B)</f>
        <v>1</v>
      </c>
      <c r="AJ52" s="56">
        <f>SUMIF(Состав!A:A,K52,Состав!B:B)</f>
        <v>0</v>
      </c>
      <c r="AK52" s="56">
        <f>SUMIF(ЦветПолный!A:A,I52,ЦветПолный!C:C)</f>
        <v>6</v>
      </c>
      <c r="AL52" s="56">
        <f>SUMIF(Цвет!A:A,V52,Цвет!B:B)</f>
        <v>1</v>
      </c>
      <c r="AM52" s="56">
        <f>SUMIF(Пол!B:B,F52,Пол!C:C)</f>
        <v>1</v>
      </c>
      <c r="AN52" s="56">
        <f>SUMIF(Марка!A:A,A52,Марка!B:B)</f>
        <v>1</v>
      </c>
      <c r="AO52" s="56">
        <f>SUMIF(Страна!A:A,M52,Страна!B:B)</f>
        <v>1</v>
      </c>
      <c r="AP52" s="68" t="str">
        <f>IF(VLOOKUP(U52,Товары!A:B,2,FALSE)=W52,"Есть в 1С","ERR")</f>
        <v>Есть в 1С</v>
      </c>
      <c r="AQ52" s="68" t="str">
        <f>IF(VLOOKUP(W52,Товары!B:B,1,FALSE)=W52,"Есть в 1С","ERR")</f>
        <v>Есть в 1С</v>
      </c>
      <c r="AS52" s="58" t="str">
        <f>VLOOKUP(U52,Товары!A:B,2,FALSE)</f>
        <v>02-069-05</v>
      </c>
      <c r="AT52" s="60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48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0" t="s">
        <v>28</v>
      </c>
      <c r="W53" s="51" t="str">
        <f t="shared" si="3"/>
        <v>02-069-05</v>
      </c>
      <c r="X53" s="70"/>
      <c r="Y53" s="73" t="s">
        <v>36736</v>
      </c>
      <c r="Z53" s="64" t="str">
        <f>VLOOKUP(I53,ЦветПолный!A:B,2,FALSE)</f>
        <v>05</v>
      </c>
      <c r="AA53" s="64" t="str">
        <f>IFERROR(VLOOKUP(L53,Размеры!A:D,4,FALSE),"")</f>
        <v>62</v>
      </c>
      <c r="AB53" s="75" t="str">
        <f>IF(LEFT(VLOOKUP(LOOKUP(2,1/SEARCH(G53,Товары!A:A),Товары!A:A),Товары!A:B,2,0),6)=LEFT(W53,6),"OK","НЕ НАЙДЕНО")</f>
        <v>OK</v>
      </c>
      <c r="AC53" s="20"/>
      <c r="AD53" s="56">
        <f>SUMIF(Группа!A:A,C53,Группа!C:C)</f>
        <v>1</v>
      </c>
      <c r="AE53" s="56">
        <f>SUMIF(Группа!B:B,R53,Группа!C:C)</f>
        <v>1</v>
      </c>
      <c r="AF53" s="56">
        <f>SUMIF(Формы!A:A,D53,Формы!B:B)</f>
        <v>1</v>
      </c>
      <c r="AG53" s="56">
        <f>SUMIF(Материал!A:A,E53,Материал!B:B)</f>
        <v>1</v>
      </c>
      <c r="AH53" s="56">
        <f>SUMIF(Размеры!A:A,L53,Размеры!E:E)</f>
        <v>1</v>
      </c>
      <c r="AI53" s="56">
        <f>SUMIF(Сезон!A:A,J53,Сезон!B:B)</f>
        <v>1</v>
      </c>
      <c r="AJ53" s="56">
        <f>SUMIF(Состав!A:A,K53,Состав!B:B)</f>
        <v>0</v>
      </c>
      <c r="AK53" s="56">
        <f>SUMIF(ЦветПолный!A:A,I53,ЦветПолный!C:C)</f>
        <v>6</v>
      </c>
      <c r="AL53" s="56">
        <f>SUMIF(Цвет!A:A,V53,Цвет!B:B)</f>
        <v>1</v>
      </c>
      <c r="AM53" s="56">
        <f>SUMIF(Пол!B:B,F53,Пол!C:C)</f>
        <v>1</v>
      </c>
      <c r="AN53" s="56">
        <f>SUMIF(Марка!A:A,A53,Марка!B:B)</f>
        <v>1</v>
      </c>
      <c r="AO53" s="56">
        <f>SUMIF(Страна!A:A,M53,Страна!B:B)</f>
        <v>1</v>
      </c>
      <c r="AP53" s="68" t="str">
        <f>IF(VLOOKUP(U53,Товары!A:B,2,FALSE)=W53,"Есть в 1С","ERR")</f>
        <v>Есть в 1С</v>
      </c>
      <c r="AQ53" s="68" t="str">
        <f>IF(VLOOKUP(W53,Товары!B:B,1,FALSE)=W53,"Есть в 1С","ERR")</f>
        <v>Есть в 1С</v>
      </c>
      <c r="AS53" s="58" t="str">
        <f>VLOOKUP(U53,Товары!A:B,2,FALSE)</f>
        <v>02-069-05</v>
      </c>
      <c r="AT53" s="60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48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0" t="s">
        <v>28</v>
      </c>
      <c r="W54" s="51" t="str">
        <f t="shared" si="3"/>
        <v>02-069-05</v>
      </c>
      <c r="X54" s="70"/>
      <c r="Y54" s="73" t="s">
        <v>36737</v>
      </c>
      <c r="Z54" s="64" t="str">
        <f>VLOOKUP(I54,ЦветПолный!A:B,2,FALSE)</f>
        <v>05</v>
      </c>
      <c r="AA54" s="64" t="str">
        <f>IFERROR(VLOOKUP(L54,Размеры!A:D,4,FALSE),"")</f>
        <v>63</v>
      </c>
      <c r="AB54" s="75" t="str">
        <f>IF(LEFT(VLOOKUP(LOOKUP(2,1/SEARCH(G54,Товары!A:A),Товары!A:A),Товары!A:B,2,0),6)=LEFT(W54,6),"OK","НЕ НАЙДЕНО")</f>
        <v>OK</v>
      </c>
      <c r="AC54" s="20"/>
      <c r="AD54" s="56">
        <f>SUMIF(Группа!A:A,C54,Группа!C:C)</f>
        <v>1</v>
      </c>
      <c r="AE54" s="56">
        <f>SUMIF(Группа!B:B,R54,Группа!C:C)</f>
        <v>1</v>
      </c>
      <c r="AF54" s="56">
        <f>SUMIF(Формы!A:A,D54,Формы!B:B)</f>
        <v>1</v>
      </c>
      <c r="AG54" s="56">
        <f>SUMIF(Материал!A:A,E54,Материал!B:B)</f>
        <v>1</v>
      </c>
      <c r="AH54" s="56">
        <f>SUMIF(Размеры!A:A,L54,Размеры!E:E)</f>
        <v>1</v>
      </c>
      <c r="AI54" s="56">
        <f>SUMIF(Сезон!A:A,J54,Сезон!B:B)</f>
        <v>1</v>
      </c>
      <c r="AJ54" s="56">
        <f>SUMIF(Состав!A:A,K54,Состав!B:B)</f>
        <v>0</v>
      </c>
      <c r="AK54" s="56">
        <f>SUMIF(ЦветПолный!A:A,I54,ЦветПолный!C:C)</f>
        <v>6</v>
      </c>
      <c r="AL54" s="56">
        <f>SUMIF(Цвет!A:A,V54,Цвет!B:B)</f>
        <v>1</v>
      </c>
      <c r="AM54" s="56">
        <f>SUMIF(Пол!B:B,F54,Пол!C:C)</f>
        <v>1</v>
      </c>
      <c r="AN54" s="56">
        <f>SUMIF(Марка!A:A,A54,Марка!B:B)</f>
        <v>1</v>
      </c>
      <c r="AO54" s="56">
        <f>SUMIF(Страна!A:A,M54,Страна!B:B)</f>
        <v>1</v>
      </c>
      <c r="AP54" s="68" t="str">
        <f>IF(VLOOKUP(U54,Товары!A:B,2,FALSE)=W54,"Есть в 1С","ERR")</f>
        <v>Есть в 1С</v>
      </c>
      <c r="AQ54" s="68" t="str">
        <f>IF(VLOOKUP(W54,Товары!B:B,1,FALSE)=W54,"Есть в 1С","ERR")</f>
        <v>Есть в 1С</v>
      </c>
      <c r="AS54" s="58" t="str">
        <f>VLOOKUP(U54,Товары!A:B,2,FALSE)</f>
        <v>02-069-05</v>
      </c>
      <c r="AT54" s="60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48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1" t="str">
        <f t="shared" si="3"/>
        <v>new</v>
      </c>
      <c r="X55" s="70"/>
      <c r="Y55" s="73" t="s">
        <v>13</v>
      </c>
      <c r="Z55" s="64" t="str">
        <f>VLOOKUP(I55,ЦветПолный!A:B,2,FALSE)</f>
        <v>08</v>
      </c>
      <c r="AA55" s="64" t="str">
        <f>IFERROR(VLOOKUP(L55,Размеры!A:D,4,FALSE),"")</f>
        <v>57</v>
      </c>
      <c r="AB55" s="75" t="str">
        <f>IF(LEFT(VLOOKUP(LOOKUP(2,1/SEARCH(G55,Товары!A:A),Товары!A:A),Товары!A:B,2,0),6)=LEFT(W55,6),"OK","НЕ НАЙДЕНО")</f>
        <v>НЕ НАЙДЕНО</v>
      </c>
      <c r="AC55" s="20"/>
      <c r="AD55" s="56">
        <f>SUMIF(Группа!A:A,C55,Группа!C:C)</f>
        <v>1</v>
      </c>
      <c r="AE55" s="56">
        <f>SUMIF(Группа!B:B,R55,Группа!C:C)</f>
        <v>1</v>
      </c>
      <c r="AF55" s="56">
        <f>SUMIF(Формы!A:A,D55,Формы!B:B)</f>
        <v>1</v>
      </c>
      <c r="AG55" s="56">
        <f>SUMIF(Материал!A:A,E55,Материал!B:B)</f>
        <v>1</v>
      </c>
      <c r="AH55" s="56">
        <f>SUMIF(Размеры!A:A,L55,Размеры!E:E)</f>
        <v>1</v>
      </c>
      <c r="AI55" s="56">
        <f>SUMIF(Сезон!A:A,J55,Сезон!B:B)</f>
        <v>1</v>
      </c>
      <c r="AJ55" s="56">
        <f>SUMIF(Состав!A:A,K55,Состав!B:B)</f>
        <v>0</v>
      </c>
      <c r="AK55" s="56">
        <f>SUMIF(ЦветПолный!A:A,I55,ЦветПолный!C:C)</f>
        <v>7</v>
      </c>
      <c r="AL55" s="56">
        <f>SUMIF(Цвет!A:A,V55,Цвет!B:B)</f>
        <v>1</v>
      </c>
      <c r="AM55" s="56">
        <f>SUMIF(Пол!B:B,F55,Пол!C:C)</f>
        <v>1</v>
      </c>
      <c r="AN55" s="56">
        <f>SUMIF(Марка!A:A,A55,Марка!B:B)</f>
        <v>1</v>
      </c>
      <c r="AO55" s="56">
        <f>SUMIF(Страна!A:A,M55,Страна!B:B)</f>
        <v>1</v>
      </c>
      <c r="AP55" s="68" t="str">
        <f>IF(VLOOKUP(U55,Товары!A:B,2,FALSE)=W55,"Есть в 1С","ERR")</f>
        <v>ERR</v>
      </c>
      <c r="AQ55" s="68" t="e">
        <f>IF(VLOOKUP(W55,Товары!B:B,1,FALSE)=W55,"Есть в 1С","ERR")</f>
        <v>#N/A</v>
      </c>
      <c r="AS55" s="58" t="str">
        <f>VLOOKUP(U55,Товары!A:B,2,FALSE)</f>
        <v>02-645-00</v>
      </c>
      <c r="AT55" s="60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48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0" t="s">
        <v>126</v>
      </c>
      <c r="W56" s="51" t="str">
        <f t="shared" si="3"/>
        <v>new</v>
      </c>
      <c r="X56" s="70"/>
      <c r="Y56" s="73" t="s">
        <v>13</v>
      </c>
      <c r="Z56" s="64" t="str">
        <f>VLOOKUP(I56,ЦветПолный!A:B,2,FALSE)</f>
        <v>08</v>
      </c>
      <c r="AA56" s="64" t="str">
        <f>IFERROR(VLOOKUP(L56,Размеры!A:D,4,FALSE),"")</f>
        <v>59</v>
      </c>
      <c r="AB56" s="75" t="str">
        <f>IF(LEFT(VLOOKUP(LOOKUP(2,1/SEARCH(G56,Товары!A:A),Товары!A:A),Товары!A:B,2,0),6)=LEFT(W56,6),"OK","НЕ НАЙДЕНО")</f>
        <v>НЕ НАЙДЕНО</v>
      </c>
      <c r="AC56" s="20"/>
      <c r="AD56" s="56">
        <f>SUMIF(Группа!A:A,C56,Группа!C:C)</f>
        <v>1</v>
      </c>
      <c r="AE56" s="56">
        <f>SUMIF(Группа!B:B,R56,Группа!C:C)</f>
        <v>1</v>
      </c>
      <c r="AF56" s="56">
        <f>SUMIF(Формы!A:A,D56,Формы!B:B)</f>
        <v>1</v>
      </c>
      <c r="AG56" s="56">
        <f>SUMIF(Материал!A:A,E56,Материал!B:B)</f>
        <v>1</v>
      </c>
      <c r="AH56" s="56">
        <f>SUMIF(Размеры!A:A,L56,Размеры!E:E)</f>
        <v>1</v>
      </c>
      <c r="AI56" s="56">
        <f>SUMIF(Сезон!A:A,J56,Сезон!B:B)</f>
        <v>1</v>
      </c>
      <c r="AJ56" s="56">
        <f>SUMIF(Состав!A:A,K56,Состав!B:B)</f>
        <v>0</v>
      </c>
      <c r="AK56" s="56">
        <f>SUMIF(ЦветПолный!A:A,I56,ЦветПолный!C:C)</f>
        <v>7</v>
      </c>
      <c r="AL56" s="56">
        <f>SUMIF(Цвет!A:A,V56,Цвет!B:B)</f>
        <v>1</v>
      </c>
      <c r="AM56" s="56">
        <f>SUMIF(Пол!B:B,F56,Пол!C:C)</f>
        <v>1</v>
      </c>
      <c r="AN56" s="56">
        <f>SUMIF(Марка!A:A,A56,Марка!B:B)</f>
        <v>1</v>
      </c>
      <c r="AO56" s="56">
        <f>SUMIF(Страна!A:A,M56,Страна!B:B)</f>
        <v>1</v>
      </c>
      <c r="AP56" s="68" t="str">
        <f>IF(VLOOKUP(U56,Товары!A:B,2,FALSE)=W56,"Есть в 1С","ERR")</f>
        <v>ERR</v>
      </c>
      <c r="AQ56" s="68" t="e">
        <f>IF(VLOOKUP(W56,Товары!B:B,1,FALSE)=W56,"Есть в 1С","ERR")</f>
        <v>#N/A</v>
      </c>
      <c r="AS56" s="58" t="str">
        <f>VLOOKUP(U56,Товары!A:B,2,FALSE)</f>
        <v>02-645-00</v>
      </c>
      <c r="AT56" s="60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48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0" t="s">
        <v>126</v>
      </c>
      <c r="W57" s="51" t="str">
        <f t="shared" si="3"/>
        <v>new</v>
      </c>
      <c r="X57" s="70"/>
      <c r="Y57" s="73" t="s">
        <v>13</v>
      </c>
      <c r="Z57" s="64" t="str">
        <f>VLOOKUP(I57,ЦветПолный!A:B,2,FALSE)</f>
        <v>08</v>
      </c>
      <c r="AA57" s="64" t="str">
        <f>IFERROR(VLOOKUP(L57,Размеры!A:D,4,FALSE),"")</f>
        <v>61</v>
      </c>
      <c r="AB57" s="75" t="str">
        <f>IF(LEFT(VLOOKUP(LOOKUP(2,1/SEARCH(G57,Товары!A:A),Товары!A:A),Товары!A:B,2,0),6)=LEFT(W57,6),"OK","НЕ НАЙДЕНО")</f>
        <v>НЕ НАЙДЕНО</v>
      </c>
      <c r="AC57" s="20"/>
      <c r="AD57" s="56">
        <f>SUMIF(Группа!A:A,C57,Группа!C:C)</f>
        <v>1</v>
      </c>
      <c r="AE57" s="56">
        <f>SUMIF(Группа!B:B,R57,Группа!C:C)</f>
        <v>1</v>
      </c>
      <c r="AF57" s="56">
        <f>SUMIF(Формы!A:A,D57,Формы!B:B)</f>
        <v>1</v>
      </c>
      <c r="AG57" s="56">
        <f>SUMIF(Материал!A:A,E57,Материал!B:B)</f>
        <v>1</v>
      </c>
      <c r="AH57" s="56">
        <f>SUMIF(Размеры!A:A,L57,Размеры!E:E)</f>
        <v>1</v>
      </c>
      <c r="AI57" s="56">
        <f>SUMIF(Сезон!A:A,J57,Сезон!B:B)</f>
        <v>1</v>
      </c>
      <c r="AJ57" s="56">
        <f>SUMIF(Состав!A:A,K57,Состав!B:B)</f>
        <v>0</v>
      </c>
      <c r="AK57" s="56">
        <f>SUMIF(ЦветПолный!A:A,I57,ЦветПолный!C:C)</f>
        <v>7</v>
      </c>
      <c r="AL57" s="56">
        <f>SUMIF(Цвет!A:A,V57,Цвет!B:B)</f>
        <v>1</v>
      </c>
      <c r="AM57" s="56">
        <f>SUMIF(Пол!B:B,F57,Пол!C:C)</f>
        <v>1</v>
      </c>
      <c r="AN57" s="56">
        <f>SUMIF(Марка!A:A,A57,Марка!B:B)</f>
        <v>1</v>
      </c>
      <c r="AO57" s="56">
        <f>SUMIF(Страна!A:A,M57,Страна!B:B)</f>
        <v>1</v>
      </c>
      <c r="AP57" s="68" t="str">
        <f>IF(VLOOKUP(U57,Товары!A:B,2,FALSE)=W57,"Есть в 1С","ERR")</f>
        <v>ERR</v>
      </c>
      <c r="AQ57" s="68" t="e">
        <f>IF(VLOOKUP(W57,Товары!B:B,1,FALSE)=W57,"Есть в 1С","ERR")</f>
        <v>#N/A</v>
      </c>
      <c r="AS57" s="58" t="str">
        <f>VLOOKUP(U57,Товары!A:B,2,FALSE)</f>
        <v>02-645-00</v>
      </c>
      <c r="AT57" s="60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48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0" t="s">
        <v>126</v>
      </c>
      <c r="W58" s="51" t="str">
        <f t="shared" si="3"/>
        <v>new</v>
      </c>
      <c r="X58" s="70"/>
      <c r="Y58" s="73" t="s">
        <v>13</v>
      </c>
      <c r="Z58" s="64" t="str">
        <f>VLOOKUP(I58,ЦветПолный!A:B,2,FALSE)</f>
        <v>08</v>
      </c>
      <c r="AA58" s="64" t="str">
        <f>IFERROR(VLOOKUP(L58,Размеры!A:D,4,FALSE),"")</f>
        <v>63</v>
      </c>
      <c r="AB58" s="75" t="str">
        <f>IF(LEFT(VLOOKUP(LOOKUP(2,1/SEARCH(G58,Товары!A:A),Товары!A:A),Товары!A:B,2,0),6)=LEFT(W58,6),"OK","НЕ НАЙДЕНО")</f>
        <v>НЕ НАЙДЕНО</v>
      </c>
      <c r="AC58" s="20"/>
      <c r="AD58" s="56">
        <f>SUMIF(Группа!A:A,C58,Группа!C:C)</f>
        <v>1</v>
      </c>
      <c r="AE58" s="56">
        <f>SUMIF(Группа!B:B,R58,Группа!C:C)</f>
        <v>1</v>
      </c>
      <c r="AF58" s="56">
        <f>SUMIF(Формы!A:A,D58,Формы!B:B)</f>
        <v>1</v>
      </c>
      <c r="AG58" s="56">
        <f>SUMIF(Материал!A:A,E58,Материал!B:B)</f>
        <v>1</v>
      </c>
      <c r="AH58" s="56">
        <f>SUMIF(Размеры!A:A,L58,Размеры!E:E)</f>
        <v>1</v>
      </c>
      <c r="AI58" s="56">
        <f>SUMIF(Сезон!A:A,J58,Сезон!B:B)</f>
        <v>1</v>
      </c>
      <c r="AJ58" s="56">
        <f>SUMIF(Состав!A:A,K58,Состав!B:B)</f>
        <v>0</v>
      </c>
      <c r="AK58" s="56">
        <f>SUMIF(ЦветПолный!A:A,I58,ЦветПолный!C:C)</f>
        <v>7</v>
      </c>
      <c r="AL58" s="56">
        <f>SUMIF(Цвет!A:A,V58,Цвет!B:B)</f>
        <v>1</v>
      </c>
      <c r="AM58" s="56">
        <f>SUMIF(Пол!B:B,F58,Пол!C:C)</f>
        <v>1</v>
      </c>
      <c r="AN58" s="56">
        <f>SUMIF(Марка!A:A,A58,Марка!B:B)</f>
        <v>1</v>
      </c>
      <c r="AO58" s="56">
        <f>SUMIF(Страна!A:A,M58,Страна!B:B)</f>
        <v>1</v>
      </c>
      <c r="AP58" s="68" t="str">
        <f>IF(VLOOKUP(U58,Товары!A:B,2,FALSE)=W58,"Есть в 1С","ERR")</f>
        <v>ERR</v>
      </c>
      <c r="AQ58" s="68" t="e">
        <f>IF(VLOOKUP(W58,Товары!B:B,1,FALSE)=W58,"Есть в 1С","ERR")</f>
        <v>#N/A</v>
      </c>
      <c r="AS58" s="58" t="str">
        <f>VLOOKUP(U58,Товары!A:B,2,FALSE)</f>
        <v>02-645-00</v>
      </c>
      <c r="AT58" s="60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48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0" t="s">
        <v>126</v>
      </c>
      <c r="W59" s="51" t="str">
        <f t="shared" si="3"/>
        <v>02-070-16</v>
      </c>
      <c r="X59" s="70"/>
      <c r="Y59" s="73" t="s">
        <v>36738</v>
      </c>
      <c r="Z59" s="64" t="str">
        <f>VLOOKUP(I59,ЦветПолный!A:B,2,FALSE)</f>
        <v>16</v>
      </c>
      <c r="AA59" s="64" t="str">
        <f>IFERROR(VLOOKUP(L59,Размеры!A:D,4,FALSE),"")</f>
        <v>56</v>
      </c>
      <c r="AB59" s="75" t="str">
        <f>IF(LEFT(VLOOKUP(LOOKUP(2,1/SEARCH(G59,Товары!A:A),Товары!A:A),Товары!A:B,2,0),6)=LEFT(W59,6),"OK","НЕ НАЙДЕНО")</f>
        <v>OK</v>
      </c>
      <c r="AC59" s="20"/>
      <c r="AD59" s="56">
        <f>SUMIF(Группа!A:A,C59,Группа!C:C)</f>
        <v>1</v>
      </c>
      <c r="AE59" s="56">
        <f>SUMIF(Группа!B:B,R59,Группа!C:C)</f>
        <v>1</v>
      </c>
      <c r="AF59" s="56">
        <f>SUMIF(Формы!A:A,D59,Формы!B:B)</f>
        <v>1</v>
      </c>
      <c r="AG59" s="56">
        <f>SUMIF(Материал!A:A,E59,Материал!B:B)</f>
        <v>1</v>
      </c>
      <c r="AH59" s="56">
        <f>SUMIF(Размеры!A:A,L59,Размеры!E:E)</f>
        <v>1</v>
      </c>
      <c r="AI59" s="56">
        <f>SUMIF(Сезон!A:A,J59,Сезон!B:B)</f>
        <v>1</v>
      </c>
      <c r="AJ59" s="56">
        <f>SUMIF(Состав!A:A,K59,Состав!B:B)</f>
        <v>0</v>
      </c>
      <c r="AK59" s="56">
        <f>SUMIF(ЦветПолный!A:A,I59,ЦветПолный!C:C)</f>
        <v>8</v>
      </c>
      <c r="AL59" s="56">
        <f>SUMIF(Цвет!A:A,V59,Цвет!B:B)</f>
        <v>1</v>
      </c>
      <c r="AM59" s="56">
        <f>SUMIF(Пол!B:B,F59,Пол!C:C)</f>
        <v>1</v>
      </c>
      <c r="AN59" s="56">
        <f>SUMIF(Марка!A:A,A59,Марка!B:B)</f>
        <v>1</v>
      </c>
      <c r="AO59" s="56">
        <f>SUMIF(Страна!A:A,M59,Страна!B:B)</f>
        <v>1</v>
      </c>
      <c r="AP59" s="68" t="str">
        <f>IF(VLOOKUP(U59,Товары!A:B,2,FALSE)=W59,"Есть в 1С","ERR")</f>
        <v>Есть в 1С</v>
      </c>
      <c r="AQ59" s="68" t="str">
        <f>IF(VLOOKUP(W59,Товары!B:B,1,FALSE)=W59,"Есть в 1С","ERR")</f>
        <v>Есть в 1С</v>
      </c>
      <c r="AS59" s="58" t="str">
        <f>VLOOKUP(U59,Товары!A:B,2,FALSE)</f>
        <v>02-070-16</v>
      </c>
      <c r="AT59" s="60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48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0" t="s">
        <v>126</v>
      </c>
      <c r="W60" s="51" t="str">
        <f t="shared" si="3"/>
        <v>02-070-16</v>
      </c>
      <c r="X60" s="70"/>
      <c r="Y60" s="73" t="s">
        <v>36739</v>
      </c>
      <c r="Z60" s="64" t="str">
        <f>VLOOKUP(I60,ЦветПолный!A:B,2,FALSE)</f>
        <v>16</v>
      </c>
      <c r="AA60" s="64" t="str">
        <f>IFERROR(VLOOKUP(L60,Размеры!A:D,4,FALSE),"")</f>
        <v>57</v>
      </c>
      <c r="AB60" s="75" t="str">
        <f>IF(LEFT(VLOOKUP(LOOKUP(2,1/SEARCH(G60,Товары!A:A),Товары!A:A),Товары!A:B,2,0),6)=LEFT(W60,6),"OK","НЕ НАЙДЕНО")</f>
        <v>OK</v>
      </c>
      <c r="AC60" s="20"/>
      <c r="AD60" s="56">
        <f>SUMIF(Группа!A:A,C60,Группа!C:C)</f>
        <v>1</v>
      </c>
      <c r="AE60" s="56">
        <f>SUMIF(Группа!B:B,R60,Группа!C:C)</f>
        <v>1</v>
      </c>
      <c r="AF60" s="56">
        <f>SUMIF(Формы!A:A,D60,Формы!B:B)</f>
        <v>1</v>
      </c>
      <c r="AG60" s="56">
        <f>SUMIF(Материал!A:A,E60,Материал!B:B)</f>
        <v>1</v>
      </c>
      <c r="AH60" s="56">
        <f>SUMIF(Размеры!A:A,L60,Размеры!E:E)</f>
        <v>1</v>
      </c>
      <c r="AI60" s="56">
        <f>SUMIF(Сезон!A:A,J60,Сезон!B:B)</f>
        <v>1</v>
      </c>
      <c r="AJ60" s="56">
        <f>SUMIF(Состав!A:A,K60,Состав!B:B)</f>
        <v>0</v>
      </c>
      <c r="AK60" s="56">
        <f>SUMIF(ЦветПолный!A:A,I60,ЦветПолный!C:C)</f>
        <v>8</v>
      </c>
      <c r="AL60" s="56">
        <f>SUMIF(Цвет!A:A,V60,Цвет!B:B)</f>
        <v>1</v>
      </c>
      <c r="AM60" s="56">
        <f>SUMIF(Пол!B:B,F60,Пол!C:C)</f>
        <v>1</v>
      </c>
      <c r="AN60" s="56">
        <f>SUMIF(Марка!A:A,A60,Марка!B:B)</f>
        <v>1</v>
      </c>
      <c r="AO60" s="56">
        <f>SUMIF(Страна!A:A,M60,Страна!B:B)</f>
        <v>1</v>
      </c>
      <c r="AP60" s="68" t="str">
        <f>IF(VLOOKUP(U60,Товары!A:B,2,FALSE)=W60,"Есть в 1С","ERR")</f>
        <v>Есть в 1С</v>
      </c>
      <c r="AQ60" s="68" t="str">
        <f>IF(VLOOKUP(W60,Товары!B:B,1,FALSE)=W60,"Есть в 1С","ERR")</f>
        <v>Есть в 1С</v>
      </c>
      <c r="AS60" s="58" t="str">
        <f>VLOOKUP(U60,Товары!A:B,2,FALSE)</f>
        <v>02-070-16</v>
      </c>
      <c r="AT60" s="60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48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0" t="s">
        <v>27</v>
      </c>
      <c r="W61" s="51" t="str">
        <f t="shared" si="3"/>
        <v>02-070-16</v>
      </c>
      <c r="X61" s="70"/>
      <c r="Y61" s="73" t="s">
        <v>36740</v>
      </c>
      <c r="Z61" s="64" t="str">
        <f>VLOOKUP(I61,ЦветПолный!A:B,2,FALSE)</f>
        <v>16</v>
      </c>
      <c r="AA61" s="64" t="str">
        <f>IFERROR(VLOOKUP(L61,Размеры!A:D,4,FALSE),"")</f>
        <v>58</v>
      </c>
      <c r="AB61" s="75" t="str">
        <f>IF(LEFT(VLOOKUP(LOOKUP(2,1/SEARCH(G61,Товары!A:A),Товары!A:A),Товары!A:B,2,0),6)=LEFT(W61,6),"OK","НЕ НАЙДЕНО")</f>
        <v>OK</v>
      </c>
      <c r="AC61" s="20"/>
      <c r="AD61" s="56">
        <f>SUMIF(Группа!A:A,C61,Группа!C:C)</f>
        <v>1</v>
      </c>
      <c r="AE61" s="56">
        <f>SUMIF(Группа!B:B,R61,Группа!C:C)</f>
        <v>1</v>
      </c>
      <c r="AF61" s="56">
        <f>SUMIF(Формы!A:A,D61,Формы!B:B)</f>
        <v>1</v>
      </c>
      <c r="AG61" s="56">
        <f>SUMIF(Материал!A:A,E61,Материал!B:B)</f>
        <v>1</v>
      </c>
      <c r="AH61" s="56">
        <f>SUMIF(Размеры!A:A,L61,Размеры!E:E)</f>
        <v>1</v>
      </c>
      <c r="AI61" s="56">
        <f>SUMIF(Сезон!A:A,J61,Сезон!B:B)</f>
        <v>1</v>
      </c>
      <c r="AJ61" s="56">
        <f>SUMIF(Состав!A:A,K61,Состав!B:B)</f>
        <v>0</v>
      </c>
      <c r="AK61" s="56">
        <f>SUMIF(ЦветПолный!A:A,I61,ЦветПолный!C:C)</f>
        <v>8</v>
      </c>
      <c r="AL61" s="56">
        <f>SUMIF(Цвет!A:A,V61,Цвет!B:B)</f>
        <v>1</v>
      </c>
      <c r="AM61" s="56">
        <f>SUMIF(Пол!B:B,F61,Пол!C:C)</f>
        <v>1</v>
      </c>
      <c r="AN61" s="56">
        <f>SUMIF(Марка!A:A,A61,Марка!B:B)</f>
        <v>1</v>
      </c>
      <c r="AO61" s="56">
        <f>SUMIF(Страна!A:A,M61,Страна!B:B)</f>
        <v>1</v>
      </c>
      <c r="AP61" s="68" t="str">
        <f>IF(VLOOKUP(U61,Товары!A:B,2,FALSE)=W61,"Есть в 1С","ERR")</f>
        <v>Есть в 1С</v>
      </c>
      <c r="AQ61" s="68" t="str">
        <f>IF(VLOOKUP(W61,Товары!B:B,1,FALSE)=W61,"Есть в 1С","ERR")</f>
        <v>Есть в 1С</v>
      </c>
      <c r="AS61" s="58" t="str">
        <f>VLOOKUP(U61,Товары!A:B,2,FALSE)</f>
        <v>02-070-16</v>
      </c>
      <c r="AT61" s="60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48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0" t="s">
        <v>27</v>
      </c>
      <c r="W62" s="51" t="str">
        <f t="shared" si="3"/>
        <v>02-070-16</v>
      </c>
      <c r="X62" s="70"/>
      <c r="Y62" s="73" t="s">
        <v>36741</v>
      </c>
      <c r="Z62" s="64" t="str">
        <f>VLOOKUP(I62,ЦветПолный!A:B,2,FALSE)</f>
        <v>16</v>
      </c>
      <c r="AA62" s="64" t="str">
        <f>IFERROR(VLOOKUP(L62,Размеры!A:D,4,FALSE),"")</f>
        <v>59</v>
      </c>
      <c r="AB62" s="75" t="str">
        <f>IF(LEFT(VLOOKUP(LOOKUP(2,1/SEARCH(G62,Товары!A:A),Товары!A:A),Товары!A:B,2,0),6)=LEFT(W62,6),"OK","НЕ НАЙДЕНО")</f>
        <v>OK</v>
      </c>
      <c r="AC62" s="20"/>
      <c r="AD62" s="56">
        <f>SUMIF(Группа!A:A,C62,Группа!C:C)</f>
        <v>1</v>
      </c>
      <c r="AE62" s="56">
        <f>SUMIF(Группа!B:B,R62,Группа!C:C)</f>
        <v>1</v>
      </c>
      <c r="AF62" s="56">
        <f>SUMIF(Формы!A:A,D62,Формы!B:B)</f>
        <v>1</v>
      </c>
      <c r="AG62" s="56">
        <f>SUMIF(Материал!A:A,E62,Материал!B:B)</f>
        <v>1</v>
      </c>
      <c r="AH62" s="56">
        <f>SUMIF(Размеры!A:A,L62,Размеры!E:E)</f>
        <v>1</v>
      </c>
      <c r="AI62" s="56">
        <f>SUMIF(Сезон!A:A,J62,Сезон!B:B)</f>
        <v>1</v>
      </c>
      <c r="AJ62" s="56">
        <f>SUMIF(Состав!A:A,K62,Состав!B:B)</f>
        <v>0</v>
      </c>
      <c r="AK62" s="56">
        <f>SUMIF(ЦветПолный!A:A,I62,ЦветПолный!C:C)</f>
        <v>8</v>
      </c>
      <c r="AL62" s="56">
        <f>SUMIF(Цвет!A:A,V62,Цвет!B:B)</f>
        <v>1</v>
      </c>
      <c r="AM62" s="56">
        <f>SUMIF(Пол!B:B,F62,Пол!C:C)</f>
        <v>1</v>
      </c>
      <c r="AN62" s="56">
        <f>SUMIF(Марка!A:A,A62,Марка!B:B)</f>
        <v>1</v>
      </c>
      <c r="AO62" s="56">
        <f>SUMIF(Страна!A:A,M62,Страна!B:B)</f>
        <v>1</v>
      </c>
      <c r="AP62" s="68" t="str">
        <f>IF(VLOOKUP(U62,Товары!A:B,2,FALSE)=W62,"Есть в 1С","ERR")</f>
        <v>Есть в 1С</v>
      </c>
      <c r="AQ62" s="68" t="str">
        <f>IF(VLOOKUP(W62,Товары!B:B,1,FALSE)=W62,"Есть в 1С","ERR")</f>
        <v>Есть в 1С</v>
      </c>
      <c r="AS62" s="58" t="str">
        <f>VLOOKUP(U62,Товары!A:B,2,FALSE)</f>
        <v>02-070-16</v>
      </c>
      <c r="AT62" s="60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48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0" t="s">
        <v>27</v>
      </c>
      <c r="W63" s="51" t="str">
        <f t="shared" si="3"/>
        <v>02-070-16</v>
      </c>
      <c r="X63" s="70"/>
      <c r="Y63" s="73" t="s">
        <v>36742</v>
      </c>
      <c r="Z63" s="64" t="str">
        <f>VLOOKUP(I63,ЦветПолный!A:B,2,FALSE)</f>
        <v>16</v>
      </c>
      <c r="AA63" s="64" t="str">
        <f>IFERROR(VLOOKUP(L63,Размеры!A:D,4,FALSE),"")</f>
        <v>60</v>
      </c>
      <c r="AB63" s="75" t="str">
        <f>IF(LEFT(VLOOKUP(LOOKUP(2,1/SEARCH(G63,Товары!A:A),Товары!A:A),Товары!A:B,2,0),6)=LEFT(W63,6),"OK","НЕ НАЙДЕНО")</f>
        <v>OK</v>
      </c>
      <c r="AC63" s="20"/>
      <c r="AD63" s="56">
        <f>SUMIF(Группа!A:A,C63,Группа!C:C)</f>
        <v>1</v>
      </c>
      <c r="AE63" s="56">
        <f>SUMIF(Группа!B:B,R63,Группа!C:C)</f>
        <v>1</v>
      </c>
      <c r="AF63" s="56">
        <f>SUMIF(Формы!A:A,D63,Формы!B:B)</f>
        <v>1</v>
      </c>
      <c r="AG63" s="56">
        <f>SUMIF(Материал!A:A,E63,Материал!B:B)</f>
        <v>1</v>
      </c>
      <c r="AH63" s="56">
        <f>SUMIF(Размеры!A:A,L63,Размеры!E:E)</f>
        <v>1</v>
      </c>
      <c r="AI63" s="56">
        <f>SUMIF(Сезон!A:A,J63,Сезон!B:B)</f>
        <v>1</v>
      </c>
      <c r="AJ63" s="56">
        <f>SUMIF(Состав!A:A,K63,Состав!B:B)</f>
        <v>0</v>
      </c>
      <c r="AK63" s="56">
        <f>SUMIF(ЦветПолный!A:A,I63,ЦветПолный!C:C)</f>
        <v>8</v>
      </c>
      <c r="AL63" s="56">
        <f>SUMIF(Цвет!A:A,V63,Цвет!B:B)</f>
        <v>1</v>
      </c>
      <c r="AM63" s="56">
        <f>SUMIF(Пол!B:B,F63,Пол!C:C)</f>
        <v>1</v>
      </c>
      <c r="AN63" s="56">
        <f>SUMIF(Марка!A:A,A63,Марка!B:B)</f>
        <v>1</v>
      </c>
      <c r="AO63" s="56">
        <f>SUMIF(Страна!A:A,M63,Страна!B:B)</f>
        <v>1</v>
      </c>
      <c r="AP63" s="68" t="str">
        <f>IF(VLOOKUP(U63,Товары!A:B,2,FALSE)=W63,"Есть в 1С","ERR")</f>
        <v>Есть в 1С</v>
      </c>
      <c r="AQ63" s="68" t="str">
        <f>IF(VLOOKUP(W63,Товары!B:B,1,FALSE)=W63,"Есть в 1С","ERR")</f>
        <v>Есть в 1С</v>
      </c>
      <c r="AS63" s="58" t="str">
        <f>VLOOKUP(U63,Товары!A:B,2,FALSE)</f>
        <v>02-070-16</v>
      </c>
      <c r="AT63" s="60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48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0" t="s">
        <v>27</v>
      </c>
      <c r="W64" s="51" t="str">
        <f t="shared" si="3"/>
        <v>02-070-16</v>
      </c>
      <c r="X64" s="70"/>
      <c r="Y64" s="73" t="s">
        <v>36743</v>
      </c>
      <c r="Z64" s="64" t="str">
        <f>VLOOKUP(I64,ЦветПолный!A:B,2,FALSE)</f>
        <v>16</v>
      </c>
      <c r="AA64" s="64" t="str">
        <f>IFERROR(VLOOKUP(L64,Размеры!A:D,4,FALSE),"")</f>
        <v>61</v>
      </c>
      <c r="AB64" s="75" t="str">
        <f>IF(LEFT(VLOOKUP(LOOKUP(2,1/SEARCH(G64,Товары!A:A),Товары!A:A),Товары!A:B,2,0),6)=LEFT(W64,6),"OK","НЕ НАЙДЕНО")</f>
        <v>OK</v>
      </c>
      <c r="AC64" s="20"/>
      <c r="AD64" s="56">
        <f>SUMIF(Группа!A:A,C64,Группа!C:C)</f>
        <v>1</v>
      </c>
      <c r="AE64" s="56">
        <f>SUMIF(Группа!B:B,R64,Группа!C:C)</f>
        <v>1</v>
      </c>
      <c r="AF64" s="56">
        <f>SUMIF(Формы!A:A,D64,Формы!B:B)</f>
        <v>1</v>
      </c>
      <c r="AG64" s="56">
        <f>SUMIF(Материал!A:A,E64,Материал!B:B)</f>
        <v>1</v>
      </c>
      <c r="AH64" s="56">
        <f>SUMIF(Размеры!A:A,L64,Размеры!E:E)</f>
        <v>1</v>
      </c>
      <c r="AI64" s="56">
        <f>SUMIF(Сезон!A:A,J64,Сезон!B:B)</f>
        <v>1</v>
      </c>
      <c r="AJ64" s="56">
        <f>SUMIF(Состав!A:A,K64,Состав!B:B)</f>
        <v>0</v>
      </c>
      <c r="AK64" s="56">
        <f>SUMIF(ЦветПолный!A:A,I64,ЦветПолный!C:C)</f>
        <v>8</v>
      </c>
      <c r="AL64" s="56">
        <f>SUMIF(Цвет!A:A,V64,Цвет!B:B)</f>
        <v>1</v>
      </c>
      <c r="AM64" s="56">
        <f>SUMIF(Пол!B:B,F64,Пол!C:C)</f>
        <v>1</v>
      </c>
      <c r="AN64" s="56">
        <f>SUMIF(Марка!A:A,A64,Марка!B:B)</f>
        <v>1</v>
      </c>
      <c r="AO64" s="56">
        <f>SUMIF(Страна!A:A,M64,Страна!B:B)</f>
        <v>1</v>
      </c>
      <c r="AP64" s="68" t="str">
        <f>IF(VLOOKUP(U64,Товары!A:B,2,FALSE)=W64,"Есть в 1С","ERR")</f>
        <v>Есть в 1С</v>
      </c>
      <c r="AQ64" s="68" t="str">
        <f>IF(VLOOKUP(W64,Товары!B:B,1,FALSE)=W64,"Есть в 1С","ERR")</f>
        <v>Есть в 1С</v>
      </c>
      <c r="AS64" s="58" t="str">
        <f>VLOOKUP(U64,Товары!A:B,2,FALSE)</f>
        <v>02-070-16</v>
      </c>
      <c r="AT64" s="60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48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0" t="s">
        <v>27</v>
      </c>
      <c r="W65" s="51" t="str">
        <f t="shared" si="3"/>
        <v>02-070-16</v>
      </c>
      <c r="X65" s="70"/>
      <c r="Y65" s="73" t="s">
        <v>36744</v>
      </c>
      <c r="Z65" s="64" t="str">
        <f>VLOOKUP(I65,ЦветПолный!A:B,2,FALSE)</f>
        <v>16</v>
      </c>
      <c r="AA65" s="64" t="str">
        <f>IFERROR(VLOOKUP(L65,Размеры!A:D,4,FALSE),"")</f>
        <v>62</v>
      </c>
      <c r="AB65" s="75" t="str">
        <f>IF(LEFT(VLOOKUP(LOOKUP(2,1/SEARCH(G65,Товары!A:A),Товары!A:A),Товары!A:B,2,0),6)=LEFT(W65,6),"OK","НЕ НАЙДЕНО")</f>
        <v>OK</v>
      </c>
      <c r="AC65" s="20"/>
      <c r="AD65" s="56">
        <f>SUMIF(Группа!A:A,C65,Группа!C:C)</f>
        <v>1</v>
      </c>
      <c r="AE65" s="56">
        <f>SUMIF(Группа!B:B,R65,Группа!C:C)</f>
        <v>1</v>
      </c>
      <c r="AF65" s="56">
        <f>SUMIF(Формы!A:A,D65,Формы!B:B)</f>
        <v>1</v>
      </c>
      <c r="AG65" s="56">
        <f>SUMIF(Материал!A:A,E65,Материал!B:B)</f>
        <v>1</v>
      </c>
      <c r="AH65" s="56">
        <f>SUMIF(Размеры!A:A,L65,Размеры!E:E)</f>
        <v>1</v>
      </c>
      <c r="AI65" s="56">
        <f>SUMIF(Сезон!A:A,J65,Сезон!B:B)</f>
        <v>1</v>
      </c>
      <c r="AJ65" s="56">
        <f>SUMIF(Состав!A:A,K65,Состав!B:B)</f>
        <v>0</v>
      </c>
      <c r="AK65" s="56">
        <f>SUMIF(ЦветПолный!A:A,I65,ЦветПолный!C:C)</f>
        <v>8</v>
      </c>
      <c r="AL65" s="56">
        <f>SUMIF(Цвет!A:A,V65,Цвет!B:B)</f>
        <v>1</v>
      </c>
      <c r="AM65" s="56">
        <f>SUMIF(Пол!B:B,F65,Пол!C:C)</f>
        <v>1</v>
      </c>
      <c r="AN65" s="56">
        <f>SUMIF(Марка!A:A,A65,Марка!B:B)</f>
        <v>1</v>
      </c>
      <c r="AO65" s="56">
        <f>SUMIF(Страна!A:A,M65,Страна!B:B)</f>
        <v>1</v>
      </c>
      <c r="AP65" s="68" t="str">
        <f>IF(VLOOKUP(U65,Товары!A:B,2,FALSE)=W65,"Есть в 1С","ERR")</f>
        <v>Есть в 1С</v>
      </c>
      <c r="AQ65" s="68" t="str">
        <f>IF(VLOOKUP(W65,Товары!B:B,1,FALSE)=W65,"Есть в 1С","ERR")</f>
        <v>Есть в 1С</v>
      </c>
      <c r="AS65" s="58" t="str">
        <f>VLOOKUP(U65,Товары!A:B,2,FALSE)</f>
        <v>02-070-16</v>
      </c>
      <c r="AT65" s="60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48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0" t="s">
        <v>27</v>
      </c>
      <c r="W66" s="51" t="str">
        <f t="shared" si="3"/>
        <v>02-070-16</v>
      </c>
      <c r="X66" s="70"/>
      <c r="Y66" s="73" t="s">
        <v>36745</v>
      </c>
      <c r="Z66" s="64" t="str">
        <f>VLOOKUP(I66,ЦветПолный!A:B,2,FALSE)</f>
        <v>16</v>
      </c>
      <c r="AA66" s="64" t="str">
        <f>IFERROR(VLOOKUP(L66,Размеры!A:D,4,FALSE),"")</f>
        <v>63</v>
      </c>
      <c r="AB66" s="75" t="str">
        <f>IF(LEFT(VLOOKUP(LOOKUP(2,1/SEARCH(G66,Товары!A:A),Товары!A:A),Товары!A:B,2,0),6)=LEFT(W66,6),"OK","НЕ НАЙДЕНО")</f>
        <v>OK</v>
      </c>
      <c r="AC66" s="20"/>
      <c r="AD66" s="56">
        <f>SUMIF(Группа!A:A,C66,Группа!C:C)</f>
        <v>1</v>
      </c>
      <c r="AE66" s="56">
        <f>SUMIF(Группа!B:B,R66,Группа!C:C)</f>
        <v>1</v>
      </c>
      <c r="AF66" s="56">
        <f>SUMIF(Формы!A:A,D66,Формы!B:B)</f>
        <v>1</v>
      </c>
      <c r="AG66" s="56">
        <f>SUMIF(Материал!A:A,E66,Материал!B:B)</f>
        <v>1</v>
      </c>
      <c r="AH66" s="56">
        <f>SUMIF(Размеры!A:A,L66,Размеры!E:E)</f>
        <v>1</v>
      </c>
      <c r="AI66" s="56">
        <f>SUMIF(Сезон!A:A,J66,Сезон!B:B)</f>
        <v>1</v>
      </c>
      <c r="AJ66" s="56">
        <f>SUMIF(Состав!A:A,K66,Состав!B:B)</f>
        <v>0</v>
      </c>
      <c r="AK66" s="56">
        <f>SUMIF(ЦветПолный!A:A,I66,ЦветПолный!C:C)</f>
        <v>8</v>
      </c>
      <c r="AL66" s="56">
        <f>SUMIF(Цвет!A:A,V66,Цвет!B:B)</f>
        <v>1</v>
      </c>
      <c r="AM66" s="56">
        <f>SUMIF(Пол!B:B,F66,Пол!C:C)</f>
        <v>1</v>
      </c>
      <c r="AN66" s="56">
        <f>SUMIF(Марка!A:A,A66,Марка!B:B)</f>
        <v>1</v>
      </c>
      <c r="AO66" s="56">
        <f>SUMIF(Страна!A:A,M66,Страна!B:B)</f>
        <v>1</v>
      </c>
      <c r="AP66" s="68" t="str">
        <f>IF(VLOOKUP(U66,Товары!A:B,2,FALSE)=W66,"Есть в 1С","ERR")</f>
        <v>Есть в 1С</v>
      </c>
      <c r="AQ66" s="68" t="str">
        <f>IF(VLOOKUP(W66,Товары!B:B,1,FALSE)=W66,"Есть в 1С","ERR")</f>
        <v>Есть в 1С</v>
      </c>
      <c r="AS66" s="58" t="str">
        <f>VLOOKUP(U66,Товары!A:B,2,FALSE)</f>
        <v>02-070-16</v>
      </c>
      <c r="AT66" s="60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48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1" t="str">
        <f t="shared" ref="W67:W130" si="6">LEFT(Y67,9)</f>
        <v>02-070-05</v>
      </c>
      <c r="X67" s="70"/>
      <c r="Y67" s="73" t="s">
        <v>36746</v>
      </c>
      <c r="Z67" s="64" t="str">
        <f>VLOOKUP(I67,ЦветПолный!A:B,2,FALSE)</f>
        <v>05</v>
      </c>
      <c r="AA67" s="64" t="str">
        <f>IFERROR(VLOOKUP(L67,Размеры!A:D,4,FALSE),"")</f>
        <v>57</v>
      </c>
      <c r="AB67" s="75" t="str">
        <f>IF(LEFT(VLOOKUP(LOOKUP(2,1/SEARCH(G67,Товары!A:A),Товары!A:A),Товары!A:B,2,0),6)=LEFT(W67,6),"OK","НЕ НАЙДЕНО")</f>
        <v>OK</v>
      </c>
      <c r="AC67" s="20"/>
      <c r="AD67" s="56">
        <f>SUMIF(Группа!A:A,C67,Группа!C:C)</f>
        <v>1</v>
      </c>
      <c r="AE67" s="56">
        <f>SUMIF(Группа!B:B,R67,Группа!C:C)</f>
        <v>1</v>
      </c>
      <c r="AF67" s="56">
        <f>SUMIF(Формы!A:A,D67,Формы!B:B)</f>
        <v>1</v>
      </c>
      <c r="AG67" s="56">
        <f>SUMIF(Материал!A:A,E67,Материал!B:B)</f>
        <v>1</v>
      </c>
      <c r="AH67" s="56">
        <f>SUMIF(Размеры!A:A,L67,Размеры!E:E)</f>
        <v>1</v>
      </c>
      <c r="AI67" s="56">
        <f>SUMIF(Сезон!A:A,J67,Сезон!B:B)</f>
        <v>1</v>
      </c>
      <c r="AJ67" s="56">
        <f>SUMIF(Состав!A:A,K67,Состав!B:B)</f>
        <v>0</v>
      </c>
      <c r="AK67" s="56">
        <f>SUMIF(ЦветПолный!A:A,I67,ЦветПолный!C:C)</f>
        <v>6</v>
      </c>
      <c r="AL67" s="56">
        <f>SUMIF(Цвет!A:A,V67,Цвет!B:B)</f>
        <v>1</v>
      </c>
      <c r="AM67" s="56">
        <f>SUMIF(Пол!B:B,F67,Пол!C:C)</f>
        <v>1</v>
      </c>
      <c r="AN67" s="56">
        <f>SUMIF(Марка!A:A,A67,Марка!B:B)</f>
        <v>1</v>
      </c>
      <c r="AO67" s="56">
        <f>SUMIF(Страна!A:A,M67,Страна!B:B)</f>
        <v>1</v>
      </c>
      <c r="AP67" s="68" t="str">
        <f>IF(VLOOKUP(U67,Товары!A:B,2,FALSE)=W67,"Есть в 1С","ERR")</f>
        <v>Есть в 1С</v>
      </c>
      <c r="AQ67" s="68" t="str">
        <f>IF(VLOOKUP(W67,Товары!B:B,1,FALSE)=W67,"Есть в 1С","ERR")</f>
        <v>Есть в 1С</v>
      </c>
      <c r="AS67" s="58" t="str">
        <f>VLOOKUP(U67,Товары!A:B,2,FALSE)</f>
        <v>02-070-05</v>
      </c>
      <c r="AT67" s="60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48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1" t="str">
        <f t="shared" si="6"/>
        <v>02-070-05</v>
      </c>
      <c r="X68" s="70"/>
      <c r="Y68" s="73" t="s">
        <v>36747</v>
      </c>
      <c r="Z68" s="64" t="str">
        <f>VLOOKUP(I68,ЦветПолный!A:B,2,FALSE)</f>
        <v>05</v>
      </c>
      <c r="AA68" s="64" t="str">
        <f>IFERROR(VLOOKUP(L68,Размеры!A:D,4,FALSE),"")</f>
        <v>59</v>
      </c>
      <c r="AB68" s="75" t="str">
        <f>IF(LEFT(VLOOKUP(LOOKUP(2,1/SEARCH(G68,Товары!A:A),Товары!A:A),Товары!A:B,2,0),6)=LEFT(W68,6),"OK","НЕ НАЙДЕНО")</f>
        <v>OK</v>
      </c>
      <c r="AC68" s="20"/>
      <c r="AD68" s="56">
        <f>SUMIF(Группа!A:A,C68,Группа!C:C)</f>
        <v>1</v>
      </c>
      <c r="AE68" s="56">
        <f>SUMIF(Группа!B:B,R68,Группа!C:C)</f>
        <v>1</v>
      </c>
      <c r="AF68" s="56">
        <f>SUMIF(Формы!A:A,D68,Формы!B:B)</f>
        <v>1</v>
      </c>
      <c r="AG68" s="56">
        <f>SUMIF(Материал!A:A,E68,Материал!B:B)</f>
        <v>1</v>
      </c>
      <c r="AH68" s="56">
        <f>SUMIF(Размеры!A:A,L68,Размеры!E:E)</f>
        <v>1</v>
      </c>
      <c r="AI68" s="56">
        <f>SUMIF(Сезон!A:A,J68,Сезон!B:B)</f>
        <v>1</v>
      </c>
      <c r="AJ68" s="56">
        <f>SUMIF(Состав!A:A,K68,Состав!B:B)</f>
        <v>0</v>
      </c>
      <c r="AK68" s="56">
        <f>SUMIF(ЦветПолный!A:A,I68,ЦветПолный!C:C)</f>
        <v>6</v>
      </c>
      <c r="AL68" s="56">
        <f>SUMIF(Цвет!A:A,V68,Цвет!B:B)</f>
        <v>1</v>
      </c>
      <c r="AM68" s="56">
        <f>SUMIF(Пол!B:B,F68,Пол!C:C)</f>
        <v>1</v>
      </c>
      <c r="AN68" s="56">
        <f>SUMIF(Марка!A:A,A68,Марка!B:B)</f>
        <v>1</v>
      </c>
      <c r="AO68" s="56">
        <f>SUMIF(Страна!A:A,M68,Страна!B:B)</f>
        <v>1</v>
      </c>
      <c r="AP68" s="68" t="str">
        <f>IF(VLOOKUP(U68,Товары!A:B,2,FALSE)=W68,"Есть в 1С","ERR")</f>
        <v>Есть в 1С</v>
      </c>
      <c r="AQ68" s="68" t="str">
        <f>IF(VLOOKUP(W68,Товары!B:B,1,FALSE)=W68,"Есть в 1С","ERR")</f>
        <v>Есть в 1С</v>
      </c>
      <c r="AS68" s="58" t="str">
        <f>VLOOKUP(U68,Товары!A:B,2,FALSE)</f>
        <v>02-070-05</v>
      </c>
      <c r="AT68" s="60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48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1" t="str">
        <f t="shared" si="6"/>
        <v>02-070-05</v>
      </c>
      <c r="X69" s="70"/>
      <c r="Y69" s="73" t="s">
        <v>36748</v>
      </c>
      <c r="Z69" s="64" t="str">
        <f>VLOOKUP(I69,ЦветПолный!A:B,2,FALSE)</f>
        <v>05</v>
      </c>
      <c r="AA69" s="64" t="str">
        <f>IFERROR(VLOOKUP(L69,Размеры!A:D,4,FALSE),"")</f>
        <v>61</v>
      </c>
      <c r="AB69" s="75" t="str">
        <f>IF(LEFT(VLOOKUP(LOOKUP(2,1/SEARCH(G69,Товары!A:A),Товары!A:A),Товары!A:B,2,0),6)=LEFT(W69,6),"OK","НЕ НАЙДЕНО")</f>
        <v>OK</v>
      </c>
      <c r="AC69" s="20"/>
      <c r="AD69" s="56">
        <f>SUMIF(Группа!A:A,C69,Группа!C:C)</f>
        <v>1</v>
      </c>
      <c r="AE69" s="56">
        <f>SUMIF(Группа!B:B,R69,Группа!C:C)</f>
        <v>1</v>
      </c>
      <c r="AF69" s="56">
        <f>SUMIF(Формы!A:A,D69,Формы!B:B)</f>
        <v>1</v>
      </c>
      <c r="AG69" s="56">
        <f>SUMIF(Материал!A:A,E69,Материал!B:B)</f>
        <v>1</v>
      </c>
      <c r="AH69" s="56">
        <f>SUMIF(Размеры!A:A,L69,Размеры!E:E)</f>
        <v>1</v>
      </c>
      <c r="AI69" s="56">
        <f>SUMIF(Сезон!A:A,J69,Сезон!B:B)</f>
        <v>1</v>
      </c>
      <c r="AJ69" s="56">
        <f>SUMIF(Состав!A:A,K69,Состав!B:B)</f>
        <v>0</v>
      </c>
      <c r="AK69" s="56">
        <f>SUMIF(ЦветПолный!A:A,I69,ЦветПолный!C:C)</f>
        <v>6</v>
      </c>
      <c r="AL69" s="56">
        <f>SUMIF(Цвет!A:A,V69,Цвет!B:B)</f>
        <v>1</v>
      </c>
      <c r="AM69" s="56">
        <f>SUMIF(Пол!B:B,F69,Пол!C:C)</f>
        <v>1</v>
      </c>
      <c r="AN69" s="56">
        <f>SUMIF(Марка!A:A,A69,Марка!B:B)</f>
        <v>1</v>
      </c>
      <c r="AO69" s="56">
        <f>SUMIF(Страна!A:A,M69,Страна!B:B)</f>
        <v>1</v>
      </c>
      <c r="AP69" s="68" t="str">
        <f>IF(VLOOKUP(U69,Товары!A:B,2,FALSE)=W69,"Есть в 1С","ERR")</f>
        <v>Есть в 1С</v>
      </c>
      <c r="AQ69" s="68" t="str">
        <f>IF(VLOOKUP(W69,Товары!B:B,1,FALSE)=W69,"Есть в 1С","ERR")</f>
        <v>Есть в 1С</v>
      </c>
      <c r="AS69" s="58" t="str">
        <f>VLOOKUP(U69,Товары!A:B,2,FALSE)</f>
        <v>02-070-05</v>
      </c>
      <c r="AT69" s="60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48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1" t="str">
        <f t="shared" si="6"/>
        <v>02-070-05</v>
      </c>
      <c r="X70" s="70"/>
      <c r="Y70" s="73" t="s">
        <v>36749</v>
      </c>
      <c r="Z70" s="64" t="str">
        <f>VLOOKUP(I70,ЦветПолный!A:B,2,FALSE)</f>
        <v>05</v>
      </c>
      <c r="AA70" s="64" t="str">
        <f>IFERROR(VLOOKUP(L70,Размеры!A:D,4,FALSE),"")</f>
        <v>63</v>
      </c>
      <c r="AB70" s="75" t="str">
        <f>IF(LEFT(VLOOKUP(LOOKUP(2,1/SEARCH(G70,Товары!A:A),Товары!A:A),Товары!A:B,2,0),6)=LEFT(W70,6),"OK","НЕ НАЙДЕНО")</f>
        <v>OK</v>
      </c>
      <c r="AC70" s="20"/>
      <c r="AD70" s="56">
        <f>SUMIF(Группа!A:A,C70,Группа!C:C)</f>
        <v>1</v>
      </c>
      <c r="AE70" s="56">
        <f>SUMIF(Группа!B:B,R70,Группа!C:C)</f>
        <v>1</v>
      </c>
      <c r="AF70" s="56">
        <f>SUMIF(Формы!A:A,D70,Формы!B:B)</f>
        <v>1</v>
      </c>
      <c r="AG70" s="56">
        <f>SUMIF(Материал!A:A,E70,Материал!B:B)</f>
        <v>1</v>
      </c>
      <c r="AH70" s="56">
        <f>SUMIF(Размеры!A:A,L70,Размеры!E:E)</f>
        <v>1</v>
      </c>
      <c r="AI70" s="56">
        <f>SUMIF(Сезон!A:A,J70,Сезон!B:B)</f>
        <v>1</v>
      </c>
      <c r="AJ70" s="56">
        <f>SUMIF(Состав!A:A,K70,Состав!B:B)</f>
        <v>0</v>
      </c>
      <c r="AK70" s="56">
        <f>SUMIF(ЦветПолный!A:A,I70,ЦветПолный!C:C)</f>
        <v>6</v>
      </c>
      <c r="AL70" s="56">
        <f>SUMIF(Цвет!A:A,V70,Цвет!B:B)</f>
        <v>1</v>
      </c>
      <c r="AM70" s="56">
        <f>SUMIF(Пол!B:B,F70,Пол!C:C)</f>
        <v>1</v>
      </c>
      <c r="AN70" s="56">
        <f>SUMIF(Марка!A:A,A70,Марка!B:B)</f>
        <v>1</v>
      </c>
      <c r="AO70" s="56">
        <f>SUMIF(Страна!A:A,M70,Страна!B:B)</f>
        <v>1</v>
      </c>
      <c r="AP70" s="68" t="str">
        <f>IF(VLOOKUP(U70,Товары!A:B,2,FALSE)=W70,"Есть в 1С","ERR")</f>
        <v>Есть в 1С</v>
      </c>
      <c r="AQ70" s="68" t="str">
        <f>IF(VLOOKUP(W70,Товары!B:B,1,FALSE)=W70,"Есть в 1С","ERR")</f>
        <v>Есть в 1С</v>
      </c>
      <c r="AS70" s="58" t="str">
        <f>VLOOKUP(U70,Товары!A:B,2,FALSE)</f>
        <v>02-070-05</v>
      </c>
      <c r="AT70" s="60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48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1" t="str">
        <f t="shared" si="6"/>
        <v>02-070-14</v>
      </c>
      <c r="X71" s="70"/>
      <c r="Y71" s="73" t="s">
        <v>36750</v>
      </c>
      <c r="Z71" s="64" t="str">
        <f>VLOOKUP(I71,ЦветПолный!A:B,2,FALSE)</f>
        <v>14</v>
      </c>
      <c r="AA71" s="64" t="str">
        <f>IFERROR(VLOOKUP(L71,Размеры!A:D,4,FALSE),"")</f>
        <v>60</v>
      </c>
      <c r="AB71" s="75" t="str">
        <f>IF(LEFT(VLOOKUP(LOOKUP(2,1/SEARCH(G71,Товары!A:A),Товары!A:A),Товары!A:B,2,0),6)=LEFT(W71,6),"OK","НЕ НАЙДЕНО")</f>
        <v>OK</v>
      </c>
      <c r="AC71" s="20"/>
      <c r="AD71" s="56">
        <f>SUMIF(Группа!A:A,C71,Группа!C:C)</f>
        <v>1</v>
      </c>
      <c r="AE71" s="56">
        <f>SUMIF(Группа!B:B,R71,Группа!C:C)</f>
        <v>1</v>
      </c>
      <c r="AF71" s="56">
        <f>SUMIF(Формы!A:A,D71,Формы!B:B)</f>
        <v>1</v>
      </c>
      <c r="AG71" s="56">
        <f>SUMIF(Материал!A:A,E71,Материал!B:B)</f>
        <v>1</v>
      </c>
      <c r="AH71" s="56">
        <f>SUMIF(Размеры!A:A,L71,Размеры!E:E)</f>
        <v>1</v>
      </c>
      <c r="AI71" s="56">
        <f>SUMIF(Сезон!A:A,J71,Сезон!B:B)</f>
        <v>1</v>
      </c>
      <c r="AJ71" s="56">
        <f>SUMIF(Состав!A:A,K71,Состав!B:B)</f>
        <v>0</v>
      </c>
      <c r="AK71" s="56">
        <f>SUMIF(ЦветПолный!A:A,I71,ЦветПолный!C:C)</f>
        <v>14</v>
      </c>
      <c r="AL71" s="56">
        <f>SUMIF(Цвет!A:A,V71,Цвет!B:B)</f>
        <v>1</v>
      </c>
      <c r="AM71" s="56">
        <f>SUMIF(Пол!B:B,F71,Пол!C:C)</f>
        <v>1</v>
      </c>
      <c r="AN71" s="56">
        <f>SUMIF(Марка!A:A,A71,Марка!B:B)</f>
        <v>1</v>
      </c>
      <c r="AO71" s="56">
        <f>SUMIF(Страна!A:A,M71,Страна!B:B)</f>
        <v>1</v>
      </c>
      <c r="AP71" s="68" t="str">
        <f>IF(VLOOKUP(U71,Товары!A:B,2,FALSE)=W71,"Есть в 1С","ERR")</f>
        <v>Есть в 1С</v>
      </c>
      <c r="AQ71" s="68" t="str">
        <f>IF(VLOOKUP(W71,Товары!B:B,1,FALSE)=W71,"Есть в 1С","ERR")</f>
        <v>Есть в 1С</v>
      </c>
      <c r="AS71" s="58" t="str">
        <f>VLOOKUP(U71,Товары!A:B,2,FALSE)</f>
        <v>02-070-14</v>
      </c>
      <c r="AT71" s="60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48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1" t="str">
        <f t="shared" si="6"/>
        <v>02-070-14</v>
      </c>
      <c r="X72" s="70"/>
      <c r="Y72" s="73" t="s">
        <v>36751</v>
      </c>
      <c r="Z72" s="64" t="str">
        <f>VLOOKUP(I72,ЦветПолный!A:B,2,FALSE)</f>
        <v>14</v>
      </c>
      <c r="AA72" s="64" t="str">
        <f>IFERROR(VLOOKUP(L72,Размеры!A:D,4,FALSE),"")</f>
        <v>61</v>
      </c>
      <c r="AB72" s="75" t="str">
        <f>IF(LEFT(VLOOKUP(LOOKUP(2,1/SEARCH(G72,Товары!A:A),Товары!A:A),Товары!A:B,2,0),6)=LEFT(W72,6),"OK","НЕ НАЙДЕНО")</f>
        <v>OK</v>
      </c>
      <c r="AC72" s="20"/>
      <c r="AD72" s="56">
        <f>SUMIF(Группа!A:A,C72,Группа!C:C)</f>
        <v>1</v>
      </c>
      <c r="AE72" s="56">
        <f>SUMIF(Группа!B:B,R72,Группа!C:C)</f>
        <v>1</v>
      </c>
      <c r="AF72" s="56">
        <f>SUMIF(Формы!A:A,D72,Формы!B:B)</f>
        <v>1</v>
      </c>
      <c r="AG72" s="56">
        <f>SUMIF(Материал!A:A,E72,Материал!B:B)</f>
        <v>1</v>
      </c>
      <c r="AH72" s="56">
        <f>SUMIF(Размеры!A:A,L72,Размеры!E:E)</f>
        <v>1</v>
      </c>
      <c r="AI72" s="56">
        <f>SUMIF(Сезон!A:A,J72,Сезон!B:B)</f>
        <v>1</v>
      </c>
      <c r="AJ72" s="56">
        <f>SUMIF(Состав!A:A,K72,Состав!B:B)</f>
        <v>0</v>
      </c>
      <c r="AK72" s="56">
        <f>SUMIF(ЦветПолный!A:A,I72,ЦветПолный!C:C)</f>
        <v>14</v>
      </c>
      <c r="AL72" s="56">
        <f>SUMIF(Цвет!A:A,V72,Цвет!B:B)</f>
        <v>1</v>
      </c>
      <c r="AM72" s="56">
        <f>SUMIF(Пол!B:B,F72,Пол!C:C)</f>
        <v>1</v>
      </c>
      <c r="AN72" s="56">
        <f>SUMIF(Марка!A:A,A72,Марка!B:B)</f>
        <v>1</v>
      </c>
      <c r="AO72" s="56">
        <f>SUMIF(Страна!A:A,M72,Страна!B:B)</f>
        <v>1</v>
      </c>
      <c r="AP72" s="68" t="str">
        <f>IF(VLOOKUP(U72,Товары!A:B,2,FALSE)=W72,"Есть в 1С","ERR")</f>
        <v>Есть в 1С</v>
      </c>
      <c r="AQ72" s="68" t="str">
        <f>IF(VLOOKUP(W72,Товары!B:B,1,FALSE)=W72,"Есть в 1С","ERR")</f>
        <v>Есть в 1С</v>
      </c>
      <c r="AS72" s="58" t="str">
        <f>VLOOKUP(U72,Товары!A:B,2,FALSE)</f>
        <v>02-070-14</v>
      </c>
      <c r="AT72" s="60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48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1" t="str">
        <f t="shared" si="6"/>
        <v>02-070-14</v>
      </c>
      <c r="X73" s="70"/>
      <c r="Y73" s="73" t="s">
        <v>36752</v>
      </c>
      <c r="Z73" s="64" t="str">
        <f>VLOOKUP(I73,ЦветПолный!A:B,2,FALSE)</f>
        <v>14</v>
      </c>
      <c r="AA73" s="64" t="str">
        <f>IFERROR(VLOOKUP(L73,Размеры!A:D,4,FALSE),"")</f>
        <v>62</v>
      </c>
      <c r="AB73" s="75" t="str">
        <f>IF(LEFT(VLOOKUP(LOOKUP(2,1/SEARCH(G73,Товары!A:A),Товары!A:A),Товары!A:B,2,0),6)=LEFT(W73,6),"OK","НЕ НАЙДЕНО")</f>
        <v>OK</v>
      </c>
      <c r="AC73" s="20"/>
      <c r="AD73" s="56">
        <f>SUMIF(Группа!A:A,C73,Группа!C:C)</f>
        <v>1</v>
      </c>
      <c r="AE73" s="56">
        <f>SUMIF(Группа!B:B,R73,Группа!C:C)</f>
        <v>1</v>
      </c>
      <c r="AF73" s="56">
        <f>SUMIF(Формы!A:A,D73,Формы!B:B)</f>
        <v>1</v>
      </c>
      <c r="AG73" s="56">
        <f>SUMIF(Материал!A:A,E73,Материал!B:B)</f>
        <v>1</v>
      </c>
      <c r="AH73" s="56">
        <f>SUMIF(Размеры!A:A,L73,Размеры!E:E)</f>
        <v>1</v>
      </c>
      <c r="AI73" s="56">
        <f>SUMIF(Сезон!A:A,J73,Сезон!B:B)</f>
        <v>1</v>
      </c>
      <c r="AJ73" s="56">
        <f>SUMIF(Состав!A:A,K73,Состав!B:B)</f>
        <v>0</v>
      </c>
      <c r="AK73" s="56">
        <f>SUMIF(ЦветПолный!A:A,I73,ЦветПолный!C:C)</f>
        <v>14</v>
      </c>
      <c r="AL73" s="56">
        <f>SUMIF(Цвет!A:A,V73,Цвет!B:B)</f>
        <v>1</v>
      </c>
      <c r="AM73" s="56">
        <f>SUMIF(Пол!B:B,F73,Пол!C:C)</f>
        <v>1</v>
      </c>
      <c r="AN73" s="56">
        <f>SUMIF(Марка!A:A,A73,Марка!B:B)</f>
        <v>1</v>
      </c>
      <c r="AO73" s="56">
        <f>SUMIF(Страна!A:A,M73,Страна!B:B)</f>
        <v>1</v>
      </c>
      <c r="AP73" s="68" t="str">
        <f>IF(VLOOKUP(U73,Товары!A:B,2,FALSE)=W73,"Есть в 1С","ERR")</f>
        <v>Есть в 1С</v>
      </c>
      <c r="AQ73" s="68" t="str">
        <f>IF(VLOOKUP(W73,Товары!B:B,1,FALSE)=W73,"Есть в 1С","ERR")</f>
        <v>Есть в 1С</v>
      </c>
      <c r="AS73" s="58" t="str">
        <f>VLOOKUP(U73,Товары!A:B,2,FALSE)</f>
        <v>02-070-14</v>
      </c>
      <c r="AT73" s="60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48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1" t="str">
        <f t="shared" si="6"/>
        <v>02-070-14</v>
      </c>
      <c r="X74" s="70"/>
      <c r="Y74" s="73" t="s">
        <v>36753</v>
      </c>
      <c r="Z74" s="64" t="str">
        <f>VLOOKUP(I74,ЦветПолный!A:B,2,FALSE)</f>
        <v>14</v>
      </c>
      <c r="AA74" s="64" t="str">
        <f>IFERROR(VLOOKUP(L74,Размеры!A:D,4,FALSE),"")</f>
        <v>63</v>
      </c>
      <c r="AB74" s="75" t="str">
        <f>IF(LEFT(VLOOKUP(LOOKUP(2,1/SEARCH(G74,Товары!A:A),Товары!A:A),Товары!A:B,2,0),6)=LEFT(W74,6),"OK","НЕ НАЙДЕНО")</f>
        <v>OK</v>
      </c>
      <c r="AC74" s="20"/>
      <c r="AD74" s="56">
        <f>SUMIF(Группа!A:A,C74,Группа!C:C)</f>
        <v>1</v>
      </c>
      <c r="AE74" s="56">
        <f>SUMIF(Группа!B:B,R74,Группа!C:C)</f>
        <v>1</v>
      </c>
      <c r="AF74" s="56">
        <f>SUMIF(Формы!A:A,D74,Формы!B:B)</f>
        <v>1</v>
      </c>
      <c r="AG74" s="56">
        <f>SUMIF(Материал!A:A,E74,Материал!B:B)</f>
        <v>1</v>
      </c>
      <c r="AH74" s="56">
        <f>SUMIF(Размеры!A:A,L74,Размеры!E:E)</f>
        <v>1</v>
      </c>
      <c r="AI74" s="56">
        <f>SUMIF(Сезон!A:A,J74,Сезон!B:B)</f>
        <v>1</v>
      </c>
      <c r="AJ74" s="56">
        <f>SUMIF(Состав!A:A,K74,Состав!B:B)</f>
        <v>0</v>
      </c>
      <c r="AK74" s="56">
        <f>SUMIF(ЦветПолный!A:A,I74,ЦветПолный!C:C)</f>
        <v>14</v>
      </c>
      <c r="AL74" s="56">
        <f>SUMIF(Цвет!A:A,V74,Цвет!B:B)</f>
        <v>1</v>
      </c>
      <c r="AM74" s="56">
        <f>SUMIF(Пол!B:B,F74,Пол!C:C)</f>
        <v>1</v>
      </c>
      <c r="AN74" s="56">
        <f>SUMIF(Марка!A:A,A74,Марка!B:B)</f>
        <v>1</v>
      </c>
      <c r="AO74" s="56">
        <f>SUMIF(Страна!A:A,M74,Страна!B:B)</f>
        <v>1</v>
      </c>
      <c r="AP74" s="68" t="str">
        <f>IF(VLOOKUP(U74,Товары!A:B,2,FALSE)=W74,"Есть в 1С","ERR")</f>
        <v>Есть в 1С</v>
      </c>
      <c r="AQ74" s="68" t="str">
        <f>IF(VLOOKUP(W74,Товары!B:B,1,FALSE)=W74,"Есть в 1С","ERR")</f>
        <v>Есть в 1С</v>
      </c>
      <c r="AS74" s="58" t="str">
        <f>VLOOKUP(U74,Товары!A:B,2,FALSE)</f>
        <v>02-070-14</v>
      </c>
      <c r="AT74" s="60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48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1" t="str">
        <f t="shared" si="6"/>
        <v>02-091-09</v>
      </c>
      <c r="X75" s="70"/>
      <c r="Y75" s="73" t="s">
        <v>36754</v>
      </c>
      <c r="Z75" s="64" t="str">
        <f>VLOOKUP(I75,ЦветПолный!A:B,2,FALSE)</f>
        <v>09</v>
      </c>
      <c r="AA75" s="64" t="str">
        <f>IFERROR(VLOOKUP(L75,Размеры!A:D,4,FALSE),"")</f>
        <v>57</v>
      </c>
      <c r="AB75" s="75" t="str">
        <f>IF(LEFT(VLOOKUP(LOOKUP(2,1/SEARCH(G75,Товары!A:A),Товары!A:A),Товары!A:B,2,0),6)=LEFT(W75,6),"OK","НЕ НАЙДЕНО")</f>
        <v>OK</v>
      </c>
      <c r="AC75" s="20"/>
      <c r="AD75" s="56">
        <f>SUMIF(Группа!A:A,C75,Группа!C:C)</f>
        <v>1</v>
      </c>
      <c r="AE75" s="56">
        <f>SUMIF(Группа!B:B,R75,Группа!C:C)</f>
        <v>1</v>
      </c>
      <c r="AF75" s="56">
        <f>SUMIF(Формы!A:A,D75,Формы!B:B)</f>
        <v>1</v>
      </c>
      <c r="AG75" s="56">
        <f>SUMIF(Материал!A:A,E75,Материал!B:B)</f>
        <v>1</v>
      </c>
      <c r="AH75" s="56">
        <f>SUMIF(Размеры!A:A,L75,Размеры!E:E)</f>
        <v>1</v>
      </c>
      <c r="AI75" s="56">
        <f>SUMIF(Сезон!A:A,J75,Сезон!B:B)</f>
        <v>1</v>
      </c>
      <c r="AJ75" s="56">
        <f>SUMIF(Состав!A:A,K75,Состав!B:B)</f>
        <v>0</v>
      </c>
      <c r="AK75" s="56">
        <f>SUMIF(ЦветПолный!A:A,I75,ЦветПолный!C:C)</f>
        <v>11</v>
      </c>
      <c r="AL75" s="56">
        <f>SUMIF(Цвет!A:A,V75,Цвет!B:B)</f>
        <v>1</v>
      </c>
      <c r="AM75" s="56">
        <f>SUMIF(Пол!B:B,F75,Пол!C:C)</f>
        <v>1</v>
      </c>
      <c r="AN75" s="56">
        <f>SUMIF(Марка!A:A,A75,Марка!B:B)</f>
        <v>1</v>
      </c>
      <c r="AO75" s="56">
        <f>SUMIF(Страна!A:A,M75,Страна!B:B)</f>
        <v>1</v>
      </c>
      <c r="AP75" s="68" t="str">
        <f>IF(VLOOKUP(U75,Товары!A:B,2,FALSE)=W75,"Есть в 1С","ERR")</f>
        <v>Есть в 1С</v>
      </c>
      <c r="AQ75" s="68" t="str">
        <f>IF(VLOOKUP(W75,Товары!B:B,1,FALSE)=W75,"Есть в 1С","ERR")</f>
        <v>Есть в 1С</v>
      </c>
      <c r="AS75" s="58" t="str">
        <f>VLOOKUP(U75,Товары!A:B,2,FALSE)</f>
        <v>02-091-09</v>
      </c>
      <c r="AT75" s="60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48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1" t="str">
        <f t="shared" si="6"/>
        <v>02-091-09</v>
      </c>
      <c r="X76" s="70"/>
      <c r="Y76" s="73" t="s">
        <v>36755</v>
      </c>
      <c r="Z76" s="64" t="str">
        <f>VLOOKUP(I76,ЦветПолный!A:B,2,FALSE)</f>
        <v>09</v>
      </c>
      <c r="AA76" s="64" t="str">
        <f>IFERROR(VLOOKUP(L76,Размеры!A:D,4,FALSE),"")</f>
        <v>58</v>
      </c>
      <c r="AB76" s="75" t="str">
        <f>IF(LEFT(VLOOKUP(LOOKUP(2,1/SEARCH(G76,Товары!A:A),Товары!A:A),Товары!A:B,2,0),6)=LEFT(W76,6),"OK","НЕ НАЙДЕНО")</f>
        <v>OK</v>
      </c>
      <c r="AC76" s="20"/>
      <c r="AD76" s="56">
        <f>SUMIF(Группа!A:A,C76,Группа!C:C)</f>
        <v>1</v>
      </c>
      <c r="AE76" s="56">
        <f>SUMIF(Группа!B:B,R76,Группа!C:C)</f>
        <v>1</v>
      </c>
      <c r="AF76" s="56">
        <f>SUMIF(Формы!A:A,D76,Формы!B:B)</f>
        <v>1</v>
      </c>
      <c r="AG76" s="56">
        <f>SUMIF(Материал!A:A,E76,Материал!B:B)</f>
        <v>1</v>
      </c>
      <c r="AH76" s="56">
        <f>SUMIF(Размеры!A:A,L76,Размеры!E:E)</f>
        <v>1</v>
      </c>
      <c r="AI76" s="56">
        <f>SUMIF(Сезон!A:A,J76,Сезон!B:B)</f>
        <v>1</v>
      </c>
      <c r="AJ76" s="56">
        <f>SUMIF(Состав!A:A,K76,Состав!B:B)</f>
        <v>0</v>
      </c>
      <c r="AK76" s="56">
        <f>SUMIF(ЦветПолный!A:A,I76,ЦветПолный!C:C)</f>
        <v>11</v>
      </c>
      <c r="AL76" s="56">
        <f>SUMIF(Цвет!A:A,V76,Цвет!B:B)</f>
        <v>1</v>
      </c>
      <c r="AM76" s="56">
        <f>SUMIF(Пол!B:B,F76,Пол!C:C)</f>
        <v>1</v>
      </c>
      <c r="AN76" s="56">
        <f>SUMIF(Марка!A:A,A76,Марка!B:B)</f>
        <v>1</v>
      </c>
      <c r="AO76" s="56">
        <f>SUMIF(Страна!A:A,M76,Страна!B:B)</f>
        <v>1</v>
      </c>
      <c r="AP76" s="68" t="str">
        <f>IF(VLOOKUP(U76,Товары!A:B,2,FALSE)=W76,"Есть в 1С","ERR")</f>
        <v>Есть в 1С</v>
      </c>
      <c r="AQ76" s="68" t="str">
        <f>IF(VLOOKUP(W76,Товары!B:B,1,FALSE)=W76,"Есть в 1С","ERR")</f>
        <v>Есть в 1С</v>
      </c>
      <c r="AS76" s="58" t="str">
        <f>VLOOKUP(U76,Товары!A:B,2,FALSE)</f>
        <v>02-091-09</v>
      </c>
      <c r="AT76" s="60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48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1" t="str">
        <f t="shared" si="6"/>
        <v>02-091-09</v>
      </c>
      <c r="X77" s="70"/>
      <c r="Y77" s="73" t="s">
        <v>36756</v>
      </c>
      <c r="Z77" s="64" t="str">
        <f>VLOOKUP(I77,ЦветПолный!A:B,2,FALSE)</f>
        <v>09</v>
      </c>
      <c r="AA77" s="64" t="str">
        <f>IFERROR(VLOOKUP(L77,Размеры!A:D,4,FALSE),"")</f>
        <v>59</v>
      </c>
      <c r="AB77" s="75" t="str">
        <f>IF(LEFT(VLOOKUP(LOOKUP(2,1/SEARCH(G77,Товары!A:A),Товары!A:A),Товары!A:B,2,0),6)=LEFT(W77,6),"OK","НЕ НАЙДЕНО")</f>
        <v>OK</v>
      </c>
      <c r="AC77" s="20"/>
      <c r="AD77" s="56">
        <f>SUMIF(Группа!A:A,C77,Группа!C:C)</f>
        <v>1</v>
      </c>
      <c r="AE77" s="56">
        <f>SUMIF(Группа!B:B,R77,Группа!C:C)</f>
        <v>1</v>
      </c>
      <c r="AF77" s="56">
        <f>SUMIF(Формы!A:A,D77,Формы!B:B)</f>
        <v>1</v>
      </c>
      <c r="AG77" s="56">
        <f>SUMIF(Материал!A:A,E77,Материал!B:B)</f>
        <v>1</v>
      </c>
      <c r="AH77" s="56">
        <f>SUMIF(Размеры!A:A,L77,Размеры!E:E)</f>
        <v>1</v>
      </c>
      <c r="AI77" s="56">
        <f>SUMIF(Сезон!A:A,J77,Сезон!B:B)</f>
        <v>1</v>
      </c>
      <c r="AJ77" s="56">
        <f>SUMIF(Состав!A:A,K77,Состав!B:B)</f>
        <v>0</v>
      </c>
      <c r="AK77" s="56">
        <f>SUMIF(ЦветПолный!A:A,I77,ЦветПолный!C:C)</f>
        <v>11</v>
      </c>
      <c r="AL77" s="56">
        <f>SUMIF(Цвет!A:A,V77,Цвет!B:B)</f>
        <v>1</v>
      </c>
      <c r="AM77" s="56">
        <f>SUMIF(Пол!B:B,F77,Пол!C:C)</f>
        <v>1</v>
      </c>
      <c r="AN77" s="56">
        <f>SUMIF(Марка!A:A,A77,Марка!B:B)</f>
        <v>1</v>
      </c>
      <c r="AO77" s="56">
        <f>SUMIF(Страна!A:A,M77,Страна!B:B)</f>
        <v>1</v>
      </c>
      <c r="AP77" s="68" t="str">
        <f>IF(VLOOKUP(U77,Товары!A:B,2,FALSE)=W77,"Есть в 1С","ERR")</f>
        <v>Есть в 1С</v>
      </c>
      <c r="AQ77" s="68" t="str">
        <f>IF(VLOOKUP(W77,Товары!B:B,1,FALSE)=W77,"Есть в 1С","ERR")</f>
        <v>Есть в 1С</v>
      </c>
      <c r="AS77" s="58" t="str">
        <f>VLOOKUP(U77,Товары!A:B,2,FALSE)</f>
        <v>02-091-09</v>
      </c>
      <c r="AT77" s="60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48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1" t="str">
        <f t="shared" si="6"/>
        <v>02-091-09</v>
      </c>
      <c r="X78" s="70"/>
      <c r="Y78" s="73" t="s">
        <v>36757</v>
      </c>
      <c r="Z78" s="64" t="str">
        <f>VLOOKUP(I78,ЦветПолный!A:B,2,FALSE)</f>
        <v>09</v>
      </c>
      <c r="AA78" s="64" t="str">
        <f>IFERROR(VLOOKUP(L78,Размеры!A:D,4,FALSE),"")</f>
        <v>60</v>
      </c>
      <c r="AB78" s="75" t="str">
        <f>IF(LEFT(VLOOKUP(LOOKUP(2,1/SEARCH(G78,Товары!A:A),Товары!A:A),Товары!A:B,2,0),6)=LEFT(W78,6),"OK","НЕ НАЙДЕНО")</f>
        <v>OK</v>
      </c>
      <c r="AC78" s="20"/>
      <c r="AD78" s="56">
        <f>SUMIF(Группа!A:A,C78,Группа!C:C)</f>
        <v>1</v>
      </c>
      <c r="AE78" s="56">
        <f>SUMIF(Группа!B:B,R78,Группа!C:C)</f>
        <v>1</v>
      </c>
      <c r="AF78" s="56">
        <f>SUMIF(Формы!A:A,D78,Формы!B:B)</f>
        <v>1</v>
      </c>
      <c r="AG78" s="56">
        <f>SUMIF(Материал!A:A,E78,Материал!B:B)</f>
        <v>1</v>
      </c>
      <c r="AH78" s="56">
        <f>SUMIF(Размеры!A:A,L78,Размеры!E:E)</f>
        <v>1</v>
      </c>
      <c r="AI78" s="56">
        <f>SUMIF(Сезон!A:A,J78,Сезон!B:B)</f>
        <v>1</v>
      </c>
      <c r="AJ78" s="56">
        <f>SUMIF(Состав!A:A,K78,Состав!B:B)</f>
        <v>0</v>
      </c>
      <c r="AK78" s="56">
        <f>SUMIF(ЦветПолный!A:A,I78,ЦветПолный!C:C)</f>
        <v>11</v>
      </c>
      <c r="AL78" s="56">
        <f>SUMIF(Цвет!A:A,V78,Цвет!B:B)</f>
        <v>1</v>
      </c>
      <c r="AM78" s="56">
        <f>SUMIF(Пол!B:B,F78,Пол!C:C)</f>
        <v>1</v>
      </c>
      <c r="AN78" s="56">
        <f>SUMIF(Марка!A:A,A78,Марка!B:B)</f>
        <v>1</v>
      </c>
      <c r="AO78" s="56">
        <f>SUMIF(Страна!A:A,M78,Страна!B:B)</f>
        <v>1</v>
      </c>
      <c r="AP78" s="68" t="str">
        <f>IF(VLOOKUP(U78,Товары!A:B,2,FALSE)=W78,"Есть в 1С","ERR")</f>
        <v>Есть в 1С</v>
      </c>
      <c r="AQ78" s="68" t="str">
        <f>IF(VLOOKUP(W78,Товары!B:B,1,FALSE)=W78,"Есть в 1С","ERR")</f>
        <v>Есть в 1С</v>
      </c>
      <c r="AS78" s="58" t="str">
        <f>VLOOKUP(U78,Товары!A:B,2,FALSE)</f>
        <v>02-091-09</v>
      </c>
      <c r="AT78" s="60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48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1" t="str">
        <f t="shared" si="6"/>
        <v>02-091-09</v>
      </c>
      <c r="X79" s="70"/>
      <c r="Y79" s="73" t="s">
        <v>36758</v>
      </c>
      <c r="Z79" s="64" t="str">
        <f>VLOOKUP(I79,ЦветПолный!A:B,2,FALSE)</f>
        <v>09</v>
      </c>
      <c r="AA79" s="64" t="str">
        <f>IFERROR(VLOOKUP(L79,Размеры!A:D,4,FALSE),"")</f>
        <v>61</v>
      </c>
      <c r="AB79" s="75" t="str">
        <f>IF(LEFT(VLOOKUP(LOOKUP(2,1/SEARCH(G79,Товары!A:A),Товары!A:A),Товары!A:B,2,0),6)=LEFT(W79,6),"OK","НЕ НАЙДЕНО")</f>
        <v>OK</v>
      </c>
      <c r="AC79" s="20"/>
      <c r="AD79" s="56">
        <f>SUMIF(Группа!A:A,C79,Группа!C:C)</f>
        <v>1</v>
      </c>
      <c r="AE79" s="56">
        <f>SUMIF(Группа!B:B,R79,Группа!C:C)</f>
        <v>1</v>
      </c>
      <c r="AF79" s="56">
        <f>SUMIF(Формы!A:A,D79,Формы!B:B)</f>
        <v>1</v>
      </c>
      <c r="AG79" s="56">
        <f>SUMIF(Материал!A:A,E79,Материал!B:B)</f>
        <v>1</v>
      </c>
      <c r="AH79" s="56">
        <f>SUMIF(Размеры!A:A,L79,Размеры!E:E)</f>
        <v>1</v>
      </c>
      <c r="AI79" s="56">
        <f>SUMIF(Сезон!A:A,J79,Сезон!B:B)</f>
        <v>1</v>
      </c>
      <c r="AJ79" s="56">
        <f>SUMIF(Состав!A:A,K79,Состав!B:B)</f>
        <v>0</v>
      </c>
      <c r="AK79" s="56">
        <f>SUMIF(ЦветПолный!A:A,I79,ЦветПолный!C:C)</f>
        <v>11</v>
      </c>
      <c r="AL79" s="56">
        <f>SUMIF(Цвет!A:A,V79,Цвет!B:B)</f>
        <v>1</v>
      </c>
      <c r="AM79" s="56">
        <f>SUMIF(Пол!B:B,F79,Пол!C:C)</f>
        <v>1</v>
      </c>
      <c r="AN79" s="56">
        <f>SUMIF(Марка!A:A,A79,Марка!B:B)</f>
        <v>1</v>
      </c>
      <c r="AO79" s="56">
        <f>SUMIF(Страна!A:A,M79,Страна!B:B)</f>
        <v>1</v>
      </c>
      <c r="AP79" s="68" t="str">
        <f>IF(VLOOKUP(U79,Товары!A:B,2,FALSE)=W79,"Есть в 1С","ERR")</f>
        <v>Есть в 1С</v>
      </c>
      <c r="AQ79" s="68" t="str">
        <f>IF(VLOOKUP(W79,Товары!B:B,1,FALSE)=W79,"Есть в 1С","ERR")</f>
        <v>Есть в 1С</v>
      </c>
      <c r="AS79" s="58" t="str">
        <f>VLOOKUP(U79,Товары!A:B,2,FALSE)</f>
        <v>02-091-09</v>
      </c>
      <c r="AT79" s="60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48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0" t="s">
        <v>27</v>
      </c>
      <c r="W80" s="51" t="str">
        <f t="shared" si="6"/>
        <v>02-091-16</v>
      </c>
      <c r="X80" s="70"/>
      <c r="Y80" s="73" t="s">
        <v>36759</v>
      </c>
      <c r="Z80" s="64" t="str">
        <f>VLOOKUP(I80,ЦветПолный!A:B,2,FALSE)</f>
        <v>06</v>
      </c>
      <c r="AA80" s="64" t="str">
        <f>IFERROR(VLOOKUP(L80,Размеры!A:D,4,FALSE),"")</f>
        <v>57</v>
      </c>
      <c r="AB80" s="75" t="str">
        <f>IF(LEFT(VLOOKUP(LOOKUP(2,1/SEARCH(G80,Товары!A:A),Товары!A:A),Товары!A:B,2,0),6)=LEFT(W80,6),"OK","НЕ НАЙДЕНО")</f>
        <v>OK</v>
      </c>
      <c r="AC80" s="20"/>
      <c r="AD80" s="56">
        <f>SUMIF(Группа!A:A,C80,Группа!C:C)</f>
        <v>1</v>
      </c>
      <c r="AE80" s="56">
        <f>SUMIF(Группа!B:B,R80,Группа!C:C)</f>
        <v>1</v>
      </c>
      <c r="AF80" s="56">
        <f>SUMIF(Формы!A:A,D80,Формы!B:B)</f>
        <v>1</v>
      </c>
      <c r="AG80" s="56">
        <f>SUMIF(Материал!A:A,E80,Материал!B:B)</f>
        <v>1</v>
      </c>
      <c r="AH80" s="56">
        <f>SUMIF(Размеры!A:A,L80,Размеры!E:E)</f>
        <v>1</v>
      </c>
      <c r="AI80" s="56">
        <f>SUMIF(Сезон!A:A,J80,Сезон!B:B)</f>
        <v>1</v>
      </c>
      <c r="AJ80" s="56">
        <f>SUMIF(Состав!A:A,K80,Состав!B:B)</f>
        <v>0</v>
      </c>
      <c r="AK80" s="56">
        <f>SUMIF(ЦветПолный!A:A,I80,ЦветПолный!C:C)</f>
        <v>8</v>
      </c>
      <c r="AL80" s="56">
        <f>SUMIF(Цвет!A:A,V80,Цвет!B:B)</f>
        <v>1</v>
      </c>
      <c r="AM80" s="56">
        <f>SUMIF(Пол!B:B,F80,Пол!C:C)</f>
        <v>1</v>
      </c>
      <c r="AN80" s="56">
        <f>SUMIF(Марка!A:A,A80,Марка!B:B)</f>
        <v>1</v>
      </c>
      <c r="AO80" s="56">
        <f>SUMIF(Страна!A:A,M80,Страна!B:B)</f>
        <v>1</v>
      </c>
      <c r="AP80" s="68" t="str">
        <f>IF(VLOOKUP(U80,Товары!A:B,2,FALSE)=W80,"Есть в 1С","ERR")</f>
        <v>Есть в 1С</v>
      </c>
      <c r="AQ80" s="68" t="str">
        <f>IF(VLOOKUP(W80,Товары!B:B,1,FALSE)=W80,"Есть в 1С","ERR")</f>
        <v>Есть в 1С</v>
      </c>
      <c r="AS80" s="58" t="str">
        <f>VLOOKUP(U80,Товары!A:B,2,FALSE)</f>
        <v>02-091-16</v>
      </c>
      <c r="AT80" s="60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48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0" t="s">
        <v>27</v>
      </c>
      <c r="W81" s="51" t="str">
        <f t="shared" si="6"/>
        <v>02-091-16</v>
      </c>
      <c r="X81" s="70"/>
      <c r="Y81" s="73" t="s">
        <v>36760</v>
      </c>
      <c r="Z81" s="64" t="str">
        <f>VLOOKUP(I81,ЦветПолный!A:B,2,FALSE)</f>
        <v>06</v>
      </c>
      <c r="AA81" s="64" t="str">
        <f>IFERROR(VLOOKUP(L81,Размеры!A:D,4,FALSE),"")</f>
        <v>58</v>
      </c>
      <c r="AB81" s="75" t="str">
        <f>IF(LEFT(VLOOKUP(LOOKUP(2,1/SEARCH(G81,Товары!A:A),Товары!A:A),Товары!A:B,2,0),6)=LEFT(W81,6),"OK","НЕ НАЙДЕНО")</f>
        <v>OK</v>
      </c>
      <c r="AC81" s="20"/>
      <c r="AD81" s="56">
        <f>SUMIF(Группа!A:A,C81,Группа!C:C)</f>
        <v>1</v>
      </c>
      <c r="AE81" s="56">
        <f>SUMIF(Группа!B:B,R81,Группа!C:C)</f>
        <v>1</v>
      </c>
      <c r="AF81" s="56">
        <f>SUMIF(Формы!A:A,D81,Формы!B:B)</f>
        <v>1</v>
      </c>
      <c r="AG81" s="56">
        <f>SUMIF(Материал!A:A,E81,Материал!B:B)</f>
        <v>1</v>
      </c>
      <c r="AH81" s="56">
        <f>SUMIF(Размеры!A:A,L81,Размеры!E:E)</f>
        <v>1</v>
      </c>
      <c r="AI81" s="56">
        <f>SUMIF(Сезон!A:A,J81,Сезон!B:B)</f>
        <v>1</v>
      </c>
      <c r="AJ81" s="56">
        <f>SUMIF(Состав!A:A,K81,Состав!B:B)</f>
        <v>0</v>
      </c>
      <c r="AK81" s="56">
        <f>SUMIF(ЦветПолный!A:A,I81,ЦветПолный!C:C)</f>
        <v>8</v>
      </c>
      <c r="AL81" s="56">
        <f>SUMIF(Цвет!A:A,V81,Цвет!B:B)</f>
        <v>1</v>
      </c>
      <c r="AM81" s="56">
        <f>SUMIF(Пол!B:B,F81,Пол!C:C)</f>
        <v>1</v>
      </c>
      <c r="AN81" s="56">
        <f>SUMIF(Марка!A:A,A81,Марка!B:B)</f>
        <v>1</v>
      </c>
      <c r="AO81" s="56">
        <f>SUMIF(Страна!A:A,M81,Страна!B:B)</f>
        <v>1</v>
      </c>
      <c r="AP81" s="68" t="str">
        <f>IF(VLOOKUP(U81,Товары!A:B,2,FALSE)=W81,"Есть в 1С","ERR")</f>
        <v>Есть в 1С</v>
      </c>
      <c r="AQ81" s="68" t="str">
        <f>IF(VLOOKUP(W81,Товары!B:B,1,FALSE)=W81,"Есть в 1С","ERR")</f>
        <v>Есть в 1С</v>
      </c>
      <c r="AS81" s="58" t="str">
        <f>VLOOKUP(U81,Товары!A:B,2,FALSE)</f>
        <v>02-091-16</v>
      </c>
      <c r="AT81" s="60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48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0" t="s">
        <v>27</v>
      </c>
      <c r="W82" s="51" t="str">
        <f t="shared" si="6"/>
        <v>02-091-16</v>
      </c>
      <c r="X82" s="70"/>
      <c r="Y82" s="73" t="s">
        <v>36761</v>
      </c>
      <c r="Z82" s="64" t="str">
        <f>VLOOKUP(I82,ЦветПолный!A:B,2,FALSE)</f>
        <v>06</v>
      </c>
      <c r="AA82" s="64" t="str">
        <f>IFERROR(VLOOKUP(L82,Размеры!A:D,4,FALSE),"")</f>
        <v>59</v>
      </c>
      <c r="AB82" s="75" t="str">
        <f>IF(LEFT(VLOOKUP(LOOKUP(2,1/SEARCH(G82,Товары!A:A),Товары!A:A),Товары!A:B,2,0),6)=LEFT(W82,6),"OK","НЕ НАЙДЕНО")</f>
        <v>OK</v>
      </c>
      <c r="AC82" s="20"/>
      <c r="AD82" s="56">
        <f>SUMIF(Группа!A:A,C82,Группа!C:C)</f>
        <v>1</v>
      </c>
      <c r="AE82" s="56">
        <f>SUMIF(Группа!B:B,R82,Группа!C:C)</f>
        <v>1</v>
      </c>
      <c r="AF82" s="56">
        <f>SUMIF(Формы!A:A,D82,Формы!B:B)</f>
        <v>1</v>
      </c>
      <c r="AG82" s="56">
        <f>SUMIF(Материал!A:A,E82,Материал!B:B)</f>
        <v>1</v>
      </c>
      <c r="AH82" s="56">
        <f>SUMIF(Размеры!A:A,L82,Размеры!E:E)</f>
        <v>1</v>
      </c>
      <c r="AI82" s="56">
        <f>SUMIF(Сезон!A:A,J82,Сезон!B:B)</f>
        <v>1</v>
      </c>
      <c r="AJ82" s="56">
        <f>SUMIF(Состав!A:A,K82,Состав!B:B)</f>
        <v>0</v>
      </c>
      <c r="AK82" s="56">
        <f>SUMIF(ЦветПолный!A:A,I82,ЦветПолный!C:C)</f>
        <v>8</v>
      </c>
      <c r="AL82" s="56">
        <f>SUMIF(Цвет!A:A,V82,Цвет!B:B)</f>
        <v>1</v>
      </c>
      <c r="AM82" s="56">
        <f>SUMIF(Пол!B:B,F82,Пол!C:C)</f>
        <v>1</v>
      </c>
      <c r="AN82" s="56">
        <f>SUMIF(Марка!A:A,A82,Марка!B:B)</f>
        <v>1</v>
      </c>
      <c r="AO82" s="56">
        <f>SUMIF(Страна!A:A,M82,Страна!B:B)</f>
        <v>1</v>
      </c>
      <c r="AP82" s="68" t="str">
        <f>IF(VLOOKUP(U82,Товары!A:B,2,FALSE)=W82,"Есть в 1С","ERR")</f>
        <v>Есть в 1С</v>
      </c>
      <c r="AQ82" s="68" t="str">
        <f>IF(VLOOKUP(W82,Товары!B:B,1,FALSE)=W82,"Есть в 1С","ERR")</f>
        <v>Есть в 1С</v>
      </c>
      <c r="AS82" s="58" t="str">
        <f>VLOOKUP(U82,Товары!A:B,2,FALSE)</f>
        <v>02-091-16</v>
      </c>
      <c r="AT82" s="60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48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0" t="s">
        <v>27</v>
      </c>
      <c r="W83" s="51" t="str">
        <f t="shared" si="6"/>
        <v>02-091-16</v>
      </c>
      <c r="X83" s="70"/>
      <c r="Y83" s="73" t="s">
        <v>36762</v>
      </c>
      <c r="Z83" s="64" t="str">
        <f>VLOOKUP(I83,ЦветПолный!A:B,2,FALSE)</f>
        <v>06</v>
      </c>
      <c r="AA83" s="64" t="str">
        <f>IFERROR(VLOOKUP(L83,Размеры!A:D,4,FALSE),"")</f>
        <v>60</v>
      </c>
      <c r="AB83" s="75" t="str">
        <f>IF(LEFT(VLOOKUP(LOOKUP(2,1/SEARCH(G83,Товары!A:A),Товары!A:A),Товары!A:B,2,0),6)=LEFT(W83,6),"OK","НЕ НАЙДЕНО")</f>
        <v>OK</v>
      </c>
      <c r="AC83" s="20"/>
      <c r="AD83" s="56">
        <f>SUMIF(Группа!A:A,C83,Группа!C:C)</f>
        <v>1</v>
      </c>
      <c r="AE83" s="56">
        <f>SUMIF(Группа!B:B,R83,Группа!C:C)</f>
        <v>1</v>
      </c>
      <c r="AF83" s="56">
        <f>SUMIF(Формы!A:A,D83,Формы!B:B)</f>
        <v>1</v>
      </c>
      <c r="AG83" s="56">
        <f>SUMIF(Материал!A:A,E83,Материал!B:B)</f>
        <v>1</v>
      </c>
      <c r="AH83" s="56">
        <f>SUMIF(Размеры!A:A,L83,Размеры!E:E)</f>
        <v>1</v>
      </c>
      <c r="AI83" s="56">
        <f>SUMIF(Сезон!A:A,J83,Сезон!B:B)</f>
        <v>1</v>
      </c>
      <c r="AJ83" s="56">
        <f>SUMIF(Состав!A:A,K83,Состав!B:B)</f>
        <v>0</v>
      </c>
      <c r="AK83" s="56">
        <f>SUMIF(ЦветПолный!A:A,I83,ЦветПолный!C:C)</f>
        <v>8</v>
      </c>
      <c r="AL83" s="56">
        <f>SUMIF(Цвет!A:A,V83,Цвет!B:B)</f>
        <v>1</v>
      </c>
      <c r="AM83" s="56">
        <f>SUMIF(Пол!B:B,F83,Пол!C:C)</f>
        <v>1</v>
      </c>
      <c r="AN83" s="56">
        <f>SUMIF(Марка!A:A,A83,Марка!B:B)</f>
        <v>1</v>
      </c>
      <c r="AO83" s="56">
        <f>SUMIF(Страна!A:A,M83,Страна!B:B)</f>
        <v>1</v>
      </c>
      <c r="AP83" s="68" t="str">
        <f>IF(VLOOKUP(U83,Товары!A:B,2,FALSE)=W83,"Есть в 1С","ERR")</f>
        <v>Есть в 1С</v>
      </c>
      <c r="AQ83" s="68" t="str">
        <f>IF(VLOOKUP(W83,Товары!B:B,1,FALSE)=W83,"Есть в 1С","ERR")</f>
        <v>Есть в 1С</v>
      </c>
      <c r="AS83" s="58" t="str">
        <f>VLOOKUP(U83,Товары!A:B,2,FALSE)</f>
        <v>02-091-16</v>
      </c>
      <c r="AT83" s="60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48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0" t="s">
        <v>27</v>
      </c>
      <c r="W84" s="51" t="str">
        <f t="shared" si="6"/>
        <v>02-091-16</v>
      </c>
      <c r="X84" s="70"/>
      <c r="Y84" s="73" t="s">
        <v>36763</v>
      </c>
      <c r="Z84" s="64" t="str">
        <f>VLOOKUP(I84,ЦветПолный!A:B,2,FALSE)</f>
        <v>06</v>
      </c>
      <c r="AA84" s="64" t="str">
        <f>IFERROR(VLOOKUP(L84,Размеры!A:D,4,FALSE),"")</f>
        <v>61</v>
      </c>
      <c r="AB84" s="75" t="str">
        <f>IF(LEFT(VLOOKUP(LOOKUP(2,1/SEARCH(G84,Товары!A:A),Товары!A:A),Товары!A:B,2,0),6)=LEFT(W84,6),"OK","НЕ НАЙДЕНО")</f>
        <v>OK</v>
      </c>
      <c r="AC84" s="20"/>
      <c r="AD84" s="56">
        <f>SUMIF(Группа!A:A,C84,Группа!C:C)</f>
        <v>1</v>
      </c>
      <c r="AE84" s="56">
        <f>SUMIF(Группа!B:B,R84,Группа!C:C)</f>
        <v>1</v>
      </c>
      <c r="AF84" s="56">
        <f>SUMIF(Формы!A:A,D84,Формы!B:B)</f>
        <v>1</v>
      </c>
      <c r="AG84" s="56">
        <f>SUMIF(Материал!A:A,E84,Материал!B:B)</f>
        <v>1</v>
      </c>
      <c r="AH84" s="56">
        <f>SUMIF(Размеры!A:A,L84,Размеры!E:E)</f>
        <v>1</v>
      </c>
      <c r="AI84" s="56">
        <f>SUMIF(Сезон!A:A,J84,Сезон!B:B)</f>
        <v>1</v>
      </c>
      <c r="AJ84" s="56">
        <f>SUMIF(Состав!A:A,K84,Состав!B:B)</f>
        <v>0</v>
      </c>
      <c r="AK84" s="56">
        <f>SUMIF(ЦветПолный!A:A,I84,ЦветПолный!C:C)</f>
        <v>8</v>
      </c>
      <c r="AL84" s="56">
        <f>SUMIF(Цвет!A:A,V84,Цвет!B:B)</f>
        <v>1</v>
      </c>
      <c r="AM84" s="56">
        <f>SUMIF(Пол!B:B,F84,Пол!C:C)</f>
        <v>1</v>
      </c>
      <c r="AN84" s="56">
        <f>SUMIF(Марка!A:A,A84,Марка!B:B)</f>
        <v>1</v>
      </c>
      <c r="AO84" s="56">
        <f>SUMIF(Страна!A:A,M84,Страна!B:B)</f>
        <v>1</v>
      </c>
      <c r="AP84" s="68" t="str">
        <f>IF(VLOOKUP(U84,Товары!A:B,2,FALSE)=W84,"Есть в 1С","ERR")</f>
        <v>Есть в 1С</v>
      </c>
      <c r="AQ84" s="68" t="str">
        <f>IF(VLOOKUP(W84,Товары!B:B,1,FALSE)=W84,"Есть в 1С","ERR")</f>
        <v>Есть в 1С</v>
      </c>
      <c r="AS84" s="58" t="str">
        <f>VLOOKUP(U84,Товары!A:B,2,FALSE)</f>
        <v>02-091-16</v>
      </c>
      <c r="AT84" s="60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48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0" t="s">
        <v>28</v>
      </c>
      <c r="W85" s="51" t="str">
        <f t="shared" si="6"/>
        <v>02-091-05</v>
      </c>
      <c r="X85" s="70"/>
      <c r="Y85" s="73" t="s">
        <v>36764</v>
      </c>
      <c r="Z85" s="64" t="str">
        <f>VLOOKUP(I85,ЦветПолный!A:B,2,FALSE)</f>
        <v>05</v>
      </c>
      <c r="AA85" s="64" t="str">
        <f>IFERROR(VLOOKUP(L85,Размеры!A:D,4,FALSE),"")</f>
        <v>57</v>
      </c>
      <c r="AB85" s="75" t="str">
        <f>IF(LEFT(VLOOKUP(LOOKUP(2,1/SEARCH(G85,Товары!A:A),Товары!A:A),Товары!A:B,2,0),6)=LEFT(W85,6),"OK","НЕ НАЙДЕНО")</f>
        <v>OK</v>
      </c>
      <c r="AC85" s="20"/>
      <c r="AD85" s="56">
        <f>SUMIF(Группа!A:A,C85,Группа!C:C)</f>
        <v>1</v>
      </c>
      <c r="AE85" s="56">
        <f>SUMIF(Группа!B:B,R85,Группа!C:C)</f>
        <v>1</v>
      </c>
      <c r="AF85" s="56">
        <f>SUMIF(Формы!A:A,D85,Формы!B:B)</f>
        <v>1</v>
      </c>
      <c r="AG85" s="56">
        <f>SUMIF(Материал!A:A,E85,Материал!B:B)</f>
        <v>1</v>
      </c>
      <c r="AH85" s="56">
        <f>SUMIF(Размеры!A:A,L85,Размеры!E:E)</f>
        <v>1</v>
      </c>
      <c r="AI85" s="56">
        <f>SUMIF(Сезон!A:A,J85,Сезон!B:B)</f>
        <v>1</v>
      </c>
      <c r="AJ85" s="56">
        <f>SUMIF(Состав!A:A,K85,Состав!B:B)</f>
        <v>0</v>
      </c>
      <c r="AK85" s="56">
        <f>SUMIF(ЦветПолный!A:A,I85,ЦветПолный!C:C)</f>
        <v>6</v>
      </c>
      <c r="AL85" s="56">
        <f>SUMIF(Цвет!A:A,V85,Цвет!B:B)</f>
        <v>1</v>
      </c>
      <c r="AM85" s="56">
        <f>SUMIF(Пол!B:B,F85,Пол!C:C)</f>
        <v>1</v>
      </c>
      <c r="AN85" s="56">
        <f>SUMIF(Марка!A:A,A85,Марка!B:B)</f>
        <v>1</v>
      </c>
      <c r="AO85" s="56">
        <f>SUMIF(Страна!A:A,M85,Страна!B:B)</f>
        <v>1</v>
      </c>
      <c r="AP85" s="68" t="str">
        <f>IF(VLOOKUP(U85,Товары!A:B,2,FALSE)=W85,"Есть в 1С","ERR")</f>
        <v>Есть в 1С</v>
      </c>
      <c r="AQ85" s="68" t="str">
        <f>IF(VLOOKUP(W85,Товары!B:B,1,FALSE)=W85,"Есть в 1С","ERR")</f>
        <v>Есть в 1С</v>
      </c>
      <c r="AS85" s="58" t="str">
        <f>VLOOKUP(U85,Товары!A:B,2,FALSE)</f>
        <v>02-091-05</v>
      </c>
      <c r="AT85" s="60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48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0" t="s">
        <v>28</v>
      </c>
      <c r="W86" s="51" t="str">
        <f t="shared" si="6"/>
        <v>02-091-05</v>
      </c>
      <c r="X86" s="70"/>
      <c r="Y86" s="73" t="s">
        <v>36765</v>
      </c>
      <c r="Z86" s="64" t="str">
        <f>VLOOKUP(I86,ЦветПолный!A:B,2,FALSE)</f>
        <v>05</v>
      </c>
      <c r="AA86" s="64" t="str">
        <f>IFERROR(VLOOKUP(L86,Размеры!A:D,4,FALSE),"")</f>
        <v>58</v>
      </c>
      <c r="AB86" s="75" t="str">
        <f>IF(LEFT(VLOOKUP(LOOKUP(2,1/SEARCH(G86,Товары!A:A),Товары!A:A),Товары!A:B,2,0),6)=LEFT(W86,6),"OK","НЕ НАЙДЕНО")</f>
        <v>OK</v>
      </c>
      <c r="AC86" s="20"/>
      <c r="AD86" s="56">
        <f>SUMIF(Группа!A:A,C86,Группа!C:C)</f>
        <v>1</v>
      </c>
      <c r="AE86" s="56">
        <f>SUMIF(Группа!B:B,R86,Группа!C:C)</f>
        <v>1</v>
      </c>
      <c r="AF86" s="56">
        <f>SUMIF(Формы!A:A,D86,Формы!B:B)</f>
        <v>1</v>
      </c>
      <c r="AG86" s="56">
        <f>SUMIF(Материал!A:A,E86,Материал!B:B)</f>
        <v>1</v>
      </c>
      <c r="AH86" s="56">
        <f>SUMIF(Размеры!A:A,L86,Размеры!E:E)</f>
        <v>1</v>
      </c>
      <c r="AI86" s="56">
        <f>SUMIF(Сезон!A:A,J86,Сезон!B:B)</f>
        <v>1</v>
      </c>
      <c r="AJ86" s="56">
        <f>SUMIF(Состав!A:A,K86,Состав!B:B)</f>
        <v>0</v>
      </c>
      <c r="AK86" s="56">
        <f>SUMIF(ЦветПолный!A:A,I86,ЦветПолный!C:C)</f>
        <v>6</v>
      </c>
      <c r="AL86" s="56">
        <f>SUMIF(Цвет!A:A,V86,Цвет!B:B)</f>
        <v>1</v>
      </c>
      <c r="AM86" s="56">
        <f>SUMIF(Пол!B:B,F86,Пол!C:C)</f>
        <v>1</v>
      </c>
      <c r="AN86" s="56">
        <f>SUMIF(Марка!A:A,A86,Марка!B:B)</f>
        <v>1</v>
      </c>
      <c r="AO86" s="56">
        <f>SUMIF(Страна!A:A,M86,Страна!B:B)</f>
        <v>1</v>
      </c>
      <c r="AP86" s="68" t="str">
        <f>IF(VLOOKUP(U86,Товары!A:B,2,FALSE)=W86,"Есть в 1С","ERR")</f>
        <v>Есть в 1С</v>
      </c>
      <c r="AQ86" s="68" t="str">
        <f>IF(VLOOKUP(W86,Товары!B:B,1,FALSE)=W86,"Есть в 1С","ERR")</f>
        <v>Есть в 1С</v>
      </c>
      <c r="AS86" s="58" t="str">
        <f>VLOOKUP(U86,Товары!A:B,2,FALSE)</f>
        <v>02-091-05</v>
      </c>
      <c r="AT86" s="60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48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0" t="s">
        <v>28</v>
      </c>
      <c r="W87" s="51" t="str">
        <f t="shared" si="6"/>
        <v>02-091-05</v>
      </c>
      <c r="X87" s="70"/>
      <c r="Y87" s="73" t="s">
        <v>36766</v>
      </c>
      <c r="Z87" s="64" t="str">
        <f>VLOOKUP(I87,ЦветПолный!A:B,2,FALSE)</f>
        <v>05</v>
      </c>
      <c r="AA87" s="64" t="str">
        <f>IFERROR(VLOOKUP(L87,Размеры!A:D,4,FALSE),"")</f>
        <v>59</v>
      </c>
      <c r="AB87" s="75" t="str">
        <f>IF(LEFT(VLOOKUP(LOOKUP(2,1/SEARCH(G87,Товары!A:A),Товары!A:A),Товары!A:B,2,0),6)=LEFT(W87,6),"OK","НЕ НАЙДЕНО")</f>
        <v>OK</v>
      </c>
      <c r="AC87" s="20"/>
      <c r="AD87" s="56">
        <f>SUMIF(Группа!A:A,C87,Группа!C:C)</f>
        <v>1</v>
      </c>
      <c r="AE87" s="56">
        <f>SUMIF(Группа!B:B,R87,Группа!C:C)</f>
        <v>1</v>
      </c>
      <c r="AF87" s="56">
        <f>SUMIF(Формы!A:A,D87,Формы!B:B)</f>
        <v>1</v>
      </c>
      <c r="AG87" s="56">
        <f>SUMIF(Материал!A:A,E87,Материал!B:B)</f>
        <v>1</v>
      </c>
      <c r="AH87" s="56">
        <f>SUMIF(Размеры!A:A,L87,Размеры!E:E)</f>
        <v>1</v>
      </c>
      <c r="AI87" s="56">
        <f>SUMIF(Сезон!A:A,J87,Сезон!B:B)</f>
        <v>1</v>
      </c>
      <c r="AJ87" s="56">
        <f>SUMIF(Состав!A:A,K87,Состав!B:B)</f>
        <v>0</v>
      </c>
      <c r="AK87" s="56">
        <f>SUMIF(ЦветПолный!A:A,I87,ЦветПолный!C:C)</f>
        <v>6</v>
      </c>
      <c r="AL87" s="56">
        <f>SUMIF(Цвет!A:A,V87,Цвет!B:B)</f>
        <v>1</v>
      </c>
      <c r="AM87" s="56">
        <f>SUMIF(Пол!B:B,F87,Пол!C:C)</f>
        <v>1</v>
      </c>
      <c r="AN87" s="56">
        <f>SUMIF(Марка!A:A,A87,Марка!B:B)</f>
        <v>1</v>
      </c>
      <c r="AO87" s="56">
        <f>SUMIF(Страна!A:A,M87,Страна!B:B)</f>
        <v>1</v>
      </c>
      <c r="AP87" s="68" t="str">
        <f>IF(VLOOKUP(U87,Товары!A:B,2,FALSE)=W87,"Есть в 1С","ERR")</f>
        <v>Есть в 1С</v>
      </c>
      <c r="AQ87" s="68" t="str">
        <f>IF(VLOOKUP(W87,Товары!B:B,1,FALSE)=W87,"Есть в 1С","ERR")</f>
        <v>Есть в 1С</v>
      </c>
      <c r="AS87" s="58" t="str">
        <f>VLOOKUP(U87,Товары!A:B,2,FALSE)</f>
        <v>02-091-05</v>
      </c>
      <c r="AT87" s="60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48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0" t="s">
        <v>28</v>
      </c>
      <c r="W88" s="51" t="str">
        <f t="shared" si="6"/>
        <v>02-091-05</v>
      </c>
      <c r="X88" s="70"/>
      <c r="Y88" s="73" t="s">
        <v>36767</v>
      </c>
      <c r="Z88" s="64" t="str">
        <f>VLOOKUP(I88,ЦветПолный!A:B,2,FALSE)</f>
        <v>05</v>
      </c>
      <c r="AA88" s="64" t="str">
        <f>IFERROR(VLOOKUP(L88,Размеры!A:D,4,FALSE),"")</f>
        <v>60</v>
      </c>
      <c r="AB88" s="75" t="str">
        <f>IF(LEFT(VLOOKUP(LOOKUP(2,1/SEARCH(G88,Товары!A:A),Товары!A:A),Товары!A:B,2,0),6)=LEFT(W88,6),"OK","НЕ НАЙДЕНО")</f>
        <v>OK</v>
      </c>
      <c r="AC88" s="20"/>
      <c r="AD88" s="56">
        <f>SUMIF(Группа!A:A,C88,Группа!C:C)</f>
        <v>1</v>
      </c>
      <c r="AE88" s="56">
        <f>SUMIF(Группа!B:B,R88,Группа!C:C)</f>
        <v>1</v>
      </c>
      <c r="AF88" s="56">
        <f>SUMIF(Формы!A:A,D88,Формы!B:B)</f>
        <v>1</v>
      </c>
      <c r="AG88" s="56">
        <f>SUMIF(Материал!A:A,E88,Материал!B:B)</f>
        <v>1</v>
      </c>
      <c r="AH88" s="56">
        <f>SUMIF(Размеры!A:A,L88,Размеры!E:E)</f>
        <v>1</v>
      </c>
      <c r="AI88" s="56">
        <f>SUMIF(Сезон!A:A,J88,Сезон!B:B)</f>
        <v>1</v>
      </c>
      <c r="AJ88" s="56">
        <f>SUMIF(Состав!A:A,K88,Состав!B:B)</f>
        <v>0</v>
      </c>
      <c r="AK88" s="56">
        <f>SUMIF(ЦветПолный!A:A,I88,ЦветПолный!C:C)</f>
        <v>6</v>
      </c>
      <c r="AL88" s="56">
        <f>SUMIF(Цвет!A:A,V88,Цвет!B:B)</f>
        <v>1</v>
      </c>
      <c r="AM88" s="56">
        <f>SUMIF(Пол!B:B,F88,Пол!C:C)</f>
        <v>1</v>
      </c>
      <c r="AN88" s="56">
        <f>SUMIF(Марка!A:A,A88,Марка!B:B)</f>
        <v>1</v>
      </c>
      <c r="AO88" s="56">
        <f>SUMIF(Страна!A:A,M88,Страна!B:B)</f>
        <v>1</v>
      </c>
      <c r="AP88" s="68" t="str">
        <f>IF(VLOOKUP(U88,Товары!A:B,2,FALSE)=W88,"Есть в 1С","ERR")</f>
        <v>Есть в 1С</v>
      </c>
      <c r="AQ88" s="68" t="str">
        <f>IF(VLOOKUP(W88,Товары!B:B,1,FALSE)=W88,"Есть в 1С","ERR")</f>
        <v>Есть в 1С</v>
      </c>
      <c r="AS88" s="58" t="str">
        <f>VLOOKUP(U88,Товары!A:B,2,FALSE)</f>
        <v>02-091-05</v>
      </c>
      <c r="AT88" s="60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48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0" t="s">
        <v>28</v>
      </c>
      <c r="W89" s="51" t="str">
        <f t="shared" si="6"/>
        <v>02-091-05</v>
      </c>
      <c r="X89" s="70"/>
      <c r="Y89" s="73" t="s">
        <v>36768</v>
      </c>
      <c r="Z89" s="64" t="str">
        <f>VLOOKUP(I89,ЦветПолный!A:B,2,FALSE)</f>
        <v>05</v>
      </c>
      <c r="AA89" s="64" t="str">
        <f>IFERROR(VLOOKUP(L89,Размеры!A:D,4,FALSE),"")</f>
        <v>61</v>
      </c>
      <c r="AB89" s="75" t="str">
        <f>IF(LEFT(VLOOKUP(LOOKUP(2,1/SEARCH(G89,Товары!A:A),Товары!A:A),Товары!A:B,2,0),6)=LEFT(W89,6),"OK","НЕ НАЙДЕНО")</f>
        <v>OK</v>
      </c>
      <c r="AC89" s="20"/>
      <c r="AD89" s="56">
        <f>SUMIF(Группа!A:A,C89,Группа!C:C)</f>
        <v>1</v>
      </c>
      <c r="AE89" s="56">
        <f>SUMIF(Группа!B:B,R89,Группа!C:C)</f>
        <v>1</v>
      </c>
      <c r="AF89" s="56">
        <f>SUMIF(Формы!A:A,D89,Формы!B:B)</f>
        <v>1</v>
      </c>
      <c r="AG89" s="56">
        <f>SUMIF(Материал!A:A,E89,Материал!B:B)</f>
        <v>1</v>
      </c>
      <c r="AH89" s="56">
        <f>SUMIF(Размеры!A:A,L89,Размеры!E:E)</f>
        <v>1</v>
      </c>
      <c r="AI89" s="56">
        <f>SUMIF(Сезон!A:A,J89,Сезон!B:B)</f>
        <v>1</v>
      </c>
      <c r="AJ89" s="56">
        <f>SUMIF(Состав!A:A,K89,Состав!B:B)</f>
        <v>0</v>
      </c>
      <c r="AK89" s="56">
        <f>SUMIF(ЦветПолный!A:A,I89,ЦветПолный!C:C)</f>
        <v>6</v>
      </c>
      <c r="AL89" s="56">
        <f>SUMIF(Цвет!A:A,V89,Цвет!B:B)</f>
        <v>1</v>
      </c>
      <c r="AM89" s="56">
        <f>SUMIF(Пол!B:B,F89,Пол!C:C)</f>
        <v>1</v>
      </c>
      <c r="AN89" s="56">
        <f>SUMIF(Марка!A:A,A89,Марка!B:B)</f>
        <v>1</v>
      </c>
      <c r="AO89" s="56">
        <f>SUMIF(Страна!A:A,M89,Страна!B:B)</f>
        <v>1</v>
      </c>
      <c r="AP89" s="68" t="str">
        <f>IF(VLOOKUP(U89,Товары!A:B,2,FALSE)=W89,"Есть в 1С","ERR")</f>
        <v>Есть в 1С</v>
      </c>
      <c r="AQ89" s="68" t="str">
        <f>IF(VLOOKUP(W89,Товары!B:B,1,FALSE)=W89,"Есть в 1С","ERR")</f>
        <v>Есть в 1С</v>
      </c>
      <c r="AS89" s="58" t="str">
        <f>VLOOKUP(U89,Товары!A:B,2,FALSE)</f>
        <v>02-091-05</v>
      </c>
      <c r="AT89" s="60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48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0" t="s">
        <v>28</v>
      </c>
      <c r="W90" s="51" t="str">
        <f t="shared" si="6"/>
        <v>02-091-05</v>
      </c>
      <c r="X90" s="70"/>
      <c r="Y90" s="73" t="s">
        <v>36769</v>
      </c>
      <c r="Z90" s="64" t="str">
        <f>VLOOKUP(I90,ЦветПолный!A:B,2,FALSE)</f>
        <v>05</v>
      </c>
      <c r="AA90" s="64" t="str">
        <f>IFERROR(VLOOKUP(L90,Размеры!A:D,4,FALSE),"")</f>
        <v>62</v>
      </c>
      <c r="AB90" s="75" t="str">
        <f>IF(LEFT(VLOOKUP(LOOKUP(2,1/SEARCH(G90,Товары!A:A),Товары!A:A),Товары!A:B,2,0),6)=LEFT(W90,6),"OK","НЕ НАЙДЕНО")</f>
        <v>OK</v>
      </c>
      <c r="AC90" s="20"/>
      <c r="AD90" s="56">
        <f>SUMIF(Группа!A:A,C90,Группа!C:C)</f>
        <v>1</v>
      </c>
      <c r="AE90" s="56">
        <f>SUMIF(Группа!B:B,R90,Группа!C:C)</f>
        <v>1</v>
      </c>
      <c r="AF90" s="56">
        <f>SUMIF(Формы!A:A,D90,Формы!B:B)</f>
        <v>1</v>
      </c>
      <c r="AG90" s="56">
        <f>SUMIF(Материал!A:A,E90,Материал!B:B)</f>
        <v>1</v>
      </c>
      <c r="AH90" s="56">
        <f>SUMIF(Размеры!A:A,L90,Размеры!E:E)</f>
        <v>1</v>
      </c>
      <c r="AI90" s="56">
        <f>SUMIF(Сезон!A:A,J90,Сезон!B:B)</f>
        <v>1</v>
      </c>
      <c r="AJ90" s="56">
        <f>SUMIF(Состав!A:A,K90,Состав!B:B)</f>
        <v>0</v>
      </c>
      <c r="AK90" s="56">
        <f>SUMIF(ЦветПолный!A:A,I90,ЦветПолный!C:C)</f>
        <v>6</v>
      </c>
      <c r="AL90" s="56">
        <f>SUMIF(Цвет!A:A,V90,Цвет!B:B)</f>
        <v>1</v>
      </c>
      <c r="AM90" s="56">
        <f>SUMIF(Пол!B:B,F90,Пол!C:C)</f>
        <v>1</v>
      </c>
      <c r="AN90" s="56">
        <f>SUMIF(Марка!A:A,A90,Марка!B:B)</f>
        <v>1</v>
      </c>
      <c r="AO90" s="56">
        <f>SUMIF(Страна!A:A,M90,Страна!B:B)</f>
        <v>1</v>
      </c>
      <c r="AP90" s="68" t="str">
        <f>IF(VLOOKUP(U90,Товары!A:B,2,FALSE)=W90,"Есть в 1С","ERR")</f>
        <v>Есть в 1С</v>
      </c>
      <c r="AQ90" s="68" t="str">
        <f>IF(VLOOKUP(W90,Товары!B:B,1,FALSE)=W90,"Есть в 1С","ERR")</f>
        <v>Есть в 1С</v>
      </c>
      <c r="AS90" s="58" t="str">
        <f>VLOOKUP(U90,Товары!A:B,2,FALSE)</f>
        <v>02-091-05</v>
      </c>
      <c r="AT90" s="60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48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0" t="s">
        <v>28</v>
      </c>
      <c r="W91" s="51" t="str">
        <f t="shared" si="6"/>
        <v>02-091-05</v>
      </c>
      <c r="X91" s="70"/>
      <c r="Y91" s="73" t="s">
        <v>36770</v>
      </c>
      <c r="Z91" s="64" t="str">
        <f>VLOOKUP(I91,ЦветПолный!A:B,2,FALSE)</f>
        <v>05</v>
      </c>
      <c r="AA91" s="64" t="str">
        <f>IFERROR(VLOOKUP(L91,Размеры!A:D,4,FALSE),"")</f>
        <v>63</v>
      </c>
      <c r="AB91" s="75" t="str">
        <f>IF(LEFT(VLOOKUP(LOOKUP(2,1/SEARCH(G91,Товары!A:A),Товары!A:A),Товары!A:B,2,0),6)=LEFT(W91,6),"OK","НЕ НАЙДЕНО")</f>
        <v>OK</v>
      </c>
      <c r="AC91" s="20"/>
      <c r="AD91" s="56">
        <f>SUMIF(Группа!A:A,C91,Группа!C:C)</f>
        <v>1</v>
      </c>
      <c r="AE91" s="56">
        <f>SUMIF(Группа!B:B,R91,Группа!C:C)</f>
        <v>1</v>
      </c>
      <c r="AF91" s="56">
        <f>SUMIF(Формы!A:A,D91,Формы!B:B)</f>
        <v>1</v>
      </c>
      <c r="AG91" s="56">
        <f>SUMIF(Материал!A:A,E91,Материал!B:B)</f>
        <v>1</v>
      </c>
      <c r="AH91" s="56">
        <f>SUMIF(Размеры!A:A,L91,Размеры!E:E)</f>
        <v>1</v>
      </c>
      <c r="AI91" s="56">
        <f>SUMIF(Сезон!A:A,J91,Сезон!B:B)</f>
        <v>1</v>
      </c>
      <c r="AJ91" s="56">
        <f>SUMIF(Состав!A:A,K91,Состав!B:B)</f>
        <v>0</v>
      </c>
      <c r="AK91" s="56">
        <f>SUMIF(ЦветПолный!A:A,I91,ЦветПолный!C:C)</f>
        <v>6</v>
      </c>
      <c r="AL91" s="56">
        <f>SUMIF(Цвет!A:A,V91,Цвет!B:B)</f>
        <v>1</v>
      </c>
      <c r="AM91" s="56">
        <f>SUMIF(Пол!B:B,F91,Пол!C:C)</f>
        <v>1</v>
      </c>
      <c r="AN91" s="56">
        <f>SUMIF(Марка!A:A,A91,Марка!B:B)</f>
        <v>1</v>
      </c>
      <c r="AO91" s="56">
        <f>SUMIF(Страна!A:A,M91,Страна!B:B)</f>
        <v>1</v>
      </c>
      <c r="AP91" s="68" t="str">
        <f>IF(VLOOKUP(U91,Товары!A:B,2,FALSE)=W91,"Есть в 1С","ERR")</f>
        <v>Есть в 1С</v>
      </c>
      <c r="AQ91" s="68" t="str">
        <f>IF(VLOOKUP(W91,Товары!B:B,1,FALSE)=W91,"Есть в 1С","ERR")</f>
        <v>Есть в 1С</v>
      </c>
      <c r="AS91" s="58" t="str">
        <f>VLOOKUP(U91,Товары!A:B,2,FALSE)</f>
        <v>02-091-05</v>
      </c>
      <c r="AT91" s="60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48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0" t="s">
        <v>28</v>
      </c>
      <c r="W92" s="51" t="str">
        <f t="shared" si="6"/>
        <v>02-092-05</v>
      </c>
      <c r="X92" s="70"/>
      <c r="Y92" s="73" t="s">
        <v>36771</v>
      </c>
      <c r="Z92" s="64" t="str">
        <f>VLOOKUP(I92,ЦветПолный!A:B,2,FALSE)</f>
        <v>05</v>
      </c>
      <c r="AA92" s="64" t="str">
        <f>IFERROR(VLOOKUP(L92,Размеры!A:D,4,FALSE),"")</f>
        <v>56</v>
      </c>
      <c r="AB92" s="75" t="str">
        <f>IF(LEFT(VLOOKUP(LOOKUP(2,1/SEARCH(G92,Товары!A:A),Товары!A:A),Товары!A:B,2,0),6)=LEFT(W92,6),"OK","НЕ НАЙДЕНО")</f>
        <v>OK</v>
      </c>
      <c r="AC92" s="20"/>
      <c r="AD92" s="56">
        <f>SUMIF(Группа!A:A,C92,Группа!C:C)</f>
        <v>1</v>
      </c>
      <c r="AE92" s="56">
        <f>SUMIF(Группа!B:B,R92,Группа!C:C)</f>
        <v>1</v>
      </c>
      <c r="AF92" s="56">
        <f>SUMIF(Формы!A:A,D92,Формы!B:B)</f>
        <v>1</v>
      </c>
      <c r="AG92" s="56">
        <f>SUMIF(Материал!A:A,E92,Материал!B:B)</f>
        <v>1</v>
      </c>
      <c r="AH92" s="56">
        <f>SUMIF(Размеры!A:A,L92,Размеры!E:E)</f>
        <v>1</v>
      </c>
      <c r="AI92" s="56">
        <f>SUMIF(Сезон!A:A,J92,Сезон!B:B)</f>
        <v>1</v>
      </c>
      <c r="AJ92" s="56">
        <f>SUMIF(Состав!A:A,K92,Состав!B:B)</f>
        <v>0</v>
      </c>
      <c r="AK92" s="56">
        <f>SUMIF(ЦветПолный!A:A,I92,ЦветПолный!C:C)</f>
        <v>6</v>
      </c>
      <c r="AL92" s="56">
        <f>SUMIF(Цвет!A:A,V92,Цвет!B:B)</f>
        <v>1</v>
      </c>
      <c r="AM92" s="56">
        <f>SUMIF(Пол!B:B,F92,Пол!C:C)</f>
        <v>1</v>
      </c>
      <c r="AN92" s="56">
        <f>SUMIF(Марка!A:A,A92,Марка!B:B)</f>
        <v>1</v>
      </c>
      <c r="AO92" s="56">
        <f>SUMIF(Страна!A:A,M92,Страна!B:B)</f>
        <v>1</v>
      </c>
      <c r="AP92" s="68" t="str">
        <f>IF(VLOOKUP(U92,Товары!A:B,2,FALSE)=W92,"Есть в 1С","ERR")</f>
        <v>Есть в 1С</v>
      </c>
      <c r="AQ92" s="68" t="str">
        <f>IF(VLOOKUP(W92,Товары!B:B,1,FALSE)=W92,"Есть в 1С","ERR")</f>
        <v>Есть в 1С</v>
      </c>
      <c r="AS92" s="58" t="str">
        <f>VLOOKUP(U92,Товары!A:B,2,FALSE)</f>
        <v>02-092-05</v>
      </c>
      <c r="AT92" s="60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48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0" t="s">
        <v>126</v>
      </c>
      <c r="W93" s="51" t="str">
        <f t="shared" si="6"/>
        <v>02-092-05</v>
      </c>
      <c r="X93" s="70"/>
      <c r="Y93" s="73" t="s">
        <v>36772</v>
      </c>
      <c r="Z93" s="64" t="str">
        <f>VLOOKUP(I93,ЦветПолный!A:B,2,FALSE)</f>
        <v>05</v>
      </c>
      <c r="AA93" s="64" t="str">
        <f>IFERROR(VLOOKUP(L93,Размеры!A:D,4,FALSE),"")</f>
        <v>58</v>
      </c>
      <c r="AB93" s="75" t="str">
        <f>IF(LEFT(VLOOKUP(LOOKUP(2,1/SEARCH(G93,Товары!A:A),Товары!A:A),Товары!A:B,2,0),6)=LEFT(W93,6),"OK","НЕ НАЙДЕНО")</f>
        <v>OK</v>
      </c>
      <c r="AC93" s="20"/>
      <c r="AD93" s="56">
        <f>SUMIF(Группа!A:A,C93,Группа!C:C)</f>
        <v>1</v>
      </c>
      <c r="AE93" s="56">
        <f>SUMIF(Группа!B:B,R93,Группа!C:C)</f>
        <v>1</v>
      </c>
      <c r="AF93" s="56">
        <f>SUMIF(Формы!A:A,D93,Формы!B:B)</f>
        <v>1</v>
      </c>
      <c r="AG93" s="56">
        <f>SUMIF(Материал!A:A,E93,Материал!B:B)</f>
        <v>1</v>
      </c>
      <c r="AH93" s="56">
        <f>SUMIF(Размеры!A:A,L93,Размеры!E:E)</f>
        <v>1</v>
      </c>
      <c r="AI93" s="56">
        <f>SUMIF(Сезон!A:A,J93,Сезон!B:B)</f>
        <v>1</v>
      </c>
      <c r="AJ93" s="56">
        <f>SUMIF(Состав!A:A,K93,Состав!B:B)</f>
        <v>0</v>
      </c>
      <c r="AK93" s="56">
        <f>SUMIF(ЦветПолный!A:A,I93,ЦветПолный!C:C)</f>
        <v>6</v>
      </c>
      <c r="AL93" s="56">
        <f>SUMIF(Цвет!A:A,V93,Цвет!B:B)</f>
        <v>1</v>
      </c>
      <c r="AM93" s="56">
        <f>SUMIF(Пол!B:B,F93,Пол!C:C)</f>
        <v>1</v>
      </c>
      <c r="AN93" s="56">
        <f>SUMIF(Марка!A:A,A93,Марка!B:B)</f>
        <v>1</v>
      </c>
      <c r="AO93" s="56">
        <f>SUMIF(Страна!A:A,M93,Страна!B:B)</f>
        <v>1</v>
      </c>
      <c r="AP93" s="68" t="str">
        <f>IF(VLOOKUP(U93,Товары!A:B,2,FALSE)=W93,"Есть в 1С","ERR")</f>
        <v>Есть в 1С</v>
      </c>
      <c r="AQ93" s="68" t="str">
        <f>IF(VLOOKUP(W93,Товары!B:B,1,FALSE)=W93,"Есть в 1С","ERR")</f>
        <v>Есть в 1С</v>
      </c>
      <c r="AS93" s="58" t="str">
        <f>VLOOKUP(U93,Товары!A:B,2,FALSE)</f>
        <v>02-092-05</v>
      </c>
      <c r="AT93" s="60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48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0" t="s">
        <v>126</v>
      </c>
      <c r="W94" s="51" t="str">
        <f t="shared" si="6"/>
        <v>02-092-05</v>
      </c>
      <c r="X94" s="70"/>
      <c r="Y94" s="73" t="s">
        <v>36773</v>
      </c>
      <c r="Z94" s="64" t="str">
        <f>VLOOKUP(I94,ЦветПолный!A:B,2,FALSE)</f>
        <v>05</v>
      </c>
      <c r="AA94" s="64" t="str">
        <f>IFERROR(VLOOKUP(L94,Размеры!A:D,4,FALSE),"")</f>
        <v>59</v>
      </c>
      <c r="AB94" s="75" t="str">
        <f>IF(LEFT(VLOOKUP(LOOKUP(2,1/SEARCH(G94,Товары!A:A),Товары!A:A),Товары!A:B,2,0),6)=LEFT(W94,6),"OK","НЕ НАЙДЕНО")</f>
        <v>OK</v>
      </c>
      <c r="AC94" s="20"/>
      <c r="AD94" s="56">
        <f>SUMIF(Группа!A:A,C94,Группа!C:C)</f>
        <v>1</v>
      </c>
      <c r="AE94" s="56">
        <f>SUMIF(Группа!B:B,R94,Группа!C:C)</f>
        <v>1</v>
      </c>
      <c r="AF94" s="56">
        <f>SUMIF(Формы!A:A,D94,Формы!B:B)</f>
        <v>1</v>
      </c>
      <c r="AG94" s="56">
        <f>SUMIF(Материал!A:A,E94,Материал!B:B)</f>
        <v>1</v>
      </c>
      <c r="AH94" s="56">
        <f>SUMIF(Размеры!A:A,L94,Размеры!E:E)</f>
        <v>1</v>
      </c>
      <c r="AI94" s="56">
        <f>SUMIF(Сезон!A:A,J94,Сезон!B:B)</f>
        <v>1</v>
      </c>
      <c r="AJ94" s="56">
        <f>SUMIF(Состав!A:A,K94,Состав!B:B)</f>
        <v>0</v>
      </c>
      <c r="AK94" s="56">
        <f>SUMIF(ЦветПолный!A:A,I94,ЦветПолный!C:C)</f>
        <v>6</v>
      </c>
      <c r="AL94" s="56">
        <f>SUMIF(Цвет!A:A,V94,Цвет!B:B)</f>
        <v>1</v>
      </c>
      <c r="AM94" s="56">
        <f>SUMIF(Пол!B:B,F94,Пол!C:C)</f>
        <v>1</v>
      </c>
      <c r="AN94" s="56">
        <f>SUMIF(Марка!A:A,A94,Марка!B:B)</f>
        <v>1</v>
      </c>
      <c r="AO94" s="56">
        <f>SUMIF(Страна!A:A,M94,Страна!B:B)</f>
        <v>1</v>
      </c>
      <c r="AP94" s="68" t="str">
        <f>IF(VLOOKUP(U94,Товары!A:B,2,FALSE)=W94,"Есть в 1С","ERR")</f>
        <v>Есть в 1С</v>
      </c>
      <c r="AQ94" s="68" t="str">
        <f>IF(VLOOKUP(W94,Товары!B:B,1,FALSE)=W94,"Есть в 1С","ERR")</f>
        <v>Есть в 1С</v>
      </c>
      <c r="AS94" s="58" t="str">
        <f>VLOOKUP(U94,Товары!A:B,2,FALSE)</f>
        <v>02-092-05</v>
      </c>
      <c r="AT94" s="60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48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0" t="s">
        <v>126</v>
      </c>
      <c r="W95" s="51" t="str">
        <f t="shared" si="6"/>
        <v>02-092-05</v>
      </c>
      <c r="X95" s="70"/>
      <c r="Y95" s="73" t="s">
        <v>36774</v>
      </c>
      <c r="Z95" s="64" t="str">
        <f>VLOOKUP(I95,ЦветПолный!A:B,2,FALSE)</f>
        <v>05</v>
      </c>
      <c r="AA95" s="64" t="str">
        <f>IFERROR(VLOOKUP(L95,Размеры!A:D,4,FALSE),"")</f>
        <v>60</v>
      </c>
      <c r="AB95" s="75" t="str">
        <f>IF(LEFT(VLOOKUP(LOOKUP(2,1/SEARCH(G95,Товары!A:A),Товары!A:A),Товары!A:B,2,0),6)=LEFT(W95,6),"OK","НЕ НАЙДЕНО")</f>
        <v>OK</v>
      </c>
      <c r="AC95" s="20"/>
      <c r="AD95" s="56">
        <f>SUMIF(Группа!A:A,C95,Группа!C:C)</f>
        <v>1</v>
      </c>
      <c r="AE95" s="56">
        <f>SUMIF(Группа!B:B,R95,Группа!C:C)</f>
        <v>1</v>
      </c>
      <c r="AF95" s="56">
        <f>SUMIF(Формы!A:A,D95,Формы!B:B)</f>
        <v>1</v>
      </c>
      <c r="AG95" s="56">
        <f>SUMIF(Материал!A:A,E95,Материал!B:B)</f>
        <v>1</v>
      </c>
      <c r="AH95" s="56">
        <f>SUMIF(Размеры!A:A,L95,Размеры!E:E)</f>
        <v>1</v>
      </c>
      <c r="AI95" s="56">
        <f>SUMIF(Сезон!A:A,J95,Сезон!B:B)</f>
        <v>1</v>
      </c>
      <c r="AJ95" s="56">
        <f>SUMIF(Состав!A:A,K95,Состав!B:B)</f>
        <v>0</v>
      </c>
      <c r="AK95" s="56">
        <f>SUMIF(ЦветПолный!A:A,I95,ЦветПолный!C:C)</f>
        <v>6</v>
      </c>
      <c r="AL95" s="56">
        <f>SUMIF(Цвет!A:A,V95,Цвет!B:B)</f>
        <v>1</v>
      </c>
      <c r="AM95" s="56">
        <f>SUMIF(Пол!B:B,F95,Пол!C:C)</f>
        <v>1</v>
      </c>
      <c r="AN95" s="56">
        <f>SUMIF(Марка!A:A,A95,Марка!B:B)</f>
        <v>1</v>
      </c>
      <c r="AO95" s="56">
        <f>SUMIF(Страна!A:A,M95,Страна!B:B)</f>
        <v>1</v>
      </c>
      <c r="AP95" s="68" t="str">
        <f>IF(VLOOKUP(U95,Товары!A:B,2,FALSE)=W95,"Есть в 1С","ERR")</f>
        <v>Есть в 1С</v>
      </c>
      <c r="AQ95" s="68" t="str">
        <f>IF(VLOOKUP(W95,Товары!B:B,1,FALSE)=W95,"Есть в 1С","ERR")</f>
        <v>Есть в 1С</v>
      </c>
      <c r="AS95" s="58" t="str">
        <f>VLOOKUP(U95,Товары!A:B,2,FALSE)</f>
        <v>02-092-05</v>
      </c>
      <c r="AT95" s="60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48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0" t="s">
        <v>126</v>
      </c>
      <c r="W96" s="51" t="str">
        <f t="shared" si="6"/>
        <v>02-092-05</v>
      </c>
      <c r="X96" s="70"/>
      <c r="Y96" s="73" t="s">
        <v>36775</v>
      </c>
      <c r="Z96" s="64" t="str">
        <f>VLOOKUP(I96,ЦветПолный!A:B,2,FALSE)</f>
        <v>05</v>
      </c>
      <c r="AA96" s="64" t="str">
        <f>IFERROR(VLOOKUP(L96,Размеры!A:D,4,FALSE),"")</f>
        <v>61</v>
      </c>
      <c r="AB96" s="75" t="str">
        <f>IF(LEFT(VLOOKUP(LOOKUP(2,1/SEARCH(G96,Товары!A:A),Товары!A:A),Товары!A:B,2,0),6)=LEFT(W96,6),"OK","НЕ НАЙДЕНО")</f>
        <v>OK</v>
      </c>
      <c r="AC96" s="20"/>
      <c r="AD96" s="56">
        <f>SUMIF(Группа!A:A,C96,Группа!C:C)</f>
        <v>1</v>
      </c>
      <c r="AE96" s="56">
        <f>SUMIF(Группа!B:B,R96,Группа!C:C)</f>
        <v>1</v>
      </c>
      <c r="AF96" s="56">
        <f>SUMIF(Формы!A:A,D96,Формы!B:B)</f>
        <v>1</v>
      </c>
      <c r="AG96" s="56">
        <f>SUMIF(Материал!A:A,E96,Материал!B:B)</f>
        <v>1</v>
      </c>
      <c r="AH96" s="56">
        <f>SUMIF(Размеры!A:A,L96,Размеры!E:E)</f>
        <v>1</v>
      </c>
      <c r="AI96" s="56">
        <f>SUMIF(Сезон!A:A,J96,Сезон!B:B)</f>
        <v>1</v>
      </c>
      <c r="AJ96" s="56">
        <f>SUMIF(Состав!A:A,K96,Состав!B:B)</f>
        <v>0</v>
      </c>
      <c r="AK96" s="56">
        <f>SUMIF(ЦветПолный!A:A,I96,ЦветПолный!C:C)</f>
        <v>6</v>
      </c>
      <c r="AL96" s="56">
        <f>SUMIF(Цвет!A:A,V96,Цвет!B:B)</f>
        <v>1</v>
      </c>
      <c r="AM96" s="56">
        <f>SUMIF(Пол!B:B,F96,Пол!C:C)</f>
        <v>1</v>
      </c>
      <c r="AN96" s="56">
        <f>SUMIF(Марка!A:A,A96,Марка!B:B)</f>
        <v>1</v>
      </c>
      <c r="AO96" s="56">
        <f>SUMIF(Страна!A:A,M96,Страна!B:B)</f>
        <v>1</v>
      </c>
      <c r="AP96" s="68" t="str">
        <f>IF(VLOOKUP(U96,Товары!A:B,2,FALSE)=W96,"Есть в 1С","ERR")</f>
        <v>Есть в 1С</v>
      </c>
      <c r="AQ96" s="68" t="str">
        <f>IF(VLOOKUP(W96,Товары!B:B,1,FALSE)=W96,"Есть в 1С","ERR")</f>
        <v>Есть в 1С</v>
      </c>
      <c r="AS96" s="58" t="str">
        <f>VLOOKUP(U96,Товары!A:B,2,FALSE)</f>
        <v>02-092-05</v>
      </c>
      <c r="AT96" s="60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48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0" t="s">
        <v>126</v>
      </c>
      <c r="W97" s="51" t="str">
        <f t="shared" si="6"/>
        <v>02-122-08</v>
      </c>
      <c r="X97" s="70"/>
      <c r="Y97" s="73" t="s">
        <v>36776</v>
      </c>
      <c r="Z97" s="64" t="str">
        <f>VLOOKUP(I97,ЦветПолный!A:B,2,FALSE)</f>
        <v>08</v>
      </c>
      <c r="AA97" s="64" t="str">
        <f>IFERROR(VLOOKUP(L97,Размеры!A:D,4,FALSE),"")</f>
        <v>57</v>
      </c>
      <c r="AB97" s="75" t="str">
        <f>IF(LEFT(VLOOKUP(LOOKUP(2,1/SEARCH(G97,Товары!A:A),Товары!A:A),Товары!A:B,2,0),6)=LEFT(W97,6),"OK","НЕ НАЙДЕНО")</f>
        <v>OK</v>
      </c>
      <c r="AC97" s="20"/>
      <c r="AD97" s="56">
        <f>SUMIF(Группа!A:A,C97,Группа!C:C)</f>
        <v>1</v>
      </c>
      <c r="AE97" s="56">
        <f>SUMIF(Группа!B:B,R97,Группа!C:C)</f>
        <v>1</v>
      </c>
      <c r="AF97" s="56">
        <f>SUMIF(Формы!A:A,D97,Формы!B:B)</f>
        <v>1</v>
      </c>
      <c r="AG97" s="56">
        <f>SUMIF(Материал!A:A,E97,Материал!B:B)</f>
        <v>1</v>
      </c>
      <c r="AH97" s="56">
        <f>SUMIF(Размеры!A:A,L97,Размеры!E:E)</f>
        <v>1</v>
      </c>
      <c r="AI97" s="56">
        <f>SUMIF(Сезон!A:A,J97,Сезон!B:B)</f>
        <v>1</v>
      </c>
      <c r="AJ97" s="56">
        <f>SUMIF(Состав!A:A,K97,Состав!B:B)</f>
        <v>0</v>
      </c>
      <c r="AK97" s="56">
        <f>SUMIF(ЦветПолный!A:A,I97,ЦветПолный!C:C)</f>
        <v>11</v>
      </c>
      <c r="AL97" s="56">
        <f>SUMIF(Цвет!A:A,V97,Цвет!B:B)</f>
        <v>1</v>
      </c>
      <c r="AM97" s="56">
        <f>SUMIF(Пол!B:B,F97,Пол!C:C)</f>
        <v>1</v>
      </c>
      <c r="AN97" s="56">
        <f>SUMIF(Марка!A:A,A97,Марка!B:B)</f>
        <v>1</v>
      </c>
      <c r="AO97" s="56">
        <f>SUMIF(Страна!A:A,M97,Страна!B:B)</f>
        <v>1</v>
      </c>
      <c r="AP97" s="68" t="str">
        <f>IF(VLOOKUP(U97,Товары!A:B,2,FALSE)=W97,"Есть в 1С","ERR")</f>
        <v>Есть в 1С</v>
      </c>
      <c r="AQ97" s="68" t="str">
        <f>IF(VLOOKUP(W97,Товары!B:B,1,FALSE)=W97,"Есть в 1С","ERR")</f>
        <v>Есть в 1С</v>
      </c>
      <c r="AS97" s="58" t="str">
        <f>VLOOKUP(U97,Товары!A:B,2,FALSE)</f>
        <v>02-122-08</v>
      </c>
      <c r="AT97" s="60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48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0" t="s">
        <v>126</v>
      </c>
      <c r="W98" s="51" t="str">
        <f t="shared" si="6"/>
        <v>02-122-08</v>
      </c>
      <c r="X98" s="70"/>
      <c r="Y98" s="73" t="s">
        <v>36777</v>
      </c>
      <c r="Z98" s="64" t="str">
        <f>VLOOKUP(I98,ЦветПолный!A:B,2,FALSE)</f>
        <v>08</v>
      </c>
      <c r="AA98" s="64" t="str">
        <f>IFERROR(VLOOKUP(L98,Размеры!A:D,4,FALSE),"")</f>
        <v>58</v>
      </c>
      <c r="AB98" s="75" t="str">
        <f>IF(LEFT(VLOOKUP(LOOKUP(2,1/SEARCH(G98,Товары!A:A),Товары!A:A),Товары!A:B,2,0),6)=LEFT(W98,6),"OK","НЕ НАЙДЕНО")</f>
        <v>OK</v>
      </c>
      <c r="AC98" s="20"/>
      <c r="AD98" s="56">
        <f>SUMIF(Группа!A:A,C98,Группа!C:C)</f>
        <v>1</v>
      </c>
      <c r="AE98" s="56">
        <f>SUMIF(Группа!B:B,R98,Группа!C:C)</f>
        <v>1</v>
      </c>
      <c r="AF98" s="56">
        <f>SUMIF(Формы!A:A,D98,Формы!B:B)</f>
        <v>1</v>
      </c>
      <c r="AG98" s="56">
        <f>SUMIF(Материал!A:A,E98,Материал!B:B)</f>
        <v>1</v>
      </c>
      <c r="AH98" s="56">
        <f>SUMIF(Размеры!A:A,L98,Размеры!E:E)</f>
        <v>1</v>
      </c>
      <c r="AI98" s="56">
        <f>SUMIF(Сезон!A:A,J98,Сезон!B:B)</f>
        <v>1</v>
      </c>
      <c r="AJ98" s="56">
        <f>SUMIF(Состав!A:A,K98,Состав!B:B)</f>
        <v>0</v>
      </c>
      <c r="AK98" s="56">
        <f>SUMIF(ЦветПолный!A:A,I98,ЦветПолный!C:C)</f>
        <v>11</v>
      </c>
      <c r="AL98" s="56">
        <f>SUMIF(Цвет!A:A,V98,Цвет!B:B)</f>
        <v>1</v>
      </c>
      <c r="AM98" s="56">
        <f>SUMIF(Пол!B:B,F98,Пол!C:C)</f>
        <v>1</v>
      </c>
      <c r="AN98" s="56">
        <f>SUMIF(Марка!A:A,A98,Марка!B:B)</f>
        <v>1</v>
      </c>
      <c r="AO98" s="56">
        <f>SUMIF(Страна!A:A,M98,Страна!B:B)</f>
        <v>1</v>
      </c>
      <c r="AP98" s="68" t="str">
        <f>IF(VLOOKUP(U98,Товары!A:B,2,FALSE)=W98,"Есть в 1С","ERR")</f>
        <v>Есть в 1С</v>
      </c>
      <c r="AQ98" s="68" t="str">
        <f>IF(VLOOKUP(W98,Товары!B:B,1,FALSE)=W98,"Есть в 1С","ERR")</f>
        <v>Есть в 1С</v>
      </c>
      <c r="AS98" s="58" t="str">
        <f>VLOOKUP(U98,Товары!A:B,2,FALSE)</f>
        <v>02-122-08</v>
      </c>
      <c r="AT98" s="60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48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0" t="s">
        <v>28</v>
      </c>
      <c r="W99" s="51" t="str">
        <f t="shared" si="6"/>
        <v>02-122-08</v>
      </c>
      <c r="X99" s="70"/>
      <c r="Y99" s="73" t="s">
        <v>36778</v>
      </c>
      <c r="Z99" s="64" t="str">
        <f>VLOOKUP(I99,ЦветПолный!A:B,2,FALSE)</f>
        <v>08</v>
      </c>
      <c r="AA99" s="64" t="str">
        <f>IFERROR(VLOOKUP(L99,Размеры!A:D,4,FALSE),"")</f>
        <v>59</v>
      </c>
      <c r="AB99" s="75" t="str">
        <f>IF(LEFT(VLOOKUP(LOOKUP(2,1/SEARCH(G99,Товары!A:A),Товары!A:A),Товары!A:B,2,0),6)=LEFT(W99,6),"OK","НЕ НАЙДЕНО")</f>
        <v>OK</v>
      </c>
      <c r="AC99" s="20"/>
      <c r="AD99" s="56">
        <f>SUMIF(Группа!A:A,C99,Группа!C:C)</f>
        <v>1</v>
      </c>
      <c r="AE99" s="56">
        <f>SUMIF(Группа!B:B,R99,Группа!C:C)</f>
        <v>1</v>
      </c>
      <c r="AF99" s="56">
        <f>SUMIF(Формы!A:A,D99,Формы!B:B)</f>
        <v>1</v>
      </c>
      <c r="AG99" s="56">
        <f>SUMIF(Материал!A:A,E99,Материал!B:B)</f>
        <v>1</v>
      </c>
      <c r="AH99" s="56">
        <f>SUMIF(Размеры!A:A,L99,Размеры!E:E)</f>
        <v>1</v>
      </c>
      <c r="AI99" s="56">
        <f>SUMIF(Сезон!A:A,J99,Сезон!B:B)</f>
        <v>1</v>
      </c>
      <c r="AJ99" s="56">
        <f>SUMIF(Состав!A:A,K99,Состав!B:B)</f>
        <v>0</v>
      </c>
      <c r="AK99" s="56">
        <f>SUMIF(ЦветПолный!A:A,I99,ЦветПолный!C:C)</f>
        <v>11</v>
      </c>
      <c r="AL99" s="56">
        <f>SUMIF(Цвет!A:A,V99,Цвет!B:B)</f>
        <v>1</v>
      </c>
      <c r="AM99" s="56">
        <f>SUMIF(Пол!B:B,F99,Пол!C:C)</f>
        <v>1</v>
      </c>
      <c r="AN99" s="56">
        <f>SUMIF(Марка!A:A,A99,Марка!B:B)</f>
        <v>1</v>
      </c>
      <c r="AO99" s="56">
        <f>SUMIF(Страна!A:A,M99,Страна!B:B)</f>
        <v>1</v>
      </c>
      <c r="AP99" s="68" t="str">
        <f>IF(VLOOKUP(U99,Товары!A:B,2,FALSE)=W99,"Есть в 1С","ERR")</f>
        <v>Есть в 1С</v>
      </c>
      <c r="AQ99" s="68" t="str">
        <f>IF(VLOOKUP(W99,Товары!B:B,1,FALSE)=W99,"Есть в 1С","ERR")</f>
        <v>Есть в 1С</v>
      </c>
      <c r="AS99" s="58" t="str">
        <f>VLOOKUP(U99,Товары!A:B,2,FALSE)</f>
        <v>02-122-08</v>
      </c>
      <c r="AT99" s="60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48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0" t="s">
        <v>28</v>
      </c>
      <c r="W100" s="51" t="str">
        <f t="shared" si="6"/>
        <v>02-122-08</v>
      </c>
      <c r="X100" s="70"/>
      <c r="Y100" s="73" t="s">
        <v>36779</v>
      </c>
      <c r="Z100" s="64" t="str">
        <f>VLOOKUP(I100,ЦветПолный!A:B,2,FALSE)</f>
        <v>08</v>
      </c>
      <c r="AA100" s="64" t="str">
        <f>IFERROR(VLOOKUP(L100,Размеры!A:D,4,FALSE),"")</f>
        <v>61</v>
      </c>
      <c r="AB100" s="75" t="str">
        <f>IF(LEFT(VLOOKUP(LOOKUP(2,1/SEARCH(G100,Товары!A:A),Товары!A:A),Товары!A:B,2,0),6)=LEFT(W100,6),"OK","НЕ НАЙДЕНО")</f>
        <v>OK</v>
      </c>
      <c r="AC100" s="20"/>
      <c r="AD100" s="56">
        <f>SUMIF(Группа!A:A,C100,Группа!C:C)</f>
        <v>1</v>
      </c>
      <c r="AE100" s="56">
        <f>SUMIF(Группа!B:B,R100,Группа!C:C)</f>
        <v>1</v>
      </c>
      <c r="AF100" s="56">
        <f>SUMIF(Формы!A:A,D100,Формы!B:B)</f>
        <v>1</v>
      </c>
      <c r="AG100" s="56">
        <f>SUMIF(Материал!A:A,E100,Материал!B:B)</f>
        <v>1</v>
      </c>
      <c r="AH100" s="56">
        <f>SUMIF(Размеры!A:A,L100,Размеры!E:E)</f>
        <v>1</v>
      </c>
      <c r="AI100" s="56">
        <f>SUMIF(Сезон!A:A,J100,Сезон!B:B)</f>
        <v>1</v>
      </c>
      <c r="AJ100" s="56">
        <f>SUMIF(Состав!A:A,K100,Состав!B:B)</f>
        <v>0</v>
      </c>
      <c r="AK100" s="56">
        <f>SUMIF(ЦветПолный!A:A,I100,ЦветПолный!C:C)</f>
        <v>11</v>
      </c>
      <c r="AL100" s="56">
        <f>SUMIF(Цвет!A:A,V100,Цвет!B:B)</f>
        <v>1</v>
      </c>
      <c r="AM100" s="56">
        <f>SUMIF(Пол!B:B,F100,Пол!C:C)</f>
        <v>1</v>
      </c>
      <c r="AN100" s="56">
        <f>SUMIF(Марка!A:A,A100,Марка!B:B)</f>
        <v>1</v>
      </c>
      <c r="AO100" s="56">
        <f>SUMIF(Страна!A:A,M100,Страна!B:B)</f>
        <v>1</v>
      </c>
      <c r="AP100" s="68" t="str">
        <f>IF(VLOOKUP(U100,Товары!A:B,2,FALSE)=W100,"Есть в 1С","ERR")</f>
        <v>Есть в 1С</v>
      </c>
      <c r="AQ100" s="68" t="str">
        <f>IF(VLOOKUP(W100,Товары!B:B,1,FALSE)=W100,"Есть в 1С","ERR")</f>
        <v>Есть в 1С</v>
      </c>
      <c r="AS100" s="58" t="str">
        <f>VLOOKUP(U100,Товары!A:B,2,FALSE)</f>
        <v>02-122-08</v>
      </c>
      <c r="AT100" s="60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48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1" t="str">
        <f t="shared" si="6"/>
        <v>02-123-14</v>
      </c>
      <c r="X101" s="70"/>
      <c r="Y101" s="73" t="s">
        <v>36780</v>
      </c>
      <c r="Z101" s="64" t="str">
        <f>VLOOKUP(I101,ЦветПолный!A:B,2,FALSE)</f>
        <v>14</v>
      </c>
      <c r="AA101" s="64" t="str">
        <f>IFERROR(VLOOKUP(L101,Размеры!A:D,4,FALSE),"")</f>
        <v>59</v>
      </c>
      <c r="AB101" s="75" t="str">
        <f>IF(LEFT(VLOOKUP(LOOKUP(2,1/SEARCH(G101,Товары!A:A),Товары!A:A),Товары!A:B,2,0),6)=LEFT(W101,6),"OK","НЕ НАЙДЕНО")</f>
        <v>OK</v>
      </c>
      <c r="AC101" s="20"/>
      <c r="AD101" s="56">
        <f>SUMIF(Группа!A:A,C101,Группа!C:C)</f>
        <v>1</v>
      </c>
      <c r="AE101" s="56">
        <f>SUMIF(Группа!B:B,R101,Группа!C:C)</f>
        <v>1</v>
      </c>
      <c r="AF101" s="56">
        <f>SUMIF(Формы!A:A,D101,Формы!B:B)</f>
        <v>1</v>
      </c>
      <c r="AG101" s="56">
        <f>SUMIF(Материал!A:A,E101,Материал!B:B)</f>
        <v>1</v>
      </c>
      <c r="AH101" s="56">
        <f>SUMIF(Размеры!A:A,L101,Размеры!E:E)</f>
        <v>1</v>
      </c>
      <c r="AI101" s="56">
        <f>SUMIF(Сезон!A:A,J101,Сезон!B:B)</f>
        <v>1</v>
      </c>
      <c r="AJ101" s="56">
        <f>SUMIF(Состав!A:A,K101,Состав!B:B)</f>
        <v>0</v>
      </c>
      <c r="AK101" s="56">
        <f>SUMIF(ЦветПолный!A:A,I101,ЦветПолный!C:C)</f>
        <v>14</v>
      </c>
      <c r="AL101" s="56">
        <f>SUMIF(Цвет!A:A,V101,Цвет!B:B)</f>
        <v>1</v>
      </c>
      <c r="AM101" s="56">
        <f>SUMIF(Пол!B:B,F101,Пол!C:C)</f>
        <v>1</v>
      </c>
      <c r="AN101" s="56">
        <f>SUMIF(Марка!A:A,A101,Марка!B:B)</f>
        <v>1</v>
      </c>
      <c r="AO101" s="56">
        <f>SUMIF(Страна!A:A,M101,Страна!B:B)</f>
        <v>1</v>
      </c>
      <c r="AP101" s="68" t="str">
        <f>IF(VLOOKUP(U101,Товары!A:B,2,FALSE)=W101,"Есть в 1С","ERR")</f>
        <v>Есть в 1С</v>
      </c>
      <c r="AQ101" s="68" t="str">
        <f>IF(VLOOKUP(W101,Товары!B:B,1,FALSE)=W101,"Есть в 1С","ERR")</f>
        <v>Есть в 1С</v>
      </c>
      <c r="AS101" s="58" t="str">
        <f>VLOOKUP(U101,Товары!A:B,2,FALSE)</f>
        <v>02-123-14</v>
      </c>
      <c r="AT101" s="60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48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0" t="s">
        <v>28</v>
      </c>
      <c r="W102" s="51" t="str">
        <f t="shared" si="6"/>
        <v>02-373-05</v>
      </c>
      <c r="X102" s="70"/>
      <c r="Y102" s="73" t="s">
        <v>36781</v>
      </c>
      <c r="Z102" s="64" t="str">
        <f>VLOOKUP(I102,ЦветПолный!A:B,2,FALSE)</f>
        <v>05</v>
      </c>
      <c r="AA102" s="64" t="str">
        <f>IFERROR(VLOOKUP(L102,Размеры!A:D,4,FALSE),"")</f>
        <v>57</v>
      </c>
      <c r="AB102" s="75" t="str">
        <f>IF(LEFT(VLOOKUP(LOOKUP(2,1/SEARCH(G102,Товары!A:A),Товары!A:A),Товары!A:B,2,0),6)=LEFT(W102,6),"OK","НЕ НАЙДЕНО")</f>
        <v>OK</v>
      </c>
      <c r="AC102" s="20"/>
      <c r="AD102" s="56">
        <f>SUMIF(Группа!A:A,C102,Группа!C:C)</f>
        <v>1</v>
      </c>
      <c r="AE102" s="56">
        <f>SUMIF(Группа!B:B,R102,Группа!C:C)</f>
        <v>1</v>
      </c>
      <c r="AF102" s="56">
        <f>SUMIF(Формы!A:A,D102,Формы!B:B)</f>
        <v>1</v>
      </c>
      <c r="AG102" s="56">
        <f>SUMIF(Материал!A:A,E102,Материал!B:B)</f>
        <v>1</v>
      </c>
      <c r="AH102" s="56">
        <f>SUMIF(Размеры!A:A,L102,Размеры!E:E)</f>
        <v>1</v>
      </c>
      <c r="AI102" s="56">
        <f>SUMIF(Сезон!A:A,J102,Сезон!B:B)</f>
        <v>1</v>
      </c>
      <c r="AJ102" s="56">
        <f>SUMIF(Состав!A:A,K102,Состав!B:B)</f>
        <v>0</v>
      </c>
      <c r="AK102" s="56">
        <f>SUMIF(ЦветПолный!A:A,I102,ЦветПолный!C:C)</f>
        <v>6</v>
      </c>
      <c r="AL102" s="56">
        <f>SUMIF(Цвет!A:A,V102,Цвет!B:B)</f>
        <v>1</v>
      </c>
      <c r="AM102" s="56">
        <f>SUMIF(Пол!B:B,F102,Пол!C:C)</f>
        <v>1</v>
      </c>
      <c r="AN102" s="56">
        <f>SUMIF(Марка!A:A,A102,Марка!B:B)</f>
        <v>1</v>
      </c>
      <c r="AO102" s="56">
        <f>SUMIF(Страна!A:A,M102,Страна!B:B)</f>
        <v>1</v>
      </c>
      <c r="AP102" s="68" t="str">
        <f>IF(VLOOKUP(U102,Товары!A:B,2,FALSE)=W102,"Есть в 1С","ERR")</f>
        <v>Есть в 1С</v>
      </c>
      <c r="AQ102" s="68" t="str">
        <f>IF(VLOOKUP(W102,Товары!B:B,1,FALSE)=W102,"Есть в 1С","ERR")</f>
        <v>Есть в 1С</v>
      </c>
      <c r="AS102" s="58" t="str">
        <f>VLOOKUP(U102,Товары!A:B,2,FALSE)</f>
        <v>02-373-05</v>
      </c>
      <c r="AT102" s="60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48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0" t="s">
        <v>28</v>
      </c>
      <c r="W103" s="51" t="str">
        <f t="shared" si="6"/>
        <v>02-373-05</v>
      </c>
      <c r="X103" s="70"/>
      <c r="Y103" s="73" t="s">
        <v>36782</v>
      </c>
      <c r="Z103" s="64" t="str">
        <f>VLOOKUP(I103,ЦветПолный!A:B,2,FALSE)</f>
        <v>05</v>
      </c>
      <c r="AA103" s="64" t="str">
        <f>IFERROR(VLOOKUP(L103,Размеры!A:D,4,FALSE),"")</f>
        <v>58</v>
      </c>
      <c r="AB103" s="75" t="str">
        <f>IF(LEFT(VLOOKUP(LOOKUP(2,1/SEARCH(G103,Товары!A:A),Товары!A:A),Товары!A:B,2,0),6)=LEFT(W103,6),"OK","НЕ НАЙДЕНО")</f>
        <v>OK</v>
      </c>
      <c r="AC103" s="20"/>
      <c r="AD103" s="56">
        <f>SUMIF(Группа!A:A,C103,Группа!C:C)</f>
        <v>1</v>
      </c>
      <c r="AE103" s="56">
        <f>SUMIF(Группа!B:B,R103,Группа!C:C)</f>
        <v>1</v>
      </c>
      <c r="AF103" s="56">
        <f>SUMIF(Формы!A:A,D103,Формы!B:B)</f>
        <v>1</v>
      </c>
      <c r="AG103" s="56">
        <f>SUMIF(Материал!A:A,E103,Материал!B:B)</f>
        <v>1</v>
      </c>
      <c r="AH103" s="56">
        <f>SUMIF(Размеры!A:A,L103,Размеры!E:E)</f>
        <v>1</v>
      </c>
      <c r="AI103" s="56">
        <f>SUMIF(Сезон!A:A,J103,Сезон!B:B)</f>
        <v>1</v>
      </c>
      <c r="AJ103" s="56">
        <f>SUMIF(Состав!A:A,K103,Состав!B:B)</f>
        <v>0</v>
      </c>
      <c r="AK103" s="56">
        <f>SUMIF(ЦветПолный!A:A,I103,ЦветПолный!C:C)</f>
        <v>6</v>
      </c>
      <c r="AL103" s="56">
        <f>SUMIF(Цвет!A:A,V103,Цвет!B:B)</f>
        <v>1</v>
      </c>
      <c r="AM103" s="56">
        <f>SUMIF(Пол!B:B,F103,Пол!C:C)</f>
        <v>1</v>
      </c>
      <c r="AN103" s="56">
        <f>SUMIF(Марка!A:A,A103,Марка!B:B)</f>
        <v>1</v>
      </c>
      <c r="AO103" s="56">
        <f>SUMIF(Страна!A:A,M103,Страна!B:B)</f>
        <v>1</v>
      </c>
      <c r="AP103" s="68" t="str">
        <f>IF(VLOOKUP(U103,Товары!A:B,2,FALSE)=W103,"Есть в 1С","ERR")</f>
        <v>Есть в 1С</v>
      </c>
      <c r="AQ103" s="68" t="str">
        <f>IF(VLOOKUP(W103,Товары!B:B,1,FALSE)=W103,"Есть в 1С","ERR")</f>
        <v>Есть в 1С</v>
      </c>
      <c r="AS103" s="58" t="str">
        <f>VLOOKUP(U103,Товары!A:B,2,FALSE)</f>
        <v>02-373-05</v>
      </c>
      <c r="AT103" s="60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48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0" t="s">
        <v>28</v>
      </c>
      <c r="W104" s="51" t="str">
        <f t="shared" si="6"/>
        <v>02-373-05</v>
      </c>
      <c r="X104" s="70"/>
      <c r="Y104" s="73" t="s">
        <v>36783</v>
      </c>
      <c r="Z104" s="64" t="str">
        <f>VLOOKUP(I104,ЦветПолный!A:B,2,FALSE)</f>
        <v>05</v>
      </c>
      <c r="AA104" s="64" t="str">
        <f>IFERROR(VLOOKUP(L104,Размеры!A:D,4,FALSE),"")</f>
        <v>59</v>
      </c>
      <c r="AB104" s="75" t="str">
        <f>IF(LEFT(VLOOKUP(LOOKUP(2,1/SEARCH(G104,Товары!A:A),Товары!A:A),Товары!A:B,2,0),6)=LEFT(W104,6),"OK","НЕ НАЙДЕНО")</f>
        <v>OK</v>
      </c>
      <c r="AC104" s="20"/>
      <c r="AD104" s="56">
        <f>SUMIF(Группа!A:A,C104,Группа!C:C)</f>
        <v>1</v>
      </c>
      <c r="AE104" s="56">
        <f>SUMIF(Группа!B:B,R104,Группа!C:C)</f>
        <v>1</v>
      </c>
      <c r="AF104" s="56">
        <f>SUMIF(Формы!A:A,D104,Формы!B:B)</f>
        <v>1</v>
      </c>
      <c r="AG104" s="56">
        <f>SUMIF(Материал!A:A,E104,Материал!B:B)</f>
        <v>1</v>
      </c>
      <c r="AH104" s="56">
        <f>SUMIF(Размеры!A:A,L104,Размеры!E:E)</f>
        <v>1</v>
      </c>
      <c r="AI104" s="56">
        <f>SUMIF(Сезон!A:A,J104,Сезон!B:B)</f>
        <v>1</v>
      </c>
      <c r="AJ104" s="56">
        <f>SUMIF(Состав!A:A,K104,Состав!B:B)</f>
        <v>0</v>
      </c>
      <c r="AK104" s="56">
        <f>SUMIF(ЦветПолный!A:A,I104,ЦветПолный!C:C)</f>
        <v>6</v>
      </c>
      <c r="AL104" s="56">
        <f>SUMIF(Цвет!A:A,V104,Цвет!B:B)</f>
        <v>1</v>
      </c>
      <c r="AM104" s="56">
        <f>SUMIF(Пол!B:B,F104,Пол!C:C)</f>
        <v>1</v>
      </c>
      <c r="AN104" s="56">
        <f>SUMIF(Марка!A:A,A104,Марка!B:B)</f>
        <v>1</v>
      </c>
      <c r="AO104" s="56">
        <f>SUMIF(Страна!A:A,M104,Страна!B:B)</f>
        <v>1</v>
      </c>
      <c r="AP104" s="68" t="str">
        <f>IF(VLOOKUP(U104,Товары!A:B,2,FALSE)=W104,"Есть в 1С","ERR")</f>
        <v>Есть в 1С</v>
      </c>
      <c r="AQ104" s="68" t="str">
        <f>IF(VLOOKUP(W104,Товары!B:B,1,FALSE)=W104,"Есть в 1С","ERR")</f>
        <v>Есть в 1С</v>
      </c>
      <c r="AS104" s="58" t="str">
        <f>VLOOKUP(U104,Товары!A:B,2,FALSE)</f>
        <v>02-373-05</v>
      </c>
      <c r="AT104" s="60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48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0" t="s">
        <v>22</v>
      </c>
      <c r="W105" s="51" t="str">
        <f t="shared" si="6"/>
        <v>02-373-91</v>
      </c>
      <c r="X105" s="70"/>
      <c r="Y105" s="73" t="s">
        <v>36784</v>
      </c>
      <c r="Z105" s="64" t="str">
        <f>VLOOKUP(I105,ЦветПолный!A:B,2,FALSE)</f>
        <v>91</v>
      </c>
      <c r="AA105" s="64" t="str">
        <f>IFERROR(VLOOKUP(L105,Размеры!A:D,4,FALSE),"")</f>
        <v>58</v>
      </c>
      <c r="AB105" s="75" t="str">
        <f>IF(LEFT(VLOOKUP(LOOKUP(2,1/SEARCH(G105,Товары!A:A),Товары!A:A),Товары!A:B,2,0),6)=LEFT(W105,6),"OK","НЕ НАЙДЕНО")</f>
        <v>OK</v>
      </c>
      <c r="AC105" s="20"/>
      <c r="AD105" s="56">
        <f>SUMIF(Группа!A:A,C105,Группа!C:C)</f>
        <v>1</v>
      </c>
      <c r="AE105" s="56">
        <f>SUMIF(Группа!B:B,R105,Группа!C:C)</f>
        <v>1</v>
      </c>
      <c r="AF105" s="56">
        <f>SUMIF(Формы!A:A,D105,Формы!B:B)</f>
        <v>1</v>
      </c>
      <c r="AG105" s="56">
        <f>SUMIF(Материал!A:A,E105,Материал!B:B)</f>
        <v>1</v>
      </c>
      <c r="AH105" s="56">
        <f>SUMIF(Размеры!A:A,L105,Размеры!E:E)</f>
        <v>1</v>
      </c>
      <c r="AI105" s="56">
        <f>SUMIF(Сезон!A:A,J105,Сезон!B:B)</f>
        <v>1</v>
      </c>
      <c r="AJ105" s="56">
        <f>SUMIF(Состав!A:A,K105,Состав!B:B)</f>
        <v>0</v>
      </c>
      <c r="AK105" s="56">
        <f>SUMIF(ЦветПолный!A:A,I105,ЦветПолный!C:C)</f>
        <v>7</v>
      </c>
      <c r="AL105" s="56">
        <f>SUMIF(Цвет!A:A,V105,Цвет!B:B)</f>
        <v>1</v>
      </c>
      <c r="AM105" s="56">
        <f>SUMIF(Пол!B:B,F105,Пол!C:C)</f>
        <v>1</v>
      </c>
      <c r="AN105" s="56">
        <f>SUMIF(Марка!A:A,A105,Марка!B:B)</f>
        <v>1</v>
      </c>
      <c r="AO105" s="56">
        <f>SUMIF(Страна!A:A,M105,Страна!B:B)</f>
        <v>1</v>
      </c>
      <c r="AP105" s="68" t="str">
        <f>IF(VLOOKUP(U105,Товары!A:B,2,FALSE)=W105,"Есть в 1С","ERR")</f>
        <v>Есть в 1С</v>
      </c>
      <c r="AQ105" s="68" t="str">
        <f>IF(VLOOKUP(W105,Товары!B:B,1,FALSE)=W105,"Есть в 1С","ERR")</f>
        <v>Есть в 1С</v>
      </c>
      <c r="AS105" s="58" t="str">
        <f>VLOOKUP(U105,Товары!A:B,2,FALSE)</f>
        <v>02-373-91</v>
      </c>
      <c r="AT105" s="60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48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0" t="s">
        <v>22</v>
      </c>
      <c r="W106" s="51" t="str">
        <f t="shared" si="6"/>
        <v>02-373-91</v>
      </c>
      <c r="X106" s="70"/>
      <c r="Y106" s="73" t="s">
        <v>36785</v>
      </c>
      <c r="Z106" s="64" t="str">
        <f>VLOOKUP(I106,ЦветПолный!A:B,2,FALSE)</f>
        <v>91</v>
      </c>
      <c r="AA106" s="64" t="str">
        <f>IFERROR(VLOOKUP(L106,Размеры!A:D,4,FALSE),"")</f>
        <v>63</v>
      </c>
      <c r="AB106" s="75" t="str">
        <f>IF(LEFT(VLOOKUP(LOOKUP(2,1/SEARCH(G106,Товары!A:A),Товары!A:A),Товары!A:B,2,0),6)=LEFT(W106,6),"OK","НЕ НАЙДЕНО")</f>
        <v>OK</v>
      </c>
      <c r="AC106" s="20"/>
      <c r="AD106" s="56">
        <f>SUMIF(Группа!A:A,C106,Группа!C:C)</f>
        <v>1</v>
      </c>
      <c r="AE106" s="56">
        <f>SUMIF(Группа!B:B,R106,Группа!C:C)</f>
        <v>1</v>
      </c>
      <c r="AF106" s="56">
        <f>SUMIF(Формы!A:A,D106,Формы!B:B)</f>
        <v>1</v>
      </c>
      <c r="AG106" s="56">
        <f>SUMIF(Материал!A:A,E106,Материал!B:B)</f>
        <v>1</v>
      </c>
      <c r="AH106" s="56">
        <f>SUMIF(Размеры!A:A,L106,Размеры!E:E)</f>
        <v>1</v>
      </c>
      <c r="AI106" s="56">
        <f>SUMIF(Сезон!A:A,J106,Сезон!B:B)</f>
        <v>1</v>
      </c>
      <c r="AJ106" s="56">
        <f>SUMIF(Состав!A:A,K106,Состав!B:B)</f>
        <v>0</v>
      </c>
      <c r="AK106" s="56">
        <f>SUMIF(ЦветПолный!A:A,I106,ЦветПолный!C:C)</f>
        <v>7</v>
      </c>
      <c r="AL106" s="56">
        <f>SUMIF(Цвет!A:A,V106,Цвет!B:B)</f>
        <v>1</v>
      </c>
      <c r="AM106" s="56">
        <f>SUMIF(Пол!B:B,F106,Пол!C:C)</f>
        <v>1</v>
      </c>
      <c r="AN106" s="56">
        <f>SUMIF(Марка!A:A,A106,Марка!B:B)</f>
        <v>1</v>
      </c>
      <c r="AO106" s="56">
        <f>SUMIF(Страна!A:A,M106,Страна!B:B)</f>
        <v>1</v>
      </c>
      <c r="AP106" s="68" t="str">
        <f>IF(VLOOKUP(U106,Товары!A:B,2,FALSE)=W106,"Есть в 1С","ERR")</f>
        <v>Есть в 1С</v>
      </c>
      <c r="AQ106" s="68" t="str">
        <f>IF(VLOOKUP(W106,Товары!B:B,1,FALSE)=W106,"Есть в 1С","ERR")</f>
        <v>Есть в 1С</v>
      </c>
      <c r="AS106" s="58" t="str">
        <f>VLOOKUP(U106,Товары!A:B,2,FALSE)</f>
        <v>02-373-91</v>
      </c>
      <c r="AT106" s="60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48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0" t="s">
        <v>28</v>
      </c>
      <c r="W107" s="51" t="str">
        <f t="shared" si="6"/>
        <v>02-093-01</v>
      </c>
      <c r="X107" s="70"/>
      <c r="Y107" s="73" t="s">
        <v>36816</v>
      </c>
      <c r="Z107" s="64" t="str">
        <f>VLOOKUP(I107,ЦветПолный!A:B,2,FALSE)</f>
        <v>01</v>
      </c>
      <c r="AA107" s="64" t="str">
        <f>IFERROR(VLOOKUP(L107,Размеры!A:D,4,FALSE),"")</f>
        <v>64</v>
      </c>
      <c r="AB107" s="75" t="str">
        <f>IF(LEFT(VLOOKUP(LOOKUP(2,1/SEARCH(G107,Товары!A:A),Товары!A:A),Товары!A:B,2,0),6)=LEFT(W107,6),"OK","НЕ НАЙДЕНО")</f>
        <v>OK</v>
      </c>
      <c r="AC107" s="20"/>
      <c r="AD107" s="56">
        <f>SUMIF(Группа!A:A,C107,Группа!C:C)</f>
        <v>1</v>
      </c>
      <c r="AE107" s="56">
        <f>SUMIF(Группа!B:B,R107,Группа!C:C)</f>
        <v>1</v>
      </c>
      <c r="AF107" s="56">
        <f>SUMIF(Формы!A:A,D107,Формы!B:B)</f>
        <v>1</v>
      </c>
      <c r="AG107" s="56">
        <f>SUMIF(Материал!A:A,E107,Материал!B:B)</f>
        <v>1</v>
      </c>
      <c r="AH107" s="56">
        <f>SUMIF(Размеры!A:A,L107,Размеры!E:E)</f>
        <v>1</v>
      </c>
      <c r="AI107" s="56">
        <f>SUMIF(Сезон!A:A,J107,Сезон!B:B)</f>
        <v>1</v>
      </c>
      <c r="AJ107" s="56">
        <f>SUMIF(Состав!A:A,K107,Состав!B:B)</f>
        <v>0</v>
      </c>
      <c r="AK107" s="56">
        <f>SUMIF(ЦветПолный!A:A,I107,ЦветПолный!C:C)</f>
        <v>6</v>
      </c>
      <c r="AL107" s="56">
        <f>SUMIF(Цвет!A:A,V107,Цвет!B:B)</f>
        <v>1</v>
      </c>
      <c r="AM107" s="56">
        <f>SUMIF(Пол!B:B,F107,Пол!C:C)</f>
        <v>1</v>
      </c>
      <c r="AN107" s="56">
        <f>SUMIF(Марка!A:A,A107,Марка!B:B)</f>
        <v>1</v>
      </c>
      <c r="AO107" s="56">
        <f>SUMIF(Страна!A:A,M107,Страна!B:B)</f>
        <v>1</v>
      </c>
      <c r="AP107" s="68" t="str">
        <f>IF(VLOOKUP(U107,Товары!A:B,2,FALSE)=W107,"Есть в 1С","ERR")</f>
        <v>Есть в 1С</v>
      </c>
      <c r="AQ107" s="68" t="str">
        <f>IF(VLOOKUP(W107,Товары!B:B,1,FALSE)=W107,"Есть в 1С","ERR")</f>
        <v>Есть в 1С</v>
      </c>
      <c r="AS107" s="58" t="str">
        <f>VLOOKUP(U107,Товары!A:B,2,FALSE)</f>
        <v>02-093-01</v>
      </c>
      <c r="AT107" s="60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48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1" t="str">
        <f t="shared" si="6"/>
        <v>new</v>
      </c>
      <c r="X108" s="70"/>
      <c r="Y108" s="73" t="s">
        <v>13</v>
      </c>
      <c r="Z108" s="64" t="str">
        <f>VLOOKUP(I108,ЦветПолный!A:B,2,FALSE)</f>
        <v>08</v>
      </c>
      <c r="AA108" s="64" t="str">
        <f>IFERROR(VLOOKUP(L108,Размеры!A:D,4,FALSE),"")</f>
        <v>56</v>
      </c>
      <c r="AB108" s="75" t="str">
        <f>IF(LEFT(VLOOKUP(LOOKUP(2,1/SEARCH(G108,Товары!A:A),Товары!A:A),Товары!A:B,2,0),6)=LEFT(W108,6),"OK","НЕ НАЙДЕНО")</f>
        <v>НЕ НАЙДЕНО</v>
      </c>
      <c r="AC108" s="20"/>
      <c r="AD108" s="56">
        <f>SUMIF(Группа!A:A,C108,Группа!C:C)</f>
        <v>1</v>
      </c>
      <c r="AE108" s="56">
        <f>SUMIF(Группа!B:B,R108,Группа!C:C)</f>
        <v>1</v>
      </c>
      <c r="AF108" s="56">
        <f>SUMIF(Формы!A:A,D108,Формы!B:B)</f>
        <v>1</v>
      </c>
      <c r="AG108" s="56">
        <f>SUMIF(Материал!A:A,E108,Материал!B:B)</f>
        <v>1</v>
      </c>
      <c r="AH108" s="56">
        <f>SUMIF(Размеры!A:A,L108,Размеры!E:E)</f>
        <v>1</v>
      </c>
      <c r="AI108" s="56">
        <f>SUMIF(Сезон!A:A,J108,Сезон!B:B)</f>
        <v>1</v>
      </c>
      <c r="AJ108" s="56">
        <f>SUMIF(Состав!A:A,K108,Состав!B:B)</f>
        <v>0</v>
      </c>
      <c r="AK108" s="56">
        <f>SUMIF(ЦветПолный!A:A,I108,ЦветПолный!C:C)</f>
        <v>11</v>
      </c>
      <c r="AL108" s="56">
        <f>SUMIF(Цвет!A:A,V108,Цвет!B:B)</f>
        <v>1</v>
      </c>
      <c r="AM108" s="56">
        <f>SUMIF(Пол!B:B,F108,Пол!C:C)</f>
        <v>1</v>
      </c>
      <c r="AN108" s="56">
        <f>SUMIF(Марка!A:A,A108,Марка!B:B)</f>
        <v>1</v>
      </c>
      <c r="AO108" s="56">
        <f>SUMIF(Страна!A:A,M108,Страна!B:B)</f>
        <v>1</v>
      </c>
      <c r="AP108" s="68" t="str">
        <f>IF(VLOOKUP(U108,Товары!A:B,2,FALSE)=W108,"Есть в 1С","ERR")</f>
        <v>ERR</v>
      </c>
      <c r="AQ108" s="68" t="e">
        <f>IF(VLOOKUP(W108,Товары!B:B,1,FALSE)=W108,"Есть в 1С","ERR")</f>
        <v>#N/A</v>
      </c>
      <c r="AS108" s="58" t="str">
        <f>VLOOKUP(U108,Товары!A:B,2,FALSE)</f>
        <v>02-646-08</v>
      </c>
      <c r="AT108" s="60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48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1" t="str">
        <f t="shared" si="6"/>
        <v>new</v>
      </c>
      <c r="X109" s="70"/>
      <c r="Y109" s="73" t="s">
        <v>13</v>
      </c>
      <c r="Z109" s="64" t="str">
        <f>VLOOKUP(I109,ЦветПолный!A:B,2,FALSE)</f>
        <v>08</v>
      </c>
      <c r="AA109" s="64" t="str">
        <f>IFERROR(VLOOKUP(L109,Размеры!A:D,4,FALSE),"")</f>
        <v>57</v>
      </c>
      <c r="AB109" s="75" t="str">
        <f>IF(LEFT(VLOOKUP(LOOKUP(2,1/SEARCH(G109,Товары!A:A),Товары!A:A),Товары!A:B,2,0),6)=LEFT(W109,6),"OK","НЕ НАЙДЕНО")</f>
        <v>НЕ НАЙДЕНО</v>
      </c>
      <c r="AC109" s="20"/>
      <c r="AD109" s="56">
        <f>SUMIF(Группа!A:A,C109,Группа!C:C)</f>
        <v>1</v>
      </c>
      <c r="AE109" s="56">
        <f>SUMIF(Группа!B:B,R109,Группа!C:C)</f>
        <v>1</v>
      </c>
      <c r="AF109" s="56">
        <f>SUMIF(Формы!A:A,D109,Формы!B:B)</f>
        <v>1</v>
      </c>
      <c r="AG109" s="56">
        <f>SUMIF(Материал!A:A,E109,Материал!B:B)</f>
        <v>1</v>
      </c>
      <c r="AH109" s="56">
        <f>SUMIF(Размеры!A:A,L109,Размеры!E:E)</f>
        <v>1</v>
      </c>
      <c r="AI109" s="56">
        <f>SUMIF(Сезон!A:A,J109,Сезон!B:B)</f>
        <v>1</v>
      </c>
      <c r="AJ109" s="56">
        <f>SUMIF(Состав!A:A,K109,Состав!B:B)</f>
        <v>0</v>
      </c>
      <c r="AK109" s="56">
        <f>SUMIF(ЦветПолный!A:A,I109,ЦветПолный!C:C)</f>
        <v>11</v>
      </c>
      <c r="AL109" s="56">
        <f>SUMIF(Цвет!A:A,V109,Цвет!B:B)</f>
        <v>1</v>
      </c>
      <c r="AM109" s="56">
        <f>SUMIF(Пол!B:B,F109,Пол!C:C)</f>
        <v>1</v>
      </c>
      <c r="AN109" s="56">
        <f>SUMIF(Марка!A:A,A109,Марка!B:B)</f>
        <v>1</v>
      </c>
      <c r="AO109" s="56">
        <f>SUMIF(Страна!A:A,M109,Страна!B:B)</f>
        <v>1</v>
      </c>
      <c r="AP109" s="68" t="str">
        <f>IF(VLOOKUP(U109,Товары!A:B,2,FALSE)=W109,"Есть в 1С","ERR")</f>
        <v>ERR</v>
      </c>
      <c r="AQ109" s="68" t="e">
        <f>IF(VLOOKUP(W109,Товары!B:B,1,FALSE)=W109,"Есть в 1С","ERR")</f>
        <v>#N/A</v>
      </c>
      <c r="AS109" s="58" t="str">
        <f>VLOOKUP(U109,Товары!A:B,2,FALSE)</f>
        <v>02-646-08</v>
      </c>
      <c r="AT109" s="60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48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1" t="str">
        <f t="shared" si="6"/>
        <v>new</v>
      </c>
      <c r="X110" s="70"/>
      <c r="Y110" s="73" t="s">
        <v>13</v>
      </c>
      <c r="Z110" s="64" t="str">
        <f>VLOOKUP(I110,ЦветПолный!A:B,2,FALSE)</f>
        <v>08</v>
      </c>
      <c r="AA110" s="64" t="str">
        <f>IFERROR(VLOOKUP(L110,Размеры!A:D,4,FALSE),"")</f>
        <v>58</v>
      </c>
      <c r="AB110" s="75" t="str">
        <f>IF(LEFT(VLOOKUP(LOOKUP(2,1/SEARCH(G110,Товары!A:A),Товары!A:A),Товары!A:B,2,0),6)=LEFT(W110,6),"OK","НЕ НАЙДЕНО")</f>
        <v>НЕ НАЙДЕНО</v>
      </c>
      <c r="AC110" s="20"/>
      <c r="AD110" s="56">
        <f>SUMIF(Группа!A:A,C110,Группа!C:C)</f>
        <v>1</v>
      </c>
      <c r="AE110" s="56">
        <f>SUMIF(Группа!B:B,R110,Группа!C:C)</f>
        <v>1</v>
      </c>
      <c r="AF110" s="56">
        <f>SUMIF(Формы!A:A,D110,Формы!B:B)</f>
        <v>1</v>
      </c>
      <c r="AG110" s="56">
        <f>SUMIF(Материал!A:A,E110,Материал!B:B)</f>
        <v>1</v>
      </c>
      <c r="AH110" s="56">
        <f>SUMIF(Размеры!A:A,L110,Размеры!E:E)</f>
        <v>1</v>
      </c>
      <c r="AI110" s="56">
        <f>SUMIF(Сезон!A:A,J110,Сезон!B:B)</f>
        <v>1</v>
      </c>
      <c r="AJ110" s="56">
        <f>SUMIF(Состав!A:A,K110,Состав!B:B)</f>
        <v>0</v>
      </c>
      <c r="AK110" s="56">
        <f>SUMIF(ЦветПолный!A:A,I110,ЦветПолный!C:C)</f>
        <v>11</v>
      </c>
      <c r="AL110" s="56">
        <f>SUMIF(Цвет!A:A,V110,Цвет!B:B)</f>
        <v>1</v>
      </c>
      <c r="AM110" s="56">
        <f>SUMIF(Пол!B:B,F110,Пол!C:C)</f>
        <v>1</v>
      </c>
      <c r="AN110" s="56">
        <f>SUMIF(Марка!A:A,A110,Марка!B:B)</f>
        <v>1</v>
      </c>
      <c r="AO110" s="56">
        <f>SUMIF(Страна!A:A,M110,Страна!B:B)</f>
        <v>1</v>
      </c>
      <c r="AP110" s="68" t="str">
        <f>IF(VLOOKUP(U110,Товары!A:B,2,FALSE)=W110,"Есть в 1С","ERR")</f>
        <v>ERR</v>
      </c>
      <c r="AQ110" s="68" t="e">
        <f>IF(VLOOKUP(W110,Товары!B:B,1,FALSE)=W110,"Есть в 1С","ERR")</f>
        <v>#N/A</v>
      </c>
      <c r="AS110" s="58" t="str">
        <f>VLOOKUP(U110,Товары!A:B,2,FALSE)</f>
        <v>02-646-08</v>
      </c>
      <c r="AT110" s="60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48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1" t="str">
        <f t="shared" si="6"/>
        <v>new</v>
      </c>
      <c r="X111" s="70"/>
      <c r="Y111" s="73" t="s">
        <v>13</v>
      </c>
      <c r="Z111" s="64" t="str">
        <f>VLOOKUP(I111,ЦветПолный!A:B,2,FALSE)</f>
        <v>08</v>
      </c>
      <c r="AA111" s="64" t="str">
        <f>IFERROR(VLOOKUP(L111,Размеры!A:D,4,FALSE),"")</f>
        <v>59</v>
      </c>
      <c r="AB111" s="75" t="str">
        <f>IF(LEFT(VLOOKUP(LOOKUP(2,1/SEARCH(G111,Товары!A:A),Товары!A:A),Товары!A:B,2,0),6)=LEFT(W111,6),"OK","НЕ НАЙДЕНО")</f>
        <v>НЕ НАЙДЕНО</v>
      </c>
      <c r="AC111" s="20"/>
      <c r="AD111" s="56">
        <f>SUMIF(Группа!A:A,C111,Группа!C:C)</f>
        <v>1</v>
      </c>
      <c r="AE111" s="56">
        <f>SUMIF(Группа!B:B,R111,Группа!C:C)</f>
        <v>1</v>
      </c>
      <c r="AF111" s="56">
        <f>SUMIF(Формы!A:A,D111,Формы!B:B)</f>
        <v>1</v>
      </c>
      <c r="AG111" s="56">
        <f>SUMIF(Материал!A:A,E111,Материал!B:B)</f>
        <v>1</v>
      </c>
      <c r="AH111" s="56">
        <f>SUMIF(Размеры!A:A,L111,Размеры!E:E)</f>
        <v>1</v>
      </c>
      <c r="AI111" s="56">
        <f>SUMIF(Сезон!A:A,J111,Сезон!B:B)</f>
        <v>1</v>
      </c>
      <c r="AJ111" s="56">
        <f>SUMIF(Состав!A:A,K111,Состав!B:B)</f>
        <v>0</v>
      </c>
      <c r="AK111" s="56">
        <f>SUMIF(ЦветПолный!A:A,I111,ЦветПолный!C:C)</f>
        <v>11</v>
      </c>
      <c r="AL111" s="56">
        <f>SUMIF(Цвет!A:A,V111,Цвет!B:B)</f>
        <v>1</v>
      </c>
      <c r="AM111" s="56">
        <f>SUMIF(Пол!B:B,F111,Пол!C:C)</f>
        <v>1</v>
      </c>
      <c r="AN111" s="56">
        <f>SUMIF(Марка!A:A,A111,Марка!B:B)</f>
        <v>1</v>
      </c>
      <c r="AO111" s="56">
        <f>SUMIF(Страна!A:A,M111,Страна!B:B)</f>
        <v>1</v>
      </c>
      <c r="AP111" s="68" t="str">
        <f>IF(VLOOKUP(U111,Товары!A:B,2,FALSE)=W111,"Есть в 1С","ERR")</f>
        <v>ERR</v>
      </c>
      <c r="AQ111" s="68" t="e">
        <f>IF(VLOOKUP(W111,Товары!B:B,1,FALSE)=W111,"Есть в 1С","ERR")</f>
        <v>#N/A</v>
      </c>
      <c r="AS111" s="58" t="str">
        <f>VLOOKUP(U111,Товары!A:B,2,FALSE)</f>
        <v>02-646-08</v>
      </c>
      <c r="AT111" s="60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48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1" t="str">
        <f t="shared" si="6"/>
        <v>new</v>
      </c>
      <c r="X112" s="70"/>
      <c r="Y112" s="73" t="s">
        <v>13</v>
      </c>
      <c r="Z112" s="64" t="str">
        <f>VLOOKUP(I112,ЦветПолный!A:B,2,FALSE)</f>
        <v>08</v>
      </c>
      <c r="AA112" s="64" t="str">
        <f>IFERROR(VLOOKUP(L112,Размеры!A:D,4,FALSE),"")</f>
        <v>60</v>
      </c>
      <c r="AB112" s="75" t="str">
        <f>IF(LEFT(VLOOKUP(LOOKUP(2,1/SEARCH(G112,Товары!A:A),Товары!A:A),Товары!A:B,2,0),6)=LEFT(W112,6),"OK","НЕ НАЙДЕНО")</f>
        <v>НЕ НАЙДЕНО</v>
      </c>
      <c r="AC112" s="20"/>
      <c r="AD112" s="56">
        <f>SUMIF(Группа!A:A,C112,Группа!C:C)</f>
        <v>1</v>
      </c>
      <c r="AE112" s="56">
        <f>SUMIF(Группа!B:B,R112,Группа!C:C)</f>
        <v>1</v>
      </c>
      <c r="AF112" s="56">
        <f>SUMIF(Формы!A:A,D112,Формы!B:B)</f>
        <v>1</v>
      </c>
      <c r="AG112" s="56">
        <f>SUMIF(Материал!A:A,E112,Материал!B:B)</f>
        <v>1</v>
      </c>
      <c r="AH112" s="56">
        <f>SUMIF(Размеры!A:A,L112,Размеры!E:E)</f>
        <v>1</v>
      </c>
      <c r="AI112" s="56">
        <f>SUMIF(Сезон!A:A,J112,Сезон!B:B)</f>
        <v>1</v>
      </c>
      <c r="AJ112" s="56">
        <f>SUMIF(Состав!A:A,K112,Состав!B:B)</f>
        <v>0</v>
      </c>
      <c r="AK112" s="56">
        <f>SUMIF(ЦветПолный!A:A,I112,ЦветПолный!C:C)</f>
        <v>11</v>
      </c>
      <c r="AL112" s="56">
        <f>SUMIF(Цвет!A:A,V112,Цвет!B:B)</f>
        <v>1</v>
      </c>
      <c r="AM112" s="56">
        <f>SUMIF(Пол!B:B,F112,Пол!C:C)</f>
        <v>1</v>
      </c>
      <c r="AN112" s="56">
        <f>SUMIF(Марка!A:A,A112,Марка!B:B)</f>
        <v>1</v>
      </c>
      <c r="AO112" s="56">
        <f>SUMIF(Страна!A:A,M112,Страна!B:B)</f>
        <v>1</v>
      </c>
      <c r="AP112" s="68" t="str">
        <f>IF(VLOOKUP(U112,Товары!A:B,2,FALSE)=W112,"Есть в 1С","ERR")</f>
        <v>ERR</v>
      </c>
      <c r="AQ112" s="68" t="e">
        <f>IF(VLOOKUP(W112,Товары!B:B,1,FALSE)=W112,"Есть в 1С","ERR")</f>
        <v>#N/A</v>
      </c>
      <c r="AS112" s="58" t="str">
        <f>VLOOKUP(U112,Товары!A:B,2,FALSE)</f>
        <v>02-646-08</v>
      </c>
      <c r="AT112" s="60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48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1" t="str">
        <f t="shared" si="6"/>
        <v>new</v>
      </c>
      <c r="X113" s="70"/>
      <c r="Y113" s="73" t="s">
        <v>13</v>
      </c>
      <c r="Z113" s="64" t="str">
        <f>VLOOKUP(I113,ЦветПолный!A:B,2,FALSE)</f>
        <v>08</v>
      </c>
      <c r="AA113" s="64" t="str">
        <f>IFERROR(VLOOKUP(L113,Размеры!A:D,4,FALSE),"")</f>
        <v>61</v>
      </c>
      <c r="AB113" s="75" t="str">
        <f>IF(LEFT(VLOOKUP(LOOKUP(2,1/SEARCH(G113,Товары!A:A),Товары!A:A),Товары!A:B,2,0),6)=LEFT(W113,6),"OK","НЕ НАЙДЕНО")</f>
        <v>НЕ НАЙДЕНО</v>
      </c>
      <c r="AC113" s="20"/>
      <c r="AD113" s="56">
        <f>SUMIF(Группа!A:A,C113,Группа!C:C)</f>
        <v>1</v>
      </c>
      <c r="AE113" s="56">
        <f>SUMIF(Группа!B:B,R113,Группа!C:C)</f>
        <v>1</v>
      </c>
      <c r="AF113" s="56">
        <f>SUMIF(Формы!A:A,D113,Формы!B:B)</f>
        <v>1</v>
      </c>
      <c r="AG113" s="56">
        <f>SUMIF(Материал!A:A,E113,Материал!B:B)</f>
        <v>1</v>
      </c>
      <c r="AH113" s="56">
        <f>SUMIF(Размеры!A:A,L113,Размеры!E:E)</f>
        <v>1</v>
      </c>
      <c r="AI113" s="56">
        <f>SUMIF(Сезон!A:A,J113,Сезон!B:B)</f>
        <v>1</v>
      </c>
      <c r="AJ113" s="56">
        <f>SUMIF(Состав!A:A,K113,Состав!B:B)</f>
        <v>0</v>
      </c>
      <c r="AK113" s="56">
        <f>SUMIF(ЦветПолный!A:A,I113,ЦветПолный!C:C)</f>
        <v>11</v>
      </c>
      <c r="AL113" s="56">
        <f>SUMIF(Цвет!A:A,V113,Цвет!B:B)</f>
        <v>1</v>
      </c>
      <c r="AM113" s="56">
        <f>SUMIF(Пол!B:B,F113,Пол!C:C)</f>
        <v>1</v>
      </c>
      <c r="AN113" s="56">
        <f>SUMIF(Марка!A:A,A113,Марка!B:B)</f>
        <v>1</v>
      </c>
      <c r="AO113" s="56">
        <f>SUMIF(Страна!A:A,M113,Страна!B:B)</f>
        <v>1</v>
      </c>
      <c r="AP113" s="68" t="str">
        <f>IF(VLOOKUP(U113,Товары!A:B,2,FALSE)=W113,"Есть в 1С","ERR")</f>
        <v>ERR</v>
      </c>
      <c r="AQ113" s="68" t="e">
        <f>IF(VLOOKUP(W113,Товары!B:B,1,FALSE)=W113,"Есть в 1С","ERR")</f>
        <v>#N/A</v>
      </c>
      <c r="AS113" s="58" t="str">
        <f>VLOOKUP(U113,Товары!A:B,2,FALSE)</f>
        <v>02-646-08</v>
      </c>
      <c r="AT113" s="60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48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1" t="str">
        <f t="shared" si="6"/>
        <v>new</v>
      </c>
      <c r="X114" s="70"/>
      <c r="Y114" s="73" t="s">
        <v>13</v>
      </c>
      <c r="Z114" s="64" t="str">
        <f>VLOOKUP(I114,ЦветПолный!A:B,2,FALSE)</f>
        <v>08</v>
      </c>
      <c r="AA114" s="64" t="str">
        <f>IFERROR(VLOOKUP(L114,Размеры!A:D,4,FALSE),"")</f>
        <v>62</v>
      </c>
      <c r="AB114" s="75" t="str">
        <f>IF(LEFT(VLOOKUP(LOOKUP(2,1/SEARCH(G114,Товары!A:A),Товары!A:A),Товары!A:B,2,0),6)=LEFT(W114,6),"OK","НЕ НАЙДЕНО")</f>
        <v>НЕ НАЙДЕНО</v>
      </c>
      <c r="AC114" s="20"/>
      <c r="AD114" s="56">
        <f>SUMIF(Группа!A:A,C114,Группа!C:C)</f>
        <v>1</v>
      </c>
      <c r="AE114" s="56">
        <f>SUMIF(Группа!B:B,R114,Группа!C:C)</f>
        <v>1</v>
      </c>
      <c r="AF114" s="56">
        <f>SUMIF(Формы!A:A,D114,Формы!B:B)</f>
        <v>1</v>
      </c>
      <c r="AG114" s="56">
        <f>SUMIF(Материал!A:A,E114,Материал!B:B)</f>
        <v>1</v>
      </c>
      <c r="AH114" s="56">
        <f>SUMIF(Размеры!A:A,L114,Размеры!E:E)</f>
        <v>1</v>
      </c>
      <c r="AI114" s="56">
        <f>SUMIF(Сезон!A:A,J114,Сезон!B:B)</f>
        <v>1</v>
      </c>
      <c r="AJ114" s="56">
        <f>SUMIF(Состав!A:A,K114,Состав!B:B)</f>
        <v>0</v>
      </c>
      <c r="AK114" s="56">
        <f>SUMIF(ЦветПолный!A:A,I114,ЦветПолный!C:C)</f>
        <v>11</v>
      </c>
      <c r="AL114" s="56">
        <f>SUMIF(Цвет!A:A,V114,Цвет!B:B)</f>
        <v>1</v>
      </c>
      <c r="AM114" s="56">
        <f>SUMIF(Пол!B:B,F114,Пол!C:C)</f>
        <v>1</v>
      </c>
      <c r="AN114" s="56">
        <f>SUMIF(Марка!A:A,A114,Марка!B:B)</f>
        <v>1</v>
      </c>
      <c r="AO114" s="56">
        <f>SUMIF(Страна!A:A,M114,Страна!B:B)</f>
        <v>1</v>
      </c>
      <c r="AP114" s="68" t="str">
        <f>IF(VLOOKUP(U114,Товары!A:B,2,FALSE)=W114,"Есть в 1С","ERR")</f>
        <v>ERR</v>
      </c>
      <c r="AQ114" s="68" t="e">
        <f>IF(VLOOKUP(W114,Товары!B:B,1,FALSE)=W114,"Есть в 1С","ERR")</f>
        <v>#N/A</v>
      </c>
      <c r="AS114" s="58" t="str">
        <f>VLOOKUP(U114,Товары!A:B,2,FALSE)</f>
        <v>02-646-08</v>
      </c>
      <c r="AT114" s="60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48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1" t="str">
        <f t="shared" si="6"/>
        <v>new</v>
      </c>
      <c r="X115" s="70"/>
      <c r="Y115" s="73" t="s">
        <v>13</v>
      </c>
      <c r="Z115" s="64" t="str">
        <f>VLOOKUP(I115,ЦветПолный!A:B,2,FALSE)</f>
        <v>08</v>
      </c>
      <c r="AA115" s="64" t="str">
        <f>IFERROR(VLOOKUP(L115,Размеры!A:D,4,FALSE),"")</f>
        <v>63</v>
      </c>
      <c r="AB115" s="75" t="str">
        <f>IF(LEFT(VLOOKUP(LOOKUP(2,1/SEARCH(G115,Товары!A:A),Товары!A:A),Товары!A:B,2,0),6)=LEFT(W115,6),"OK","НЕ НАЙДЕНО")</f>
        <v>НЕ НАЙДЕНО</v>
      </c>
      <c r="AC115" s="20"/>
      <c r="AD115" s="56">
        <f>SUMIF(Группа!A:A,C115,Группа!C:C)</f>
        <v>1</v>
      </c>
      <c r="AE115" s="56">
        <f>SUMIF(Группа!B:B,R115,Группа!C:C)</f>
        <v>1</v>
      </c>
      <c r="AF115" s="56">
        <f>SUMIF(Формы!A:A,D115,Формы!B:B)</f>
        <v>1</v>
      </c>
      <c r="AG115" s="56">
        <f>SUMIF(Материал!A:A,E115,Материал!B:B)</f>
        <v>1</v>
      </c>
      <c r="AH115" s="56">
        <f>SUMIF(Размеры!A:A,L115,Размеры!E:E)</f>
        <v>1</v>
      </c>
      <c r="AI115" s="56">
        <f>SUMIF(Сезон!A:A,J115,Сезон!B:B)</f>
        <v>1</v>
      </c>
      <c r="AJ115" s="56">
        <f>SUMIF(Состав!A:A,K115,Состав!B:B)</f>
        <v>0</v>
      </c>
      <c r="AK115" s="56">
        <f>SUMIF(ЦветПолный!A:A,I115,ЦветПолный!C:C)</f>
        <v>11</v>
      </c>
      <c r="AL115" s="56">
        <f>SUMIF(Цвет!A:A,V115,Цвет!B:B)</f>
        <v>1</v>
      </c>
      <c r="AM115" s="56">
        <f>SUMIF(Пол!B:B,F115,Пол!C:C)</f>
        <v>1</v>
      </c>
      <c r="AN115" s="56">
        <f>SUMIF(Марка!A:A,A115,Марка!B:B)</f>
        <v>1</v>
      </c>
      <c r="AO115" s="56">
        <f>SUMIF(Страна!A:A,M115,Страна!B:B)</f>
        <v>1</v>
      </c>
      <c r="AP115" s="68" t="str">
        <f>IF(VLOOKUP(U115,Товары!A:B,2,FALSE)=W115,"Есть в 1С","ERR")</f>
        <v>ERR</v>
      </c>
      <c r="AQ115" s="68" t="e">
        <f>IF(VLOOKUP(W115,Товары!B:B,1,FALSE)=W115,"Есть в 1С","ERR")</f>
        <v>#N/A</v>
      </c>
      <c r="AS115" s="58" t="str">
        <f>VLOOKUP(U115,Товары!A:B,2,FALSE)</f>
        <v>02-646-08</v>
      </c>
      <c r="AT115" s="60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48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1" t="str">
        <f t="shared" si="6"/>
        <v>02-582-08</v>
      </c>
      <c r="X116" s="70"/>
      <c r="Y116" s="73" t="s">
        <v>36786</v>
      </c>
      <c r="Z116" s="64" t="str">
        <f>VLOOKUP(I116,ЦветПолный!A:B,2,FALSE)</f>
        <v>08</v>
      </c>
      <c r="AA116" s="64" t="str">
        <f>IFERROR(VLOOKUP(L116,Размеры!A:D,4,FALSE),"")</f>
        <v>57</v>
      </c>
      <c r="AB116" s="75" t="str">
        <f>IF(LEFT(VLOOKUP(LOOKUP(2,1/SEARCH(G116,Товары!A:A),Товары!A:A),Товары!A:B,2,0),6)=LEFT(W116,6),"OK","НЕ НАЙДЕНО")</f>
        <v>OK</v>
      </c>
      <c r="AC116" s="20"/>
      <c r="AD116" s="56">
        <f>SUMIF(Группа!A:A,C116,Группа!C:C)</f>
        <v>1</v>
      </c>
      <c r="AE116" s="56">
        <f>SUMIF(Группа!B:B,R116,Группа!C:C)</f>
        <v>1</v>
      </c>
      <c r="AF116" s="56">
        <f>SUMIF(Формы!A:A,D116,Формы!B:B)</f>
        <v>1</v>
      </c>
      <c r="AG116" s="56">
        <f>SUMIF(Материал!A:A,E116,Материал!B:B)</f>
        <v>1</v>
      </c>
      <c r="AH116" s="56">
        <f>SUMIF(Размеры!A:A,L116,Размеры!E:E)</f>
        <v>1</v>
      </c>
      <c r="AI116" s="56">
        <f>SUMIF(Сезон!A:A,J116,Сезон!B:B)</f>
        <v>1</v>
      </c>
      <c r="AJ116" s="56">
        <f>SUMIF(Состав!A:A,K116,Состав!B:B)</f>
        <v>0</v>
      </c>
      <c r="AK116" s="56">
        <f>SUMIF(ЦветПолный!A:A,I116,ЦветПолный!C:C)</f>
        <v>11</v>
      </c>
      <c r="AL116" s="56">
        <f>SUMIF(Цвет!A:A,V116,Цвет!B:B)</f>
        <v>1</v>
      </c>
      <c r="AM116" s="56">
        <f>SUMIF(Пол!B:B,F116,Пол!C:C)</f>
        <v>1</v>
      </c>
      <c r="AN116" s="56">
        <f>SUMIF(Марка!A:A,A116,Марка!B:B)</f>
        <v>1</v>
      </c>
      <c r="AO116" s="56">
        <f>SUMIF(Страна!A:A,M116,Страна!B:B)</f>
        <v>1</v>
      </c>
      <c r="AP116" s="68" t="str">
        <f>IF(VLOOKUP(U116,Товары!A:B,2,FALSE)=W116,"Есть в 1С","ERR")</f>
        <v>Есть в 1С</v>
      </c>
      <c r="AQ116" s="68" t="str">
        <f>IF(VLOOKUP(W116,Товары!B:B,1,FALSE)=W116,"Есть в 1С","ERR")</f>
        <v>Есть в 1С</v>
      </c>
      <c r="AS116" s="58" t="str">
        <f>VLOOKUP(U116,Товары!A:B,2,FALSE)</f>
        <v>02-582-08</v>
      </c>
      <c r="AT116" s="60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48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1" t="str">
        <f t="shared" si="6"/>
        <v>02-582-08</v>
      </c>
      <c r="X117" s="70"/>
      <c r="Y117" s="73" t="s">
        <v>36787</v>
      </c>
      <c r="Z117" s="64" t="str">
        <f>VLOOKUP(I117,ЦветПолный!A:B,2,FALSE)</f>
        <v>08</v>
      </c>
      <c r="AA117" s="64" t="str">
        <f>IFERROR(VLOOKUP(L117,Размеры!A:D,4,FALSE),"")</f>
        <v>59</v>
      </c>
      <c r="AB117" s="75" t="str">
        <f>IF(LEFT(VLOOKUP(LOOKUP(2,1/SEARCH(G117,Товары!A:A),Товары!A:A),Товары!A:B,2,0),6)=LEFT(W117,6),"OK","НЕ НАЙДЕНО")</f>
        <v>OK</v>
      </c>
      <c r="AC117" s="20"/>
      <c r="AD117" s="56">
        <f>SUMIF(Группа!A:A,C117,Группа!C:C)</f>
        <v>1</v>
      </c>
      <c r="AE117" s="56">
        <f>SUMIF(Группа!B:B,R117,Группа!C:C)</f>
        <v>1</v>
      </c>
      <c r="AF117" s="56">
        <f>SUMIF(Формы!A:A,D117,Формы!B:B)</f>
        <v>1</v>
      </c>
      <c r="AG117" s="56">
        <f>SUMIF(Материал!A:A,E117,Материал!B:B)</f>
        <v>1</v>
      </c>
      <c r="AH117" s="56">
        <f>SUMIF(Размеры!A:A,L117,Размеры!E:E)</f>
        <v>1</v>
      </c>
      <c r="AI117" s="56">
        <f>SUMIF(Сезон!A:A,J117,Сезон!B:B)</f>
        <v>1</v>
      </c>
      <c r="AJ117" s="56">
        <f>SUMIF(Состав!A:A,K117,Состав!B:B)</f>
        <v>0</v>
      </c>
      <c r="AK117" s="56">
        <f>SUMIF(ЦветПолный!A:A,I117,ЦветПолный!C:C)</f>
        <v>11</v>
      </c>
      <c r="AL117" s="56">
        <f>SUMIF(Цвет!A:A,V117,Цвет!B:B)</f>
        <v>1</v>
      </c>
      <c r="AM117" s="56">
        <f>SUMIF(Пол!B:B,F117,Пол!C:C)</f>
        <v>1</v>
      </c>
      <c r="AN117" s="56">
        <f>SUMIF(Марка!A:A,A117,Марка!B:B)</f>
        <v>1</v>
      </c>
      <c r="AO117" s="56">
        <f>SUMIF(Страна!A:A,M117,Страна!B:B)</f>
        <v>1</v>
      </c>
      <c r="AP117" s="68" t="str">
        <f>IF(VLOOKUP(U117,Товары!A:B,2,FALSE)=W117,"Есть в 1С","ERR")</f>
        <v>Есть в 1С</v>
      </c>
      <c r="AQ117" s="68" t="str">
        <f>IF(VLOOKUP(W117,Товары!B:B,1,FALSE)=W117,"Есть в 1С","ERR")</f>
        <v>Есть в 1С</v>
      </c>
      <c r="AS117" s="58" t="str">
        <f>VLOOKUP(U117,Товары!A:B,2,FALSE)</f>
        <v>02-582-08</v>
      </c>
      <c r="AT117" s="60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48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1" t="str">
        <f t="shared" si="6"/>
        <v>02-582-08</v>
      </c>
      <c r="X118" s="70"/>
      <c r="Y118" s="73" t="s">
        <v>36788</v>
      </c>
      <c r="Z118" s="64" t="str">
        <f>VLOOKUP(I118,ЦветПолный!A:B,2,FALSE)</f>
        <v>08</v>
      </c>
      <c r="AA118" s="64" t="str">
        <f>IFERROR(VLOOKUP(L118,Размеры!A:D,4,FALSE),"")</f>
        <v>60</v>
      </c>
      <c r="AB118" s="75" t="str">
        <f>IF(LEFT(VLOOKUP(LOOKUP(2,1/SEARCH(G118,Товары!A:A),Товары!A:A),Товары!A:B,2,0),6)=LEFT(W118,6),"OK","НЕ НАЙДЕНО")</f>
        <v>OK</v>
      </c>
      <c r="AC118" s="20"/>
      <c r="AD118" s="56">
        <f>SUMIF(Группа!A:A,C118,Группа!C:C)</f>
        <v>1</v>
      </c>
      <c r="AE118" s="56">
        <f>SUMIF(Группа!B:B,R118,Группа!C:C)</f>
        <v>1</v>
      </c>
      <c r="AF118" s="56">
        <f>SUMIF(Формы!A:A,D118,Формы!B:B)</f>
        <v>1</v>
      </c>
      <c r="AG118" s="56">
        <f>SUMIF(Материал!A:A,E118,Материал!B:B)</f>
        <v>1</v>
      </c>
      <c r="AH118" s="56">
        <f>SUMIF(Размеры!A:A,L118,Размеры!E:E)</f>
        <v>1</v>
      </c>
      <c r="AI118" s="56">
        <f>SUMIF(Сезон!A:A,J118,Сезон!B:B)</f>
        <v>1</v>
      </c>
      <c r="AJ118" s="56">
        <f>SUMIF(Состав!A:A,K118,Состав!B:B)</f>
        <v>0</v>
      </c>
      <c r="AK118" s="56">
        <f>SUMIF(ЦветПолный!A:A,I118,ЦветПолный!C:C)</f>
        <v>11</v>
      </c>
      <c r="AL118" s="56">
        <f>SUMIF(Цвет!A:A,V118,Цвет!B:B)</f>
        <v>1</v>
      </c>
      <c r="AM118" s="56">
        <f>SUMIF(Пол!B:B,F118,Пол!C:C)</f>
        <v>1</v>
      </c>
      <c r="AN118" s="56">
        <f>SUMIF(Марка!A:A,A118,Марка!B:B)</f>
        <v>1</v>
      </c>
      <c r="AO118" s="56">
        <f>SUMIF(Страна!A:A,M118,Страна!B:B)</f>
        <v>1</v>
      </c>
      <c r="AP118" s="68" t="str">
        <f>IF(VLOOKUP(U118,Товары!A:B,2,FALSE)=W118,"Есть в 1С","ERR")</f>
        <v>Есть в 1С</v>
      </c>
      <c r="AQ118" s="68" t="str">
        <f>IF(VLOOKUP(W118,Товары!B:B,1,FALSE)=W118,"Есть в 1С","ERR")</f>
        <v>Есть в 1С</v>
      </c>
      <c r="AS118" s="58" t="str">
        <f>VLOOKUP(U118,Товары!A:B,2,FALSE)</f>
        <v>02-582-08</v>
      </c>
      <c r="AT118" s="60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48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0" t="s">
        <v>28</v>
      </c>
      <c r="W119" s="51" t="str">
        <f t="shared" si="6"/>
        <v>02-097-05</v>
      </c>
      <c r="X119" s="70"/>
      <c r="Y119" s="73" t="s">
        <v>36789</v>
      </c>
      <c r="Z119" s="64" t="str">
        <f>VLOOKUP(I119,ЦветПолный!A:B,2,FALSE)</f>
        <v>05</v>
      </c>
      <c r="AA119" s="64" t="str">
        <f>IFERROR(VLOOKUP(L119,Размеры!A:D,4,FALSE),"")</f>
        <v>56</v>
      </c>
      <c r="AB119" s="75" t="str">
        <f>IF(LEFT(VLOOKUP(LOOKUP(2,1/SEARCH(G119,Товары!A:A),Товары!A:A),Товары!A:B,2,0),6)=LEFT(W119,6),"OK","НЕ НАЙДЕНО")</f>
        <v>OK</v>
      </c>
      <c r="AC119" s="20"/>
      <c r="AD119" s="56">
        <f>SUMIF(Группа!A:A,C119,Группа!C:C)</f>
        <v>1</v>
      </c>
      <c r="AE119" s="56">
        <f>SUMIF(Группа!B:B,R119,Группа!C:C)</f>
        <v>1</v>
      </c>
      <c r="AF119" s="56">
        <f>SUMIF(Формы!A:A,D119,Формы!B:B)</f>
        <v>1</v>
      </c>
      <c r="AG119" s="56">
        <f>SUMIF(Материал!A:A,E119,Материал!B:B)</f>
        <v>1</v>
      </c>
      <c r="AH119" s="56">
        <f>SUMIF(Размеры!A:A,L119,Размеры!E:E)</f>
        <v>1</v>
      </c>
      <c r="AI119" s="56">
        <f>SUMIF(Сезон!A:A,J119,Сезон!B:B)</f>
        <v>1</v>
      </c>
      <c r="AJ119" s="56">
        <f>SUMIF(Состав!A:A,K119,Состав!B:B)</f>
        <v>0</v>
      </c>
      <c r="AK119" s="56">
        <f>SUMIF(ЦветПолный!A:A,I119,ЦветПолный!C:C)</f>
        <v>6</v>
      </c>
      <c r="AL119" s="56">
        <f>SUMIF(Цвет!A:A,V119,Цвет!B:B)</f>
        <v>1</v>
      </c>
      <c r="AM119" s="56">
        <f>SUMIF(Пол!B:B,F119,Пол!C:C)</f>
        <v>1</v>
      </c>
      <c r="AN119" s="56">
        <f>SUMIF(Марка!A:A,A119,Марка!B:B)</f>
        <v>1</v>
      </c>
      <c r="AO119" s="56">
        <f>SUMIF(Страна!A:A,M119,Страна!B:B)</f>
        <v>1</v>
      </c>
      <c r="AP119" s="68" t="str">
        <f>IF(VLOOKUP(U119,Товары!A:B,2,FALSE)=W119,"Есть в 1С","ERR")</f>
        <v>Есть в 1С</v>
      </c>
      <c r="AQ119" s="68" t="str">
        <f>IF(VLOOKUP(W119,Товары!B:B,1,FALSE)=W119,"Есть в 1С","ERR")</f>
        <v>Есть в 1С</v>
      </c>
      <c r="AS119" s="58" t="str">
        <f>VLOOKUP(U119,Товары!A:B,2,FALSE)</f>
        <v>02-097-05</v>
      </c>
      <c r="AT119" s="60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48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0" t="s">
        <v>28</v>
      </c>
      <c r="W120" s="51" t="str">
        <f t="shared" si="6"/>
        <v>02-097-05</v>
      </c>
      <c r="X120" s="70"/>
      <c r="Y120" s="73" t="s">
        <v>36790</v>
      </c>
      <c r="Z120" s="64" t="str">
        <f>VLOOKUP(I120,ЦветПолный!A:B,2,FALSE)</f>
        <v>05</v>
      </c>
      <c r="AA120" s="64" t="str">
        <f>IFERROR(VLOOKUP(L120,Размеры!A:D,4,FALSE),"")</f>
        <v>58</v>
      </c>
      <c r="AB120" s="75" t="str">
        <f>IF(LEFT(VLOOKUP(LOOKUP(2,1/SEARCH(G120,Товары!A:A),Товары!A:A),Товары!A:B,2,0),6)=LEFT(W120,6),"OK","НЕ НАЙДЕНО")</f>
        <v>OK</v>
      </c>
      <c r="AC120" s="20"/>
      <c r="AD120" s="56">
        <f>SUMIF(Группа!A:A,C120,Группа!C:C)</f>
        <v>1</v>
      </c>
      <c r="AE120" s="56">
        <f>SUMIF(Группа!B:B,R120,Группа!C:C)</f>
        <v>1</v>
      </c>
      <c r="AF120" s="56">
        <f>SUMIF(Формы!A:A,D120,Формы!B:B)</f>
        <v>1</v>
      </c>
      <c r="AG120" s="56">
        <f>SUMIF(Материал!A:A,E120,Материал!B:B)</f>
        <v>1</v>
      </c>
      <c r="AH120" s="56">
        <f>SUMIF(Размеры!A:A,L120,Размеры!E:E)</f>
        <v>1</v>
      </c>
      <c r="AI120" s="56">
        <f>SUMIF(Сезон!A:A,J120,Сезон!B:B)</f>
        <v>1</v>
      </c>
      <c r="AJ120" s="56">
        <f>SUMIF(Состав!A:A,K120,Состав!B:B)</f>
        <v>0</v>
      </c>
      <c r="AK120" s="56">
        <f>SUMIF(ЦветПолный!A:A,I120,ЦветПолный!C:C)</f>
        <v>6</v>
      </c>
      <c r="AL120" s="56">
        <f>SUMIF(Цвет!A:A,V120,Цвет!B:B)</f>
        <v>1</v>
      </c>
      <c r="AM120" s="56">
        <f>SUMIF(Пол!B:B,F120,Пол!C:C)</f>
        <v>1</v>
      </c>
      <c r="AN120" s="56">
        <f>SUMIF(Марка!A:A,A120,Марка!B:B)</f>
        <v>1</v>
      </c>
      <c r="AO120" s="56">
        <f>SUMIF(Страна!A:A,M120,Страна!B:B)</f>
        <v>1</v>
      </c>
      <c r="AP120" s="68" t="str">
        <f>IF(VLOOKUP(U120,Товары!A:B,2,FALSE)=W120,"Есть в 1С","ERR")</f>
        <v>Есть в 1С</v>
      </c>
      <c r="AQ120" s="68" t="str">
        <f>IF(VLOOKUP(W120,Товары!B:B,1,FALSE)=W120,"Есть в 1С","ERR")</f>
        <v>Есть в 1С</v>
      </c>
      <c r="AS120" s="58" t="str">
        <f>VLOOKUP(U120,Товары!A:B,2,FALSE)</f>
        <v>02-097-05</v>
      </c>
      <c r="AT120" s="60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48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0" t="s">
        <v>28</v>
      </c>
      <c r="W121" s="51" t="str">
        <f t="shared" si="6"/>
        <v>02-097-05</v>
      </c>
      <c r="X121" s="70"/>
      <c r="Y121" s="73" t="s">
        <v>36791</v>
      </c>
      <c r="Z121" s="64" t="str">
        <f>VLOOKUP(I121,ЦветПолный!A:B,2,FALSE)</f>
        <v>05</v>
      </c>
      <c r="AA121" s="64" t="str">
        <f>IFERROR(VLOOKUP(L121,Размеры!A:D,4,FALSE),"")</f>
        <v>59</v>
      </c>
      <c r="AB121" s="75" t="str">
        <f>IF(LEFT(VLOOKUP(LOOKUP(2,1/SEARCH(G121,Товары!A:A),Товары!A:A),Товары!A:B,2,0),6)=LEFT(W121,6),"OK","НЕ НАЙДЕНО")</f>
        <v>OK</v>
      </c>
      <c r="AC121" s="20"/>
      <c r="AD121" s="56">
        <f>SUMIF(Группа!A:A,C121,Группа!C:C)</f>
        <v>1</v>
      </c>
      <c r="AE121" s="56">
        <f>SUMIF(Группа!B:B,R121,Группа!C:C)</f>
        <v>1</v>
      </c>
      <c r="AF121" s="56">
        <f>SUMIF(Формы!A:A,D121,Формы!B:B)</f>
        <v>1</v>
      </c>
      <c r="AG121" s="56">
        <f>SUMIF(Материал!A:A,E121,Материал!B:B)</f>
        <v>1</v>
      </c>
      <c r="AH121" s="56">
        <f>SUMIF(Размеры!A:A,L121,Размеры!E:E)</f>
        <v>1</v>
      </c>
      <c r="AI121" s="56">
        <f>SUMIF(Сезон!A:A,J121,Сезон!B:B)</f>
        <v>1</v>
      </c>
      <c r="AJ121" s="56">
        <f>SUMIF(Состав!A:A,K121,Состав!B:B)</f>
        <v>0</v>
      </c>
      <c r="AK121" s="56">
        <f>SUMIF(ЦветПолный!A:A,I121,ЦветПолный!C:C)</f>
        <v>6</v>
      </c>
      <c r="AL121" s="56">
        <f>SUMIF(Цвет!A:A,V121,Цвет!B:B)</f>
        <v>1</v>
      </c>
      <c r="AM121" s="56">
        <f>SUMIF(Пол!B:B,F121,Пол!C:C)</f>
        <v>1</v>
      </c>
      <c r="AN121" s="56">
        <f>SUMIF(Марка!A:A,A121,Марка!B:B)</f>
        <v>1</v>
      </c>
      <c r="AO121" s="56">
        <f>SUMIF(Страна!A:A,M121,Страна!B:B)</f>
        <v>1</v>
      </c>
      <c r="AP121" s="68" t="str">
        <f>IF(VLOOKUP(U121,Товары!A:B,2,FALSE)=W121,"Есть в 1С","ERR")</f>
        <v>Есть в 1С</v>
      </c>
      <c r="AQ121" s="68" t="str">
        <f>IF(VLOOKUP(W121,Товары!B:B,1,FALSE)=W121,"Есть в 1С","ERR")</f>
        <v>Есть в 1С</v>
      </c>
      <c r="AS121" s="58" t="str">
        <f>VLOOKUP(U121,Товары!A:B,2,FALSE)</f>
        <v>02-097-05</v>
      </c>
      <c r="AT121" s="60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48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0" t="s">
        <v>28</v>
      </c>
      <c r="W122" s="51" t="str">
        <f t="shared" si="6"/>
        <v>02-097-05</v>
      </c>
      <c r="X122" s="70"/>
      <c r="Y122" s="73" t="s">
        <v>36792</v>
      </c>
      <c r="Z122" s="64" t="str">
        <f>VLOOKUP(I122,ЦветПолный!A:B,2,FALSE)</f>
        <v>05</v>
      </c>
      <c r="AA122" s="64" t="str">
        <f>IFERROR(VLOOKUP(L122,Размеры!A:D,4,FALSE),"")</f>
        <v>60</v>
      </c>
      <c r="AB122" s="75" t="str">
        <f>IF(LEFT(VLOOKUP(LOOKUP(2,1/SEARCH(G122,Товары!A:A),Товары!A:A),Товары!A:B,2,0),6)=LEFT(W122,6),"OK","НЕ НАЙДЕНО")</f>
        <v>OK</v>
      </c>
      <c r="AC122" s="20"/>
      <c r="AD122" s="56">
        <f>SUMIF(Группа!A:A,C122,Группа!C:C)</f>
        <v>1</v>
      </c>
      <c r="AE122" s="56">
        <f>SUMIF(Группа!B:B,R122,Группа!C:C)</f>
        <v>1</v>
      </c>
      <c r="AF122" s="56">
        <f>SUMIF(Формы!A:A,D122,Формы!B:B)</f>
        <v>1</v>
      </c>
      <c r="AG122" s="56">
        <f>SUMIF(Материал!A:A,E122,Материал!B:B)</f>
        <v>1</v>
      </c>
      <c r="AH122" s="56">
        <f>SUMIF(Размеры!A:A,L122,Размеры!E:E)</f>
        <v>1</v>
      </c>
      <c r="AI122" s="56">
        <f>SUMIF(Сезон!A:A,J122,Сезон!B:B)</f>
        <v>1</v>
      </c>
      <c r="AJ122" s="56">
        <f>SUMIF(Состав!A:A,K122,Состав!B:B)</f>
        <v>0</v>
      </c>
      <c r="AK122" s="56">
        <f>SUMIF(ЦветПолный!A:A,I122,ЦветПолный!C:C)</f>
        <v>6</v>
      </c>
      <c r="AL122" s="56">
        <f>SUMIF(Цвет!A:A,V122,Цвет!B:B)</f>
        <v>1</v>
      </c>
      <c r="AM122" s="56">
        <f>SUMIF(Пол!B:B,F122,Пол!C:C)</f>
        <v>1</v>
      </c>
      <c r="AN122" s="56">
        <f>SUMIF(Марка!A:A,A122,Марка!B:B)</f>
        <v>1</v>
      </c>
      <c r="AO122" s="56">
        <f>SUMIF(Страна!A:A,M122,Страна!B:B)</f>
        <v>1</v>
      </c>
      <c r="AP122" s="68" t="str">
        <f>IF(VLOOKUP(U122,Товары!A:B,2,FALSE)=W122,"Есть в 1С","ERR")</f>
        <v>Есть в 1С</v>
      </c>
      <c r="AQ122" s="68" t="str">
        <f>IF(VLOOKUP(W122,Товары!B:B,1,FALSE)=W122,"Есть в 1С","ERR")</f>
        <v>Есть в 1С</v>
      </c>
      <c r="AS122" s="58" t="str">
        <f>VLOOKUP(U122,Товары!A:B,2,FALSE)</f>
        <v>02-097-05</v>
      </c>
      <c r="AT122" s="60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48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1" t="str">
        <f t="shared" si="6"/>
        <v>new</v>
      </c>
      <c r="X123" s="70"/>
      <c r="Y123" s="73" t="s">
        <v>13</v>
      </c>
      <c r="Z123" s="64" t="str">
        <f>VLOOKUP(I123,ЦветПолный!A:B,2,FALSE)</f>
        <v>14</v>
      </c>
      <c r="AA123" s="64" t="str">
        <f>IFERROR(VLOOKUP(L123,Размеры!A:D,4,FALSE),"")</f>
        <v>57</v>
      </c>
      <c r="AB123" s="75" t="str">
        <f>IF(LEFT(VLOOKUP(LOOKUP(2,1/SEARCH(G123,Товары!A:A),Товары!A:A),Товары!A:B,2,0),6)=LEFT(W123,6),"OK","НЕ НАЙДЕНО")</f>
        <v>НЕ НАЙДЕНО</v>
      </c>
      <c r="AC123" s="20"/>
      <c r="AD123" s="56">
        <f>SUMIF(Группа!A:A,C123,Группа!C:C)</f>
        <v>1</v>
      </c>
      <c r="AE123" s="56">
        <f>SUMIF(Группа!B:B,R123,Группа!C:C)</f>
        <v>1</v>
      </c>
      <c r="AF123" s="56">
        <f>SUMIF(Формы!A:A,D123,Формы!B:B)</f>
        <v>1</v>
      </c>
      <c r="AG123" s="56">
        <f>SUMIF(Материал!A:A,E123,Материал!B:B)</f>
        <v>1</v>
      </c>
      <c r="AH123" s="56">
        <f>SUMIF(Размеры!A:A,L123,Размеры!E:E)</f>
        <v>1</v>
      </c>
      <c r="AI123" s="56">
        <f>SUMIF(Сезон!A:A,J123,Сезон!B:B)</f>
        <v>1</v>
      </c>
      <c r="AJ123" s="56">
        <f>SUMIF(Состав!A:A,K123,Состав!B:B)</f>
        <v>0</v>
      </c>
      <c r="AK123" s="56">
        <f>SUMIF(ЦветПолный!A:A,I123,ЦветПолный!C:C)</f>
        <v>14</v>
      </c>
      <c r="AL123" s="56">
        <f>SUMIF(Цвет!A:A,V123,Цвет!B:B)</f>
        <v>1</v>
      </c>
      <c r="AM123" s="56">
        <f>SUMIF(Пол!B:B,F123,Пол!C:C)</f>
        <v>1</v>
      </c>
      <c r="AN123" s="56">
        <f>SUMIF(Марка!A:A,A123,Марка!B:B)</f>
        <v>1</v>
      </c>
      <c r="AO123" s="56">
        <f>SUMIF(Страна!A:A,M123,Страна!B:B)</f>
        <v>1</v>
      </c>
      <c r="AP123" s="68" t="str">
        <f>IF(VLOOKUP(U123,Товары!A:B,2,FALSE)=W123,"Есть в 1С","ERR")</f>
        <v>ERR</v>
      </c>
      <c r="AQ123" s="68" t="e">
        <f>IF(VLOOKUP(W123,Товары!B:B,1,FALSE)=W123,"Есть в 1С","ERR")</f>
        <v>#N/A</v>
      </c>
      <c r="AS123" s="58" t="str">
        <f>VLOOKUP(U123,Товары!A:B,2,FALSE)</f>
        <v>02-647-14</v>
      </c>
      <c r="AT123" s="60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48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1" t="str">
        <f t="shared" si="6"/>
        <v>new</v>
      </c>
      <c r="X124" s="70"/>
      <c r="Y124" s="73" t="s">
        <v>13</v>
      </c>
      <c r="Z124" s="64" t="str">
        <f>VLOOKUP(I124,ЦветПолный!A:B,2,FALSE)</f>
        <v>14</v>
      </c>
      <c r="AA124" s="64" t="str">
        <f>IFERROR(VLOOKUP(L124,Размеры!A:D,4,FALSE),"")</f>
        <v>59</v>
      </c>
      <c r="AB124" s="75" t="str">
        <f>IF(LEFT(VLOOKUP(LOOKUP(2,1/SEARCH(G124,Товары!A:A),Товары!A:A),Товары!A:B,2,0),6)=LEFT(W124,6),"OK","НЕ НАЙДЕНО")</f>
        <v>НЕ НАЙДЕНО</v>
      </c>
      <c r="AC124" s="20"/>
      <c r="AD124" s="56">
        <f>SUMIF(Группа!A:A,C124,Группа!C:C)</f>
        <v>1</v>
      </c>
      <c r="AE124" s="56">
        <f>SUMIF(Группа!B:B,R124,Группа!C:C)</f>
        <v>1</v>
      </c>
      <c r="AF124" s="56">
        <f>SUMIF(Формы!A:A,D124,Формы!B:B)</f>
        <v>1</v>
      </c>
      <c r="AG124" s="56">
        <f>SUMIF(Материал!A:A,E124,Материал!B:B)</f>
        <v>1</v>
      </c>
      <c r="AH124" s="56">
        <f>SUMIF(Размеры!A:A,L124,Размеры!E:E)</f>
        <v>1</v>
      </c>
      <c r="AI124" s="56">
        <f>SUMIF(Сезон!A:A,J124,Сезон!B:B)</f>
        <v>1</v>
      </c>
      <c r="AJ124" s="56">
        <f>SUMIF(Состав!A:A,K124,Состав!B:B)</f>
        <v>0</v>
      </c>
      <c r="AK124" s="56">
        <f>SUMIF(ЦветПолный!A:A,I124,ЦветПолный!C:C)</f>
        <v>14</v>
      </c>
      <c r="AL124" s="56">
        <f>SUMIF(Цвет!A:A,V124,Цвет!B:B)</f>
        <v>1</v>
      </c>
      <c r="AM124" s="56">
        <f>SUMIF(Пол!B:B,F124,Пол!C:C)</f>
        <v>1</v>
      </c>
      <c r="AN124" s="56">
        <f>SUMIF(Марка!A:A,A124,Марка!B:B)</f>
        <v>1</v>
      </c>
      <c r="AO124" s="56">
        <f>SUMIF(Страна!A:A,M124,Страна!B:B)</f>
        <v>1</v>
      </c>
      <c r="AP124" s="68" t="str">
        <f>IF(VLOOKUP(U124,Товары!A:B,2,FALSE)=W124,"Есть в 1С","ERR")</f>
        <v>ERR</v>
      </c>
      <c r="AQ124" s="68" t="e">
        <f>IF(VLOOKUP(W124,Товары!B:B,1,FALSE)=W124,"Есть в 1С","ERR")</f>
        <v>#N/A</v>
      </c>
      <c r="AS124" s="58" t="str">
        <f>VLOOKUP(U124,Товары!A:B,2,FALSE)</f>
        <v>02-647-14</v>
      </c>
      <c r="AT124" s="60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48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1" t="str">
        <f t="shared" si="6"/>
        <v>new</v>
      </c>
      <c r="X125" s="70"/>
      <c r="Y125" s="73" t="s">
        <v>13</v>
      </c>
      <c r="Z125" s="64" t="str">
        <f>VLOOKUP(I125,ЦветПолный!A:B,2,FALSE)</f>
        <v>14</v>
      </c>
      <c r="AA125" s="64" t="str">
        <f>IFERROR(VLOOKUP(L125,Размеры!A:D,4,FALSE),"")</f>
        <v>61</v>
      </c>
      <c r="AB125" s="75" t="str">
        <f>IF(LEFT(VLOOKUP(LOOKUP(2,1/SEARCH(G125,Товары!A:A),Товары!A:A),Товары!A:B,2,0),6)=LEFT(W125,6),"OK","НЕ НАЙДЕНО")</f>
        <v>НЕ НАЙДЕНО</v>
      </c>
      <c r="AC125" s="20"/>
      <c r="AD125" s="56">
        <f>SUMIF(Группа!A:A,C125,Группа!C:C)</f>
        <v>1</v>
      </c>
      <c r="AE125" s="56">
        <f>SUMIF(Группа!B:B,R125,Группа!C:C)</f>
        <v>1</v>
      </c>
      <c r="AF125" s="56">
        <f>SUMIF(Формы!A:A,D125,Формы!B:B)</f>
        <v>1</v>
      </c>
      <c r="AG125" s="56">
        <f>SUMIF(Материал!A:A,E125,Материал!B:B)</f>
        <v>1</v>
      </c>
      <c r="AH125" s="56">
        <f>SUMIF(Размеры!A:A,L125,Размеры!E:E)</f>
        <v>1</v>
      </c>
      <c r="AI125" s="56">
        <f>SUMIF(Сезон!A:A,J125,Сезон!B:B)</f>
        <v>1</v>
      </c>
      <c r="AJ125" s="56">
        <f>SUMIF(Состав!A:A,K125,Состав!B:B)</f>
        <v>0</v>
      </c>
      <c r="AK125" s="56">
        <f>SUMIF(ЦветПолный!A:A,I125,ЦветПолный!C:C)</f>
        <v>14</v>
      </c>
      <c r="AL125" s="56">
        <f>SUMIF(Цвет!A:A,V125,Цвет!B:B)</f>
        <v>1</v>
      </c>
      <c r="AM125" s="56">
        <f>SUMIF(Пол!B:B,F125,Пол!C:C)</f>
        <v>1</v>
      </c>
      <c r="AN125" s="56">
        <f>SUMIF(Марка!A:A,A125,Марка!B:B)</f>
        <v>1</v>
      </c>
      <c r="AO125" s="56">
        <f>SUMIF(Страна!A:A,M125,Страна!B:B)</f>
        <v>1</v>
      </c>
      <c r="AP125" s="68" t="str">
        <f>IF(VLOOKUP(U125,Товары!A:B,2,FALSE)=W125,"Есть в 1С","ERR")</f>
        <v>ERR</v>
      </c>
      <c r="AQ125" s="68" t="e">
        <f>IF(VLOOKUP(W125,Товары!B:B,1,FALSE)=W125,"Есть в 1С","ERR")</f>
        <v>#N/A</v>
      </c>
      <c r="AS125" s="58" t="str">
        <f>VLOOKUP(U125,Товары!A:B,2,FALSE)</f>
        <v>02-647-14</v>
      </c>
      <c r="AT125" s="60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48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0" t="s">
        <v>27</v>
      </c>
      <c r="W126" s="51" t="str">
        <f t="shared" si="6"/>
        <v>new</v>
      </c>
      <c r="X126" s="70"/>
      <c r="Y126" s="73" t="s">
        <v>13</v>
      </c>
      <c r="Z126" s="64" t="str">
        <f>VLOOKUP(I126,ЦветПолный!A:B,2,FALSE)</f>
        <v>14</v>
      </c>
      <c r="AA126" s="64" t="str">
        <f>IFERROR(VLOOKUP(L126,Размеры!A:D,4,FALSE),"")</f>
        <v>63</v>
      </c>
      <c r="AB126" s="75" t="str">
        <f>IF(LEFT(VLOOKUP(LOOKUP(2,1/SEARCH(G126,Товары!A:A),Товары!A:A),Товары!A:B,2,0),6)=LEFT(W126,6),"OK","НЕ НАЙДЕНО")</f>
        <v>НЕ НАЙДЕНО</v>
      </c>
      <c r="AC126" s="20"/>
      <c r="AD126" s="56">
        <f>SUMIF(Группа!A:A,C126,Группа!C:C)</f>
        <v>1</v>
      </c>
      <c r="AE126" s="56">
        <f>SUMIF(Группа!B:B,R126,Группа!C:C)</f>
        <v>1</v>
      </c>
      <c r="AF126" s="56">
        <f>SUMIF(Формы!A:A,D126,Формы!B:B)</f>
        <v>1</v>
      </c>
      <c r="AG126" s="56">
        <f>SUMIF(Материал!A:A,E126,Материал!B:B)</f>
        <v>1</v>
      </c>
      <c r="AH126" s="56">
        <f>SUMIF(Размеры!A:A,L126,Размеры!E:E)</f>
        <v>1</v>
      </c>
      <c r="AI126" s="56">
        <f>SUMIF(Сезон!A:A,J126,Сезон!B:B)</f>
        <v>1</v>
      </c>
      <c r="AJ126" s="56">
        <f>SUMIF(Состав!A:A,K126,Состав!B:B)</f>
        <v>0</v>
      </c>
      <c r="AK126" s="56">
        <f>SUMIF(ЦветПолный!A:A,I126,ЦветПолный!C:C)</f>
        <v>14</v>
      </c>
      <c r="AL126" s="56">
        <f>SUMIF(Цвет!A:A,V126,Цвет!B:B)</f>
        <v>1</v>
      </c>
      <c r="AM126" s="56">
        <f>SUMIF(Пол!B:B,F126,Пол!C:C)</f>
        <v>1</v>
      </c>
      <c r="AN126" s="56">
        <f>SUMIF(Марка!A:A,A126,Марка!B:B)</f>
        <v>1</v>
      </c>
      <c r="AO126" s="56">
        <f>SUMIF(Страна!A:A,M126,Страна!B:B)</f>
        <v>1</v>
      </c>
      <c r="AP126" s="68" t="str">
        <f>IF(VLOOKUP(U126,Товары!A:B,2,FALSE)=W126,"Есть в 1С","ERR")</f>
        <v>ERR</v>
      </c>
      <c r="AQ126" s="68" t="e">
        <f>IF(VLOOKUP(W126,Товары!B:B,1,FALSE)=W126,"Есть в 1С","ERR")</f>
        <v>#N/A</v>
      </c>
      <c r="AS126" s="58" t="str">
        <f>VLOOKUP(U126,Товары!A:B,2,FALSE)</f>
        <v>02-647-14</v>
      </c>
      <c r="AT126" s="60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48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0" t="s">
        <v>27</v>
      </c>
      <c r="W127" s="51" t="str">
        <f t="shared" si="6"/>
        <v>02-584-08</v>
      </c>
      <c r="X127" s="70"/>
      <c r="Y127" s="73" t="s">
        <v>36793</v>
      </c>
      <c r="Z127" s="64" t="str">
        <f>VLOOKUP(I127,ЦветПолный!A:B,2,FALSE)</f>
        <v>08</v>
      </c>
      <c r="AA127" s="64" t="str">
        <f>IFERROR(VLOOKUP(L127,Размеры!A:D,4,FALSE),"")</f>
        <v>59</v>
      </c>
      <c r="AB127" s="75" t="str">
        <f>IF(LEFT(VLOOKUP(LOOKUP(2,1/SEARCH(G127,Товары!A:A),Товары!A:A),Товары!A:B,2,0),6)=LEFT(W127,6),"OK","НЕ НАЙДЕНО")</f>
        <v>OK</v>
      </c>
      <c r="AC127" s="20"/>
      <c r="AD127" s="56">
        <f>SUMIF(Группа!A:A,C127,Группа!C:C)</f>
        <v>1</v>
      </c>
      <c r="AE127" s="56">
        <f>SUMIF(Группа!B:B,R127,Группа!C:C)</f>
        <v>1</v>
      </c>
      <c r="AF127" s="56">
        <f>SUMIF(Формы!A:A,D127,Формы!B:B)</f>
        <v>1</v>
      </c>
      <c r="AG127" s="56">
        <f>SUMIF(Материал!A:A,E127,Материал!B:B)</f>
        <v>1</v>
      </c>
      <c r="AH127" s="56">
        <f>SUMIF(Размеры!A:A,L127,Размеры!E:E)</f>
        <v>1</v>
      </c>
      <c r="AI127" s="56">
        <f>SUMIF(Сезон!A:A,J127,Сезон!B:B)</f>
        <v>1</v>
      </c>
      <c r="AJ127" s="56">
        <f>SUMIF(Состав!A:A,K127,Состав!B:B)</f>
        <v>0</v>
      </c>
      <c r="AK127" s="56">
        <f>SUMIF(ЦветПолный!A:A,I127,ЦветПолный!C:C)</f>
        <v>11</v>
      </c>
      <c r="AL127" s="56">
        <f>SUMIF(Цвет!A:A,V127,Цвет!B:B)</f>
        <v>1</v>
      </c>
      <c r="AM127" s="56">
        <f>SUMIF(Пол!B:B,F127,Пол!C:C)</f>
        <v>1</v>
      </c>
      <c r="AN127" s="56">
        <f>SUMIF(Марка!A:A,A127,Марка!B:B)</f>
        <v>1</v>
      </c>
      <c r="AO127" s="56">
        <f>SUMIF(Страна!A:A,M127,Страна!B:B)</f>
        <v>1</v>
      </c>
      <c r="AP127" s="68" t="str">
        <f>IF(VLOOKUP(U127,Товары!A:B,2,FALSE)=W127,"Есть в 1С","ERR")</f>
        <v>Есть в 1С</v>
      </c>
      <c r="AQ127" s="68" t="str">
        <f>IF(VLOOKUP(W127,Товары!B:B,1,FALSE)=W127,"Есть в 1С","ERR")</f>
        <v>Есть в 1С</v>
      </c>
      <c r="AS127" s="58" t="str">
        <f>VLOOKUP(U127,Товары!A:B,2,FALSE)</f>
        <v>02-584-08</v>
      </c>
      <c r="AT127" s="60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48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0" t="s">
        <v>27</v>
      </c>
      <c r="W128" s="51" t="str">
        <f t="shared" si="6"/>
        <v>02-098-09</v>
      </c>
      <c r="X128" s="70"/>
      <c r="Y128" s="73" t="s">
        <v>36794</v>
      </c>
      <c r="Z128" s="64" t="str">
        <f>VLOOKUP(I128,ЦветПолный!A:B,2,FALSE)</f>
        <v>09</v>
      </c>
      <c r="AA128" s="64" t="str">
        <f>IFERROR(VLOOKUP(L128,Размеры!A:D,4,FALSE),"")</f>
        <v>00</v>
      </c>
      <c r="AB128" s="75" t="str">
        <f>IF(LEFT(VLOOKUP(LOOKUP(2,1/SEARCH(G128,Товары!A:A),Товары!A:A),Товары!A:B,2,0),6)=LEFT(W128,6),"OK","НЕ НАЙДЕНО")</f>
        <v>OK</v>
      </c>
      <c r="AC128" s="20"/>
      <c r="AD128" s="56">
        <f>SUMIF(Группа!A:A,C128,Группа!C:C)</f>
        <v>1</v>
      </c>
      <c r="AE128" s="56">
        <f>SUMIF(Группа!B:B,R128,Группа!C:C)</f>
        <v>1</v>
      </c>
      <c r="AF128" s="56">
        <f>SUMIF(Формы!A:A,D128,Формы!B:B)</f>
        <v>1</v>
      </c>
      <c r="AG128" s="56">
        <f>SUMIF(Материал!A:A,E128,Материал!B:B)</f>
        <v>1</v>
      </c>
      <c r="AH128" s="56">
        <f>SUMIF(Размеры!A:A,L128,Размеры!E:E)</f>
        <v>1</v>
      </c>
      <c r="AI128" s="56">
        <f>SUMIF(Сезон!A:A,J128,Сезон!B:B)</f>
        <v>1</v>
      </c>
      <c r="AJ128" s="56">
        <f>SUMIF(Состав!A:A,K128,Состав!B:B)</f>
        <v>0</v>
      </c>
      <c r="AK128" s="56">
        <f>SUMIF(ЦветПолный!A:A,I128,ЦветПолный!C:C)</f>
        <v>11</v>
      </c>
      <c r="AL128" s="56">
        <f>SUMIF(Цвет!A:A,V128,Цвет!B:B)</f>
        <v>1</v>
      </c>
      <c r="AM128" s="56">
        <f>SUMIF(Пол!B:B,F128,Пол!C:C)</f>
        <v>1</v>
      </c>
      <c r="AN128" s="56">
        <f>SUMIF(Марка!A:A,A128,Марка!B:B)</f>
        <v>1</v>
      </c>
      <c r="AO128" s="56">
        <f>SUMIF(Страна!A:A,M128,Страна!B:B)</f>
        <v>1</v>
      </c>
      <c r="AP128" s="68" t="str">
        <f>IF(VLOOKUP(U128,Товары!A:B,2,FALSE)=W128,"Есть в 1С","ERR")</f>
        <v>Есть в 1С</v>
      </c>
      <c r="AQ128" s="68" t="str">
        <f>IF(VLOOKUP(W128,Товары!B:B,1,FALSE)=W128,"Есть в 1С","ERR")</f>
        <v>Есть в 1С</v>
      </c>
      <c r="AS128" s="58" t="str">
        <f>VLOOKUP(U128,Товары!A:B,2,FALSE)</f>
        <v>02-098-09</v>
      </c>
      <c r="AT128" s="60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48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0" t="s">
        <v>27</v>
      </c>
      <c r="W129" s="51" t="str">
        <f t="shared" si="6"/>
        <v>02-098-91</v>
      </c>
      <c r="X129" s="70"/>
      <c r="Y129" s="73" t="s">
        <v>36795</v>
      </c>
      <c r="Z129" s="64" t="str">
        <f>VLOOKUP(I129,ЦветПолный!A:B,2,FALSE)</f>
        <v>91</v>
      </c>
      <c r="AA129" s="64" t="str">
        <f>IFERROR(VLOOKUP(L129,Размеры!A:D,4,FALSE),"")</f>
        <v>00</v>
      </c>
      <c r="AB129" s="75" t="str">
        <f>IF(LEFT(VLOOKUP(LOOKUP(2,1/SEARCH(G129,Товары!A:A),Товары!A:A),Товары!A:B,2,0),6)=LEFT(W129,6),"OK","НЕ НАЙДЕНО")</f>
        <v>OK</v>
      </c>
      <c r="AC129" s="20"/>
      <c r="AD129" s="56">
        <f>SUMIF(Группа!A:A,C129,Группа!C:C)</f>
        <v>1</v>
      </c>
      <c r="AE129" s="56">
        <f>SUMIF(Группа!B:B,R129,Группа!C:C)</f>
        <v>1</v>
      </c>
      <c r="AF129" s="56">
        <f>SUMIF(Формы!A:A,D129,Формы!B:B)</f>
        <v>1</v>
      </c>
      <c r="AG129" s="56">
        <f>SUMIF(Материал!A:A,E129,Материал!B:B)</f>
        <v>1</v>
      </c>
      <c r="AH129" s="56">
        <f>SUMIF(Размеры!A:A,L129,Размеры!E:E)</f>
        <v>1</v>
      </c>
      <c r="AI129" s="56">
        <f>SUMIF(Сезон!A:A,J129,Сезон!B:B)</f>
        <v>1</v>
      </c>
      <c r="AJ129" s="56">
        <f>SUMIF(Состав!A:A,K129,Состав!B:B)</f>
        <v>0</v>
      </c>
      <c r="AK129" s="56">
        <f>SUMIF(ЦветПолный!A:A,I129,ЦветПолный!C:C)</f>
        <v>7</v>
      </c>
      <c r="AL129" s="56">
        <f>SUMIF(Цвет!A:A,V129,Цвет!B:B)</f>
        <v>1</v>
      </c>
      <c r="AM129" s="56">
        <f>SUMIF(Пол!B:B,F129,Пол!C:C)</f>
        <v>1</v>
      </c>
      <c r="AN129" s="56">
        <f>SUMIF(Марка!A:A,A129,Марка!B:B)</f>
        <v>1</v>
      </c>
      <c r="AO129" s="56">
        <f>SUMIF(Страна!A:A,M129,Страна!B:B)</f>
        <v>1</v>
      </c>
      <c r="AP129" s="68" t="str">
        <f>IF(VLOOKUP(U129,Товары!A:B,2,FALSE)=W129,"Есть в 1С","ERR")</f>
        <v>Есть в 1С</v>
      </c>
      <c r="AQ129" s="68" t="str">
        <f>IF(VLOOKUP(W129,Товары!B:B,1,FALSE)=W129,"Есть в 1С","ERR")</f>
        <v>Есть в 1С</v>
      </c>
      <c r="AS129" s="58" t="str">
        <f>VLOOKUP(U129,Товары!A:B,2,FALSE)</f>
        <v>02-098-91</v>
      </c>
      <c r="AT129" s="60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48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1" t="str">
        <f t="shared" si="6"/>
        <v>02-380-72</v>
      </c>
      <c r="X130" s="70"/>
      <c r="Y130" s="73" t="s">
        <v>36796</v>
      </c>
      <c r="Z130" s="64" t="str">
        <f>VLOOKUP(I130,ЦветПолный!A:B,2,FALSE)</f>
        <v>45</v>
      </c>
      <c r="AA130" s="64" t="str">
        <f>IFERROR(VLOOKUP(L130,Размеры!A:D,4,FALSE),"")</f>
        <v>00</v>
      </c>
      <c r="AB130" s="75" t="str">
        <f>IF(LEFT(VLOOKUP(LOOKUP(2,1/SEARCH(G130,Товары!A:A),Товары!A:A),Товары!A:B,2,0),6)=LEFT(W130,6),"OK","НЕ НАЙДЕНО")</f>
        <v>OK</v>
      </c>
      <c r="AC130" s="20"/>
      <c r="AD130" s="56">
        <f>SUMIF(Группа!A:A,C130,Группа!C:C)</f>
        <v>1</v>
      </c>
      <c r="AE130" s="56">
        <f>SUMIF(Группа!B:B,R130,Группа!C:C)</f>
        <v>1</v>
      </c>
      <c r="AF130" s="56">
        <f>SUMIF(Формы!A:A,D130,Формы!B:B)</f>
        <v>1</v>
      </c>
      <c r="AG130" s="56">
        <f>SUMIF(Материал!A:A,E130,Материал!B:B)</f>
        <v>1</v>
      </c>
      <c r="AH130" s="56">
        <f>SUMIF(Размеры!A:A,L130,Размеры!E:E)</f>
        <v>1</v>
      </c>
      <c r="AI130" s="56">
        <f>SUMIF(Сезон!A:A,J130,Сезон!B:B)</f>
        <v>1</v>
      </c>
      <c r="AJ130" s="56">
        <f>SUMIF(Состав!A:A,K130,Состав!B:B)</f>
        <v>1</v>
      </c>
      <c r="AK130" s="56">
        <f>SUMIF(ЦветПолный!A:A,I130,ЦветПолный!C:C)</f>
        <v>9</v>
      </c>
      <c r="AL130" s="56">
        <f>SUMIF(Цвет!A:A,V130,Цвет!B:B)</f>
        <v>1</v>
      </c>
      <c r="AM130" s="56">
        <f>SUMIF(Пол!B:B,F130,Пол!C:C)</f>
        <v>1</v>
      </c>
      <c r="AN130" s="56">
        <f>SUMIF(Марка!A:A,A130,Марка!B:B)</f>
        <v>1</v>
      </c>
      <c r="AO130" s="56">
        <f>SUMIF(Страна!A:A,M130,Страна!B:B)</f>
        <v>1</v>
      </c>
      <c r="AP130" s="68" t="str">
        <f>IF(VLOOKUP(U130,Товары!A:B,2,FALSE)=W130,"Есть в 1С","ERR")</f>
        <v>Есть в 1С</v>
      </c>
      <c r="AQ130" s="68" t="str">
        <f>IF(VLOOKUP(W130,Товары!B:B,1,FALSE)=W130,"Есть в 1С","ERR")</f>
        <v>Есть в 1С</v>
      </c>
      <c r="AS130" s="58" t="str">
        <f>VLOOKUP(U130,Товары!A:B,2,FALSE)</f>
        <v>02-380-72</v>
      </c>
      <c r="AT130" s="60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48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1" t="str">
        <f t="shared" ref="W131:W172" si="11">LEFT(Y131,9)</f>
        <v>new</v>
      </c>
      <c r="X131" s="70"/>
      <c r="Y131" s="73" t="s">
        <v>13</v>
      </c>
      <c r="Z131" s="64" t="str">
        <f>VLOOKUP(I131,ЦветПолный!A:B,2,FALSE)</f>
        <v>06</v>
      </c>
      <c r="AA131" s="64" t="str">
        <f>IFERROR(VLOOKUP(L131,Размеры!A:D,4,FALSE),"")</f>
        <v>00</v>
      </c>
      <c r="AB131" s="75" t="str">
        <f>IF(LEFT(VLOOKUP(LOOKUP(2,1/SEARCH(G131,Товары!A:A),Товары!A:A),Товары!A:B,2,0),6)=LEFT(W131,6),"OK","НЕ НАЙДЕНО")</f>
        <v>НЕ НАЙДЕНО</v>
      </c>
      <c r="AC131" s="20"/>
      <c r="AD131" s="56">
        <f>SUMIF(Группа!A:A,C131,Группа!C:C)</f>
        <v>1</v>
      </c>
      <c r="AE131" s="56">
        <f>SUMIF(Группа!B:B,R131,Группа!C:C)</f>
        <v>1</v>
      </c>
      <c r="AF131" s="56">
        <f>SUMIF(Формы!A:A,D131,Формы!B:B)</f>
        <v>1</v>
      </c>
      <c r="AG131" s="56">
        <f>SUMIF(Материал!A:A,E131,Материал!B:B)</f>
        <v>1</v>
      </c>
      <c r="AH131" s="56">
        <f>SUMIF(Размеры!A:A,L131,Размеры!E:E)</f>
        <v>1</v>
      </c>
      <c r="AI131" s="56">
        <f>SUMIF(Сезон!A:A,J131,Сезон!B:B)</f>
        <v>1</v>
      </c>
      <c r="AJ131" s="56">
        <f>SUMIF(Состав!A:A,K131,Состав!B:B)</f>
        <v>1</v>
      </c>
      <c r="AK131" s="56">
        <f>SUMIF(ЦветПолный!A:A,I131,ЦветПолный!C:C)</f>
        <v>8</v>
      </c>
      <c r="AL131" s="56">
        <f>SUMIF(Цвет!A:A,V131,Цвет!B:B)</f>
        <v>1</v>
      </c>
      <c r="AM131" s="56">
        <f>SUMIF(Пол!B:B,F131,Пол!C:C)</f>
        <v>1</v>
      </c>
      <c r="AN131" s="56">
        <f>SUMIF(Марка!A:A,A131,Марка!B:B)</f>
        <v>1</v>
      </c>
      <c r="AO131" s="56">
        <f>SUMIF(Страна!A:A,M131,Страна!B:B)</f>
        <v>1</v>
      </c>
      <c r="AP131" s="68" t="str">
        <f>IF(VLOOKUP(U131,Товары!A:B,2,FALSE)=W131,"Есть в 1С","ERR")</f>
        <v>ERR</v>
      </c>
      <c r="AQ131" s="68" t="e">
        <f>IF(VLOOKUP(W131,Товары!B:B,1,FALSE)=W131,"Есть в 1С","ERR")</f>
        <v>#N/A</v>
      </c>
      <c r="AS131" s="58" t="str">
        <f>VLOOKUP(U131,Товары!A:B,2,FALSE)</f>
        <v>02-648-06</v>
      </c>
      <c r="AT131" s="60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48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1" t="str">
        <f t="shared" si="11"/>
        <v>new</v>
      </c>
      <c r="X132" s="70"/>
      <c r="Y132" s="73" t="s">
        <v>13</v>
      </c>
      <c r="Z132" s="64" t="str">
        <f>VLOOKUP(I132,ЦветПолный!A:B,2,FALSE)</f>
        <v>08</v>
      </c>
      <c r="AA132" s="64" t="str">
        <f>IFERROR(VLOOKUP(L132,Размеры!A:D,4,FALSE),"")</f>
        <v>00</v>
      </c>
      <c r="AB132" s="75" t="str">
        <f>IF(LEFT(VLOOKUP(LOOKUP(2,1/SEARCH(G132,Товары!A:A),Товары!A:A),Товары!A:B,2,0),6)=LEFT(W132,6),"OK","НЕ НАЙДЕНО")</f>
        <v>НЕ НАЙДЕНО</v>
      </c>
      <c r="AC132" s="20"/>
      <c r="AD132" s="56">
        <f>SUMIF(Группа!A:A,C132,Группа!C:C)</f>
        <v>1</v>
      </c>
      <c r="AE132" s="56">
        <f>SUMIF(Группа!B:B,R132,Группа!C:C)</f>
        <v>1</v>
      </c>
      <c r="AF132" s="56">
        <f>SUMIF(Формы!A:A,D132,Формы!B:B)</f>
        <v>1</v>
      </c>
      <c r="AG132" s="56">
        <f>SUMIF(Материал!A:A,E132,Материал!B:B)</f>
        <v>1</v>
      </c>
      <c r="AH132" s="56">
        <f>SUMIF(Размеры!A:A,L132,Размеры!E:E)</f>
        <v>1</v>
      </c>
      <c r="AI132" s="56">
        <f>SUMIF(Сезон!A:A,J132,Сезон!B:B)</f>
        <v>1</v>
      </c>
      <c r="AJ132" s="56">
        <f>SUMIF(Состав!A:A,K132,Состав!B:B)</f>
        <v>1</v>
      </c>
      <c r="AK132" s="56">
        <f>SUMIF(ЦветПолный!A:A,I132,ЦветПолный!C:C)</f>
        <v>11</v>
      </c>
      <c r="AL132" s="56">
        <f>SUMIF(Цвет!A:A,V132,Цвет!B:B)</f>
        <v>1</v>
      </c>
      <c r="AM132" s="56">
        <f>SUMIF(Пол!B:B,F132,Пол!C:C)</f>
        <v>1</v>
      </c>
      <c r="AN132" s="56">
        <f>SUMIF(Марка!A:A,A132,Марка!B:B)</f>
        <v>1</v>
      </c>
      <c r="AO132" s="56">
        <f>SUMIF(Страна!A:A,M132,Страна!B:B)</f>
        <v>1</v>
      </c>
      <c r="AP132" s="68" t="str">
        <f>IF(VLOOKUP(U132,Товары!A:B,2,FALSE)=W132,"Есть в 1С","ERR")</f>
        <v>ERR</v>
      </c>
      <c r="AQ132" s="68" t="e">
        <f>IF(VLOOKUP(W132,Товары!B:B,1,FALSE)=W132,"Есть в 1С","ERR")</f>
        <v>#N/A</v>
      </c>
      <c r="AS132" s="58" t="str">
        <f>VLOOKUP(U132,Товары!A:B,2,FALSE)</f>
        <v>02-648-08</v>
      </c>
      <c r="AT132" s="60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48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1" t="str">
        <f t="shared" si="11"/>
        <v>new</v>
      </c>
      <c r="X133" s="70"/>
      <c r="Y133" s="73" t="s">
        <v>13</v>
      </c>
      <c r="Z133" s="64" t="str">
        <f>VLOOKUP(I133,ЦветПолный!A:B,2,FALSE)</f>
        <v>11</v>
      </c>
      <c r="AA133" s="64" t="str">
        <f>IFERROR(VLOOKUP(L133,Размеры!A:D,4,FALSE),"")</f>
        <v>00</v>
      </c>
      <c r="AB133" s="75" t="str">
        <f>IF(LEFT(VLOOKUP(LOOKUP(2,1/SEARCH(G133,Товары!A:A),Товары!A:A),Товары!A:B,2,0),6)=LEFT(W133,6),"OK","НЕ НАЙДЕНО")</f>
        <v>НЕ НАЙДЕНО</v>
      </c>
      <c r="AC133" s="20"/>
      <c r="AD133" s="56">
        <f>SUMIF(Группа!A:A,C133,Группа!C:C)</f>
        <v>1</v>
      </c>
      <c r="AE133" s="56">
        <f>SUMIF(Группа!B:B,R133,Группа!C:C)</f>
        <v>1</v>
      </c>
      <c r="AF133" s="56">
        <f>SUMIF(Формы!A:A,D133,Формы!B:B)</f>
        <v>1</v>
      </c>
      <c r="AG133" s="56">
        <f>SUMIF(Материал!A:A,E133,Материал!B:B)</f>
        <v>1</v>
      </c>
      <c r="AH133" s="56">
        <f>SUMIF(Размеры!A:A,L133,Размеры!E:E)</f>
        <v>1</v>
      </c>
      <c r="AI133" s="56">
        <f>SUMIF(Сезон!A:A,J133,Сезон!B:B)</f>
        <v>1</v>
      </c>
      <c r="AJ133" s="56">
        <f>SUMIF(Состав!A:A,K133,Состав!B:B)</f>
        <v>1</v>
      </c>
      <c r="AK133" s="56">
        <f>SUMIF(ЦветПолный!A:A,I133,ЦветПолный!C:C)</f>
        <v>6</v>
      </c>
      <c r="AL133" s="56">
        <f>SUMIF(Цвет!A:A,V133,Цвет!B:B)</f>
        <v>1</v>
      </c>
      <c r="AM133" s="56">
        <f>SUMIF(Пол!B:B,F133,Пол!C:C)</f>
        <v>1</v>
      </c>
      <c r="AN133" s="56">
        <f>SUMIF(Марка!A:A,A133,Марка!B:B)</f>
        <v>1</v>
      </c>
      <c r="AO133" s="56">
        <f>SUMIF(Страна!A:A,M133,Страна!B:B)</f>
        <v>1</v>
      </c>
      <c r="AP133" s="68" t="str">
        <f>IF(VLOOKUP(U133,Товары!A:B,2,FALSE)=W133,"Есть в 1С","ERR")</f>
        <v>ERR</v>
      </c>
      <c r="AQ133" s="68" t="e">
        <f>IF(VLOOKUP(W133,Товары!B:B,1,FALSE)=W133,"Есть в 1С","ERR")</f>
        <v>#N/A</v>
      </c>
      <c r="AS133" s="58" t="str">
        <f>VLOOKUP(U133,Товары!A:B,2,FALSE)</f>
        <v>02-648-11</v>
      </c>
      <c r="AT133" s="60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48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1" t="str">
        <f t="shared" si="11"/>
        <v>new</v>
      </c>
      <c r="X134" s="70"/>
      <c r="Y134" s="73" t="s">
        <v>13</v>
      </c>
      <c r="Z134" s="64" t="str">
        <f>VLOOKUP(I134,ЦветПолный!A:B,2,FALSE)</f>
        <v>14</v>
      </c>
      <c r="AA134" s="64" t="str">
        <f>IFERROR(VLOOKUP(L134,Размеры!A:D,4,FALSE),"")</f>
        <v>00</v>
      </c>
      <c r="AB134" s="75" t="str">
        <f>IF(LEFT(VLOOKUP(LOOKUP(2,1/SEARCH(G134,Товары!A:A),Товары!A:A),Товары!A:B,2,0),6)=LEFT(W134,6),"OK","НЕ НАЙДЕНО")</f>
        <v>НЕ НАЙДЕНО</v>
      </c>
      <c r="AC134" s="20"/>
      <c r="AD134" s="56">
        <f>SUMIF(Группа!A:A,C134,Группа!C:C)</f>
        <v>1</v>
      </c>
      <c r="AE134" s="56">
        <f>SUMIF(Группа!B:B,R134,Группа!C:C)</f>
        <v>1</v>
      </c>
      <c r="AF134" s="56">
        <f>SUMIF(Формы!A:A,D134,Формы!B:B)</f>
        <v>1</v>
      </c>
      <c r="AG134" s="56">
        <f>SUMIF(Материал!A:A,E134,Материал!B:B)</f>
        <v>1</v>
      </c>
      <c r="AH134" s="56">
        <f>SUMIF(Размеры!A:A,L134,Размеры!E:E)</f>
        <v>1</v>
      </c>
      <c r="AI134" s="56">
        <f>SUMIF(Сезон!A:A,J134,Сезон!B:B)</f>
        <v>1</v>
      </c>
      <c r="AJ134" s="56">
        <f>SUMIF(Состав!A:A,K134,Состав!B:B)</f>
        <v>1</v>
      </c>
      <c r="AK134" s="56">
        <f>SUMIF(ЦветПолный!A:A,I134,ЦветПолный!C:C)</f>
        <v>14</v>
      </c>
      <c r="AL134" s="56">
        <f>SUMIF(Цвет!A:A,V134,Цвет!B:B)</f>
        <v>1</v>
      </c>
      <c r="AM134" s="56">
        <f>SUMIF(Пол!B:B,F134,Пол!C:C)</f>
        <v>1</v>
      </c>
      <c r="AN134" s="56">
        <f>SUMIF(Марка!A:A,A134,Марка!B:B)</f>
        <v>1</v>
      </c>
      <c r="AO134" s="56">
        <f>SUMIF(Страна!A:A,M134,Страна!B:B)</f>
        <v>1</v>
      </c>
      <c r="AP134" s="68" t="str">
        <f>IF(VLOOKUP(U134,Товары!A:B,2,FALSE)=W134,"Есть в 1С","ERR")</f>
        <v>ERR</v>
      </c>
      <c r="AQ134" s="68" t="e">
        <f>IF(VLOOKUP(W134,Товары!B:B,1,FALSE)=W134,"Есть в 1С","ERR")</f>
        <v>#N/A</v>
      </c>
      <c r="AS134" s="58" t="str">
        <f>VLOOKUP(U134,Товары!A:B,2,FALSE)</f>
        <v>02-648-14</v>
      </c>
      <c r="AT134" s="60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48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0" t="s">
        <v>22</v>
      </c>
      <c r="W135" s="51" t="str">
        <f t="shared" si="11"/>
        <v>02-388-91</v>
      </c>
      <c r="X135" s="70"/>
      <c r="Y135" s="73" t="s">
        <v>36797</v>
      </c>
      <c r="Z135" s="64" t="str">
        <f>VLOOKUP(I135,ЦветПолный!A:B,2,FALSE)</f>
        <v>91</v>
      </c>
      <c r="AA135" s="64" t="str">
        <f>IFERROR(VLOOKUP(L135,Размеры!A:D,4,FALSE),"")</f>
        <v>00</v>
      </c>
      <c r="AB135" s="75" t="str">
        <f>IF(LEFT(VLOOKUP(LOOKUP(2,1/SEARCH(G135,Товары!A:A),Товары!A:A),Товары!A:B,2,0),6)=LEFT(W135,6),"OK","НЕ НАЙДЕНО")</f>
        <v>OK</v>
      </c>
      <c r="AC135" s="20"/>
      <c r="AD135" s="56">
        <f>SUMIF(Группа!A:A,C135,Группа!C:C)</f>
        <v>1</v>
      </c>
      <c r="AE135" s="56">
        <f>SUMIF(Группа!B:B,R135,Группа!C:C)</f>
        <v>1</v>
      </c>
      <c r="AF135" s="56">
        <f>SUMIF(Формы!A:A,D135,Формы!B:B)</f>
        <v>1</v>
      </c>
      <c r="AG135" s="56">
        <f>SUMIF(Материал!A:A,E135,Материал!B:B)</f>
        <v>1</v>
      </c>
      <c r="AH135" s="56">
        <f>SUMIF(Размеры!A:A,L135,Размеры!E:E)</f>
        <v>1</v>
      </c>
      <c r="AI135" s="56">
        <f>SUMIF(Сезон!A:A,J135,Сезон!B:B)</f>
        <v>1</v>
      </c>
      <c r="AJ135" s="56">
        <f>SUMIF(Состав!A:A,K135,Состав!B:B)</f>
        <v>0</v>
      </c>
      <c r="AK135" s="56">
        <f>SUMIF(ЦветПолный!A:A,I135,ЦветПолный!C:C)</f>
        <v>7</v>
      </c>
      <c r="AL135" s="56">
        <f>SUMIF(Цвет!A:A,V135,Цвет!B:B)</f>
        <v>1</v>
      </c>
      <c r="AM135" s="56">
        <f>SUMIF(Пол!B:B,F135,Пол!C:C)</f>
        <v>1</v>
      </c>
      <c r="AN135" s="56">
        <f>SUMIF(Марка!A:A,A135,Марка!B:B)</f>
        <v>1</v>
      </c>
      <c r="AO135" s="56">
        <f>SUMIF(Страна!A:A,M135,Страна!B:B)</f>
        <v>1</v>
      </c>
      <c r="AP135" s="68" t="str">
        <f>IF(VLOOKUP(U135,Товары!A:B,2,FALSE)=W135,"Есть в 1С","ERR")</f>
        <v>Есть в 1С</v>
      </c>
      <c r="AQ135" s="68" t="str">
        <f>IF(VLOOKUP(W135,Товары!B:B,1,FALSE)=W135,"Есть в 1С","ERR")</f>
        <v>Есть в 1С</v>
      </c>
      <c r="AS135" s="58" t="str">
        <f>VLOOKUP(U135,Товары!A:B,2,FALSE)</f>
        <v>02-388-91</v>
      </c>
      <c r="AT135" s="60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48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1" t="str">
        <f t="shared" si="11"/>
        <v>02-389-09</v>
      </c>
      <c r="X136" s="70"/>
      <c r="Y136" s="73" t="s">
        <v>36798</v>
      </c>
      <c r="Z136" s="64" t="str">
        <f>VLOOKUP(I136,ЦветПолный!A:B,2,FALSE)</f>
        <v>09</v>
      </c>
      <c r="AA136" s="64" t="str">
        <f>IFERROR(VLOOKUP(L136,Размеры!A:D,4,FALSE),"")</f>
        <v>57</v>
      </c>
      <c r="AB136" s="75" t="str">
        <f>IF(LEFT(VLOOKUP(LOOKUP(2,1/SEARCH(G136,Товары!A:A),Товары!A:A),Товары!A:B,2,0),6)=LEFT(W136,6),"OK","НЕ НАЙДЕНО")</f>
        <v>OK</v>
      </c>
      <c r="AC136" s="20"/>
      <c r="AD136" s="56">
        <f>SUMIF(Группа!A:A,C136,Группа!C:C)</f>
        <v>1</v>
      </c>
      <c r="AE136" s="56">
        <f>SUMIF(Группа!B:B,R136,Группа!C:C)</f>
        <v>1</v>
      </c>
      <c r="AF136" s="56">
        <f>SUMIF(Формы!A:A,D136,Формы!B:B)</f>
        <v>1</v>
      </c>
      <c r="AG136" s="56">
        <f>SUMIF(Материал!A:A,E136,Материал!B:B)</f>
        <v>1</v>
      </c>
      <c r="AH136" s="56">
        <f>SUMIF(Размеры!A:A,L136,Размеры!E:E)</f>
        <v>1</v>
      </c>
      <c r="AI136" s="56">
        <f>SUMIF(Сезон!A:A,J136,Сезон!B:B)</f>
        <v>1</v>
      </c>
      <c r="AJ136" s="56">
        <f>SUMIF(Состав!A:A,K136,Состав!B:B)</f>
        <v>0</v>
      </c>
      <c r="AK136" s="56">
        <f>SUMIF(ЦветПолный!A:A,I136,ЦветПолный!C:C)</f>
        <v>11</v>
      </c>
      <c r="AL136" s="56">
        <f>SUMIF(Цвет!A:A,V136,Цвет!B:B)</f>
        <v>1</v>
      </c>
      <c r="AM136" s="56">
        <f>SUMIF(Пол!B:B,F136,Пол!C:C)</f>
        <v>1</v>
      </c>
      <c r="AN136" s="56">
        <f>SUMIF(Марка!A:A,A136,Марка!B:B)</f>
        <v>1</v>
      </c>
      <c r="AO136" s="56">
        <f>SUMIF(Страна!A:A,M136,Страна!B:B)</f>
        <v>1</v>
      </c>
      <c r="AP136" s="68" t="str">
        <f>IF(VLOOKUP(U136,Товары!A:B,2,FALSE)=W136,"Есть в 1С","ERR")</f>
        <v>Есть в 1С</v>
      </c>
      <c r="AQ136" s="68" t="str">
        <f>IF(VLOOKUP(W136,Товары!B:B,1,FALSE)=W136,"Есть в 1С","ERR")</f>
        <v>Есть в 1С</v>
      </c>
      <c r="AS136" s="58" t="str">
        <f>VLOOKUP(U136,Товары!A:B,2,FALSE)</f>
        <v>02-389-09</v>
      </c>
      <c r="AT136" s="60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48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1" t="str">
        <f t="shared" si="11"/>
        <v>02-389-09</v>
      </c>
      <c r="X137" s="70"/>
      <c r="Y137" s="73" t="s">
        <v>36799</v>
      </c>
      <c r="Z137" s="64" t="str">
        <f>VLOOKUP(I137,ЦветПолный!A:B,2,FALSE)</f>
        <v>09</v>
      </c>
      <c r="AA137" s="64" t="str">
        <f>IFERROR(VLOOKUP(L137,Размеры!A:D,4,FALSE),"")</f>
        <v>59</v>
      </c>
      <c r="AB137" s="75" t="str">
        <f>IF(LEFT(VLOOKUP(LOOKUP(2,1/SEARCH(G137,Товары!A:A),Товары!A:A),Товары!A:B,2,0),6)=LEFT(W137,6),"OK","НЕ НАЙДЕНО")</f>
        <v>OK</v>
      </c>
      <c r="AC137" s="20"/>
      <c r="AD137" s="56">
        <f>SUMIF(Группа!A:A,C137,Группа!C:C)</f>
        <v>1</v>
      </c>
      <c r="AE137" s="56">
        <f>SUMIF(Группа!B:B,R137,Группа!C:C)</f>
        <v>1</v>
      </c>
      <c r="AF137" s="56">
        <f>SUMIF(Формы!A:A,D137,Формы!B:B)</f>
        <v>1</v>
      </c>
      <c r="AG137" s="56">
        <f>SUMIF(Материал!A:A,E137,Материал!B:B)</f>
        <v>1</v>
      </c>
      <c r="AH137" s="56">
        <f>SUMIF(Размеры!A:A,L137,Размеры!E:E)</f>
        <v>1</v>
      </c>
      <c r="AI137" s="56">
        <f>SUMIF(Сезон!A:A,J137,Сезон!B:B)</f>
        <v>1</v>
      </c>
      <c r="AJ137" s="56">
        <f>SUMIF(Состав!A:A,K137,Состав!B:B)</f>
        <v>0</v>
      </c>
      <c r="AK137" s="56">
        <f>SUMIF(ЦветПолный!A:A,I137,ЦветПолный!C:C)</f>
        <v>11</v>
      </c>
      <c r="AL137" s="56">
        <f>SUMIF(Цвет!A:A,V137,Цвет!B:B)</f>
        <v>1</v>
      </c>
      <c r="AM137" s="56">
        <f>SUMIF(Пол!B:B,F137,Пол!C:C)</f>
        <v>1</v>
      </c>
      <c r="AN137" s="56">
        <f>SUMIF(Марка!A:A,A137,Марка!B:B)</f>
        <v>1</v>
      </c>
      <c r="AO137" s="56">
        <f>SUMIF(Страна!A:A,M137,Страна!B:B)</f>
        <v>1</v>
      </c>
      <c r="AP137" s="68" t="str">
        <f>IF(VLOOKUP(U137,Товары!A:B,2,FALSE)=W137,"Есть в 1С","ERR")</f>
        <v>Есть в 1С</v>
      </c>
      <c r="AQ137" s="68" t="str">
        <f>IF(VLOOKUP(W137,Товары!B:B,1,FALSE)=W137,"Есть в 1С","ERR")</f>
        <v>Есть в 1С</v>
      </c>
      <c r="AS137" s="58" t="str">
        <f>VLOOKUP(U137,Товары!A:B,2,FALSE)</f>
        <v>02-389-09</v>
      </c>
      <c r="AT137" s="60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48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1" t="str">
        <f t="shared" si="11"/>
        <v>02-455-11</v>
      </c>
      <c r="X138" s="70"/>
      <c r="Y138" s="73" t="s">
        <v>36800</v>
      </c>
      <c r="Z138" s="64" t="str">
        <f>VLOOKUP(I138,ЦветПолный!A:B,2,FALSE)</f>
        <v>11</v>
      </c>
      <c r="AA138" s="64" t="str">
        <f>IFERROR(VLOOKUP(L138,Размеры!A:D,4,FALSE),"")</f>
        <v>57</v>
      </c>
      <c r="AB138" s="75" t="str">
        <f>IF(LEFT(VLOOKUP(LOOKUP(2,1/SEARCH(G138,Товары!A:A),Товары!A:A),Товары!A:B,2,0),6)=LEFT(W138,6),"OK","НЕ НАЙДЕНО")</f>
        <v>OK</v>
      </c>
      <c r="AC138" s="20"/>
      <c r="AD138" s="56">
        <f>SUMIF(Группа!A:A,C138,Группа!C:C)</f>
        <v>1</v>
      </c>
      <c r="AE138" s="56">
        <f>SUMIF(Группа!B:B,R138,Группа!C:C)</f>
        <v>1</v>
      </c>
      <c r="AF138" s="56">
        <f>SUMIF(Формы!A:A,D138,Формы!B:B)</f>
        <v>1</v>
      </c>
      <c r="AG138" s="56">
        <f>SUMIF(Материал!A:A,E138,Материал!B:B)</f>
        <v>1</v>
      </c>
      <c r="AH138" s="56">
        <f>SUMIF(Размеры!A:A,L138,Размеры!E:E)</f>
        <v>1</v>
      </c>
      <c r="AI138" s="56">
        <f>SUMIF(Сезон!A:A,J138,Сезон!B:B)</f>
        <v>1</v>
      </c>
      <c r="AJ138" s="56">
        <f>SUMIF(Состав!A:A,K138,Состав!B:B)</f>
        <v>0</v>
      </c>
      <c r="AK138" s="56">
        <f>SUMIF(ЦветПолный!A:A,I138,ЦветПолный!C:C)</f>
        <v>6</v>
      </c>
      <c r="AL138" s="56">
        <f>SUMIF(Цвет!A:A,V138,Цвет!B:B)</f>
        <v>1</v>
      </c>
      <c r="AM138" s="56">
        <f>SUMIF(Пол!B:B,F138,Пол!C:C)</f>
        <v>1</v>
      </c>
      <c r="AN138" s="56">
        <f>SUMIF(Марка!A:A,A138,Марка!B:B)</f>
        <v>1</v>
      </c>
      <c r="AO138" s="56">
        <f>SUMIF(Страна!A:A,M138,Страна!B:B)</f>
        <v>1</v>
      </c>
      <c r="AP138" s="68" t="str">
        <f>IF(VLOOKUP(U138,Товары!A:B,2,FALSE)=W138,"Есть в 1С","ERR")</f>
        <v>Есть в 1С</v>
      </c>
      <c r="AQ138" s="68" t="str">
        <f>IF(VLOOKUP(W138,Товары!B:B,1,FALSE)=W138,"Есть в 1С","ERR")</f>
        <v>Есть в 1С</v>
      </c>
      <c r="AS138" s="58" t="str">
        <f>VLOOKUP(U138,Товары!A:B,2,FALSE)</f>
        <v>02-455-11</v>
      </c>
      <c r="AT138" s="60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48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1" t="str">
        <f t="shared" si="11"/>
        <v>02-455-11</v>
      </c>
      <c r="X139" s="70"/>
      <c r="Y139" s="73" t="s">
        <v>36801</v>
      </c>
      <c r="Z139" s="64" t="str">
        <f>VLOOKUP(I139,ЦветПолный!A:B,2,FALSE)</f>
        <v>11</v>
      </c>
      <c r="AA139" s="64" t="str">
        <f>IFERROR(VLOOKUP(L139,Размеры!A:D,4,FALSE),"")</f>
        <v>59</v>
      </c>
      <c r="AB139" s="75" t="str">
        <f>IF(LEFT(VLOOKUP(LOOKUP(2,1/SEARCH(G139,Товары!A:A),Товары!A:A),Товары!A:B,2,0),6)=LEFT(W139,6),"OK","НЕ НАЙДЕНО")</f>
        <v>OK</v>
      </c>
      <c r="AC139" s="20"/>
      <c r="AD139" s="56">
        <f>SUMIF(Группа!A:A,C139,Группа!C:C)</f>
        <v>1</v>
      </c>
      <c r="AE139" s="56">
        <f>SUMIF(Группа!B:B,R139,Группа!C:C)</f>
        <v>1</v>
      </c>
      <c r="AF139" s="56">
        <f>SUMIF(Формы!A:A,D139,Формы!B:B)</f>
        <v>1</v>
      </c>
      <c r="AG139" s="56">
        <f>SUMIF(Материал!A:A,E139,Материал!B:B)</f>
        <v>1</v>
      </c>
      <c r="AH139" s="56">
        <f>SUMIF(Размеры!A:A,L139,Размеры!E:E)</f>
        <v>1</v>
      </c>
      <c r="AI139" s="56">
        <f>SUMIF(Сезон!A:A,J139,Сезон!B:B)</f>
        <v>1</v>
      </c>
      <c r="AJ139" s="56">
        <f>SUMIF(Состав!A:A,K139,Состав!B:B)</f>
        <v>0</v>
      </c>
      <c r="AK139" s="56">
        <f>SUMIF(ЦветПолный!A:A,I139,ЦветПолный!C:C)</f>
        <v>6</v>
      </c>
      <c r="AL139" s="56">
        <f>SUMIF(Цвет!A:A,V139,Цвет!B:B)</f>
        <v>1</v>
      </c>
      <c r="AM139" s="56">
        <f>SUMIF(Пол!B:B,F139,Пол!C:C)</f>
        <v>1</v>
      </c>
      <c r="AN139" s="56">
        <f>SUMIF(Марка!A:A,A139,Марка!B:B)</f>
        <v>1</v>
      </c>
      <c r="AO139" s="56">
        <f>SUMIF(Страна!A:A,M139,Страна!B:B)</f>
        <v>1</v>
      </c>
      <c r="AP139" s="68" t="str">
        <f>IF(VLOOKUP(U139,Товары!A:B,2,FALSE)=W139,"Есть в 1С","ERR")</f>
        <v>Есть в 1С</v>
      </c>
      <c r="AQ139" s="68" t="str">
        <f>IF(VLOOKUP(W139,Товары!B:B,1,FALSE)=W139,"Есть в 1С","ERR")</f>
        <v>Есть в 1С</v>
      </c>
      <c r="AS139" s="58" t="str">
        <f>VLOOKUP(U139,Товары!A:B,2,FALSE)</f>
        <v>02-455-11</v>
      </c>
      <c r="AT139" s="60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48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1" t="str">
        <f t="shared" si="11"/>
        <v>02-455-11</v>
      </c>
      <c r="X140" s="70"/>
      <c r="Y140" s="73" t="s">
        <v>36802</v>
      </c>
      <c r="Z140" s="64" t="str">
        <f>VLOOKUP(I140,ЦветПолный!A:B,2,FALSE)</f>
        <v>11</v>
      </c>
      <c r="AA140" s="64" t="str">
        <f>IFERROR(VLOOKUP(L140,Размеры!A:D,4,FALSE),"")</f>
        <v>61</v>
      </c>
      <c r="AB140" s="75" t="str">
        <f>IF(LEFT(VLOOKUP(LOOKUP(2,1/SEARCH(G140,Товары!A:A),Товары!A:A),Товары!A:B,2,0),6)=LEFT(W140,6),"OK","НЕ НАЙДЕНО")</f>
        <v>OK</v>
      </c>
      <c r="AC140" s="20"/>
      <c r="AD140" s="56">
        <f>SUMIF(Группа!A:A,C140,Группа!C:C)</f>
        <v>1</v>
      </c>
      <c r="AE140" s="56">
        <f>SUMIF(Группа!B:B,R140,Группа!C:C)</f>
        <v>1</v>
      </c>
      <c r="AF140" s="56">
        <f>SUMIF(Формы!A:A,D140,Формы!B:B)</f>
        <v>1</v>
      </c>
      <c r="AG140" s="56">
        <f>SUMIF(Материал!A:A,E140,Материал!B:B)</f>
        <v>1</v>
      </c>
      <c r="AH140" s="56">
        <f>SUMIF(Размеры!A:A,L140,Размеры!E:E)</f>
        <v>1</v>
      </c>
      <c r="AI140" s="56">
        <f>SUMIF(Сезон!A:A,J140,Сезон!B:B)</f>
        <v>1</v>
      </c>
      <c r="AJ140" s="56">
        <f>SUMIF(Состав!A:A,K140,Состав!B:B)</f>
        <v>0</v>
      </c>
      <c r="AK140" s="56">
        <f>SUMIF(ЦветПолный!A:A,I140,ЦветПолный!C:C)</f>
        <v>6</v>
      </c>
      <c r="AL140" s="56">
        <f>SUMIF(Цвет!A:A,V140,Цвет!B:B)</f>
        <v>1</v>
      </c>
      <c r="AM140" s="56">
        <f>SUMIF(Пол!B:B,F140,Пол!C:C)</f>
        <v>1</v>
      </c>
      <c r="AN140" s="56">
        <f>SUMIF(Марка!A:A,A140,Марка!B:B)</f>
        <v>1</v>
      </c>
      <c r="AO140" s="56">
        <f>SUMIF(Страна!A:A,M140,Страна!B:B)</f>
        <v>1</v>
      </c>
      <c r="AP140" s="68" t="str">
        <f>IF(VLOOKUP(U140,Товары!A:B,2,FALSE)=W140,"Есть в 1С","ERR")</f>
        <v>Есть в 1С</v>
      </c>
      <c r="AQ140" s="68" t="str">
        <f>IF(VLOOKUP(W140,Товары!B:B,1,FALSE)=W140,"Есть в 1С","ERR")</f>
        <v>Есть в 1С</v>
      </c>
      <c r="AS140" s="58" t="str">
        <f>VLOOKUP(U140,Товары!A:B,2,FALSE)</f>
        <v>02-455-11</v>
      </c>
      <c r="AT140" s="60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48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0" t="s">
        <v>22</v>
      </c>
      <c r="W141" s="51" t="str">
        <f t="shared" si="11"/>
        <v>new</v>
      </c>
      <c r="X141" s="70"/>
      <c r="Y141" s="73" t="s">
        <v>13</v>
      </c>
      <c r="Z141" s="64" t="str">
        <f>VLOOKUP(I141,ЦветПолный!A:B,2,FALSE)</f>
        <v>72</v>
      </c>
      <c r="AA141" s="64" t="str">
        <f>IFERROR(VLOOKUP(L141,Размеры!A:D,4,FALSE),"")</f>
        <v>57</v>
      </c>
      <c r="AB141" s="75" t="str">
        <f>IF(LEFT(VLOOKUP(LOOKUP(2,1/SEARCH(G141,Товары!A:A),Товары!A:A),Товары!A:B,2,0),6)=LEFT(W141,6),"OK","НЕ НАЙДЕНО")</f>
        <v>НЕ НАЙДЕНО</v>
      </c>
      <c r="AC141" s="20"/>
      <c r="AD141" s="56">
        <f>SUMIF(Группа!A:A,C141,Группа!C:C)</f>
        <v>1</v>
      </c>
      <c r="AE141" s="56">
        <f>SUMIF(Группа!B:B,R141,Группа!C:C)</f>
        <v>1</v>
      </c>
      <c r="AF141" s="56">
        <f>SUMIF(Формы!A:A,D141,Формы!B:B)</f>
        <v>1</v>
      </c>
      <c r="AG141" s="56">
        <f>SUMIF(Материал!A:A,E141,Материал!B:B)</f>
        <v>1</v>
      </c>
      <c r="AH141" s="56">
        <f>SUMIF(Размеры!A:A,L141,Размеры!E:E)</f>
        <v>1</v>
      </c>
      <c r="AI141" s="56">
        <f>SUMIF(Сезон!A:A,J141,Сезон!B:B)</f>
        <v>1</v>
      </c>
      <c r="AJ141" s="56">
        <f>SUMIF(Состав!A:A,K141,Состав!B:B)</f>
        <v>0</v>
      </c>
      <c r="AK141" s="56">
        <f>SUMIF(ЦветПолный!A:A,I141,ЦветПолный!C:C)</f>
        <v>3</v>
      </c>
      <c r="AL141" s="56">
        <f>SUMIF(Цвет!A:A,V141,Цвет!B:B)</f>
        <v>1</v>
      </c>
      <c r="AM141" s="56">
        <f>SUMIF(Пол!B:B,F141,Пол!C:C)</f>
        <v>1</v>
      </c>
      <c r="AN141" s="56">
        <f>SUMIF(Марка!A:A,A141,Марка!B:B)</f>
        <v>1</v>
      </c>
      <c r="AO141" s="56">
        <f>SUMIF(Страна!A:A,M141,Страна!B:B)</f>
        <v>1</v>
      </c>
      <c r="AP141" s="68" t="str">
        <f>IF(VLOOKUP(U141,Товары!A:B,2,FALSE)=W141,"Есть в 1С","ERR")</f>
        <v>ERR</v>
      </c>
      <c r="AQ141" s="68" t="e">
        <f>IF(VLOOKUP(W141,Товары!B:B,1,FALSE)=W141,"Есть в 1С","ERR")</f>
        <v>#N/A</v>
      </c>
      <c r="AS141" s="58" t="str">
        <f>VLOOKUP(U141,Товары!A:B,2,FALSE)</f>
        <v>02-649-72</v>
      </c>
      <c r="AT141" s="60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48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0" t="s">
        <v>22</v>
      </c>
      <c r="W142" s="51" t="str">
        <f t="shared" si="11"/>
        <v>new</v>
      </c>
      <c r="X142" s="70"/>
      <c r="Y142" s="73" t="s">
        <v>13</v>
      </c>
      <c r="Z142" s="64" t="str">
        <f>VLOOKUP(I142,ЦветПолный!A:B,2,FALSE)</f>
        <v>72</v>
      </c>
      <c r="AA142" s="64" t="str">
        <f>IFERROR(VLOOKUP(L142,Размеры!A:D,4,FALSE),"")</f>
        <v>59</v>
      </c>
      <c r="AB142" s="75" t="str">
        <f>IF(LEFT(VLOOKUP(LOOKUP(2,1/SEARCH(G142,Товары!A:A),Товары!A:A),Товары!A:B,2,0),6)=LEFT(W142,6),"OK","НЕ НАЙДЕНО")</f>
        <v>НЕ НАЙДЕНО</v>
      </c>
      <c r="AC142" s="20"/>
      <c r="AD142" s="56">
        <f>SUMIF(Группа!A:A,C142,Группа!C:C)</f>
        <v>1</v>
      </c>
      <c r="AE142" s="56">
        <f>SUMIF(Группа!B:B,R142,Группа!C:C)</f>
        <v>1</v>
      </c>
      <c r="AF142" s="56">
        <f>SUMIF(Формы!A:A,D142,Формы!B:B)</f>
        <v>1</v>
      </c>
      <c r="AG142" s="56">
        <f>SUMIF(Материал!A:A,E142,Материал!B:B)</f>
        <v>1</v>
      </c>
      <c r="AH142" s="56">
        <f>SUMIF(Размеры!A:A,L142,Размеры!E:E)</f>
        <v>1</v>
      </c>
      <c r="AI142" s="56">
        <f>SUMIF(Сезон!A:A,J142,Сезон!B:B)</f>
        <v>1</v>
      </c>
      <c r="AJ142" s="56">
        <f>SUMIF(Состав!A:A,K142,Состав!B:B)</f>
        <v>0</v>
      </c>
      <c r="AK142" s="56">
        <f>SUMIF(ЦветПолный!A:A,I142,ЦветПолный!C:C)</f>
        <v>3</v>
      </c>
      <c r="AL142" s="56">
        <f>SUMIF(Цвет!A:A,V142,Цвет!B:B)</f>
        <v>1</v>
      </c>
      <c r="AM142" s="56">
        <f>SUMIF(Пол!B:B,F142,Пол!C:C)</f>
        <v>1</v>
      </c>
      <c r="AN142" s="56">
        <f>SUMIF(Марка!A:A,A142,Марка!B:B)</f>
        <v>1</v>
      </c>
      <c r="AO142" s="56">
        <f>SUMIF(Страна!A:A,M142,Страна!B:B)</f>
        <v>1</v>
      </c>
      <c r="AP142" s="68" t="str">
        <f>IF(VLOOKUP(U142,Товары!A:B,2,FALSE)=W142,"Есть в 1С","ERR")</f>
        <v>ERR</v>
      </c>
      <c r="AQ142" s="68" t="e">
        <f>IF(VLOOKUP(W142,Товары!B:B,1,FALSE)=W142,"Есть в 1С","ERR")</f>
        <v>#N/A</v>
      </c>
      <c r="AS142" s="58" t="str">
        <f>VLOOKUP(U142,Товары!A:B,2,FALSE)</f>
        <v>02-649-72</v>
      </c>
      <c r="AT142" s="60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48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1" t="str">
        <f t="shared" si="11"/>
        <v>new</v>
      </c>
      <c r="X143" s="70"/>
      <c r="Y143" s="73" t="s">
        <v>13</v>
      </c>
      <c r="Z143" s="64" t="str">
        <f>VLOOKUP(I143,ЦветПолный!A:B,2,FALSE)</f>
        <v>72</v>
      </c>
      <c r="AA143" s="64" t="str">
        <f>IFERROR(VLOOKUP(L143,Размеры!A:D,4,FALSE),"")</f>
        <v>61</v>
      </c>
      <c r="AB143" s="75" t="str">
        <f>IF(LEFT(VLOOKUP(LOOKUP(2,1/SEARCH(G143,Товары!A:A),Товары!A:A),Товары!A:B,2,0),6)=LEFT(W143,6),"OK","НЕ НАЙДЕНО")</f>
        <v>НЕ НАЙДЕНО</v>
      </c>
      <c r="AC143" s="20"/>
      <c r="AD143" s="56">
        <f>SUMIF(Группа!A:A,C143,Группа!C:C)</f>
        <v>1</v>
      </c>
      <c r="AE143" s="56">
        <f>SUMIF(Группа!B:B,R143,Группа!C:C)</f>
        <v>1</v>
      </c>
      <c r="AF143" s="56">
        <f>SUMIF(Формы!A:A,D143,Формы!B:B)</f>
        <v>1</v>
      </c>
      <c r="AG143" s="56">
        <f>SUMIF(Материал!A:A,E143,Материал!B:B)</f>
        <v>1</v>
      </c>
      <c r="AH143" s="56">
        <f>SUMIF(Размеры!A:A,L143,Размеры!E:E)</f>
        <v>1</v>
      </c>
      <c r="AI143" s="56">
        <f>SUMIF(Сезон!A:A,J143,Сезон!B:B)</f>
        <v>1</v>
      </c>
      <c r="AJ143" s="56">
        <f>SUMIF(Состав!A:A,K143,Состав!B:B)</f>
        <v>0</v>
      </c>
      <c r="AK143" s="56">
        <f>SUMIF(ЦветПолный!A:A,I143,ЦветПолный!C:C)</f>
        <v>3</v>
      </c>
      <c r="AL143" s="56">
        <f>SUMIF(Цвет!A:A,V143,Цвет!B:B)</f>
        <v>1</v>
      </c>
      <c r="AM143" s="56">
        <f>SUMIF(Пол!B:B,F143,Пол!C:C)</f>
        <v>1</v>
      </c>
      <c r="AN143" s="56">
        <f>SUMIF(Марка!A:A,A143,Марка!B:B)</f>
        <v>1</v>
      </c>
      <c r="AO143" s="56">
        <f>SUMIF(Страна!A:A,M143,Страна!B:B)</f>
        <v>1</v>
      </c>
      <c r="AP143" s="68" t="str">
        <f>IF(VLOOKUP(U143,Товары!A:B,2,FALSE)=W143,"Есть в 1С","ERR")</f>
        <v>ERR</v>
      </c>
      <c r="AQ143" s="68" t="e">
        <f>IF(VLOOKUP(W143,Товары!B:B,1,FALSE)=W143,"Есть в 1С","ERR")</f>
        <v>#N/A</v>
      </c>
      <c r="AS143" s="58" t="str">
        <f>VLOOKUP(U143,Товары!A:B,2,FALSE)</f>
        <v>02-649-72</v>
      </c>
      <c r="AT143" s="60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48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1" t="str">
        <f t="shared" si="11"/>
        <v>new</v>
      </c>
      <c r="X144" s="70"/>
      <c r="Y144" s="73" t="s">
        <v>13</v>
      </c>
      <c r="Z144" s="64" t="str">
        <f>VLOOKUP(I144,ЦветПолный!A:B,2,FALSE)</f>
        <v>08</v>
      </c>
      <c r="AA144" s="64" t="str">
        <f>IFERROR(VLOOKUP(L144,Размеры!A:D,4,FALSE),"")</f>
        <v>57</v>
      </c>
      <c r="AB144" s="75" t="str">
        <f>IF(LEFT(VLOOKUP(LOOKUP(2,1/SEARCH(G144,Товары!A:A),Товары!A:A),Товары!A:B,2,0),6)=LEFT(W144,6),"OK","НЕ НАЙДЕНО")</f>
        <v>НЕ НАЙДЕНО</v>
      </c>
      <c r="AC144" s="20"/>
      <c r="AD144" s="56">
        <f>SUMIF(Группа!A:A,C144,Группа!C:C)</f>
        <v>1</v>
      </c>
      <c r="AE144" s="56">
        <f>SUMIF(Группа!B:B,R144,Группа!C:C)</f>
        <v>1</v>
      </c>
      <c r="AF144" s="56">
        <f>SUMIF(Формы!A:A,D144,Формы!B:B)</f>
        <v>1</v>
      </c>
      <c r="AG144" s="56">
        <f>SUMIF(Материал!A:A,E144,Материал!B:B)</f>
        <v>1</v>
      </c>
      <c r="AH144" s="56">
        <f>SUMIF(Размеры!A:A,L144,Размеры!E:E)</f>
        <v>1</v>
      </c>
      <c r="AI144" s="56">
        <f>SUMIF(Сезон!A:A,J144,Сезон!B:B)</f>
        <v>1</v>
      </c>
      <c r="AJ144" s="56">
        <f>SUMIF(Состав!A:A,K144,Состав!B:B)</f>
        <v>0</v>
      </c>
      <c r="AK144" s="56">
        <f>SUMIF(ЦветПолный!A:A,I144,ЦветПолный!C:C)</f>
        <v>11</v>
      </c>
      <c r="AL144" s="56">
        <f>SUMIF(Цвет!A:A,V144,Цвет!B:B)</f>
        <v>1</v>
      </c>
      <c r="AM144" s="56">
        <f>SUMIF(Пол!B:B,F144,Пол!C:C)</f>
        <v>1</v>
      </c>
      <c r="AN144" s="56">
        <f>SUMIF(Марка!A:A,A144,Марка!B:B)</f>
        <v>1</v>
      </c>
      <c r="AO144" s="56">
        <f>SUMIF(Страна!A:A,M144,Страна!B:B)</f>
        <v>1</v>
      </c>
      <c r="AP144" s="68" t="str">
        <f>IF(VLOOKUP(U144,Товары!A:B,2,FALSE)=W144,"Есть в 1С","ERR")</f>
        <v>ERR</v>
      </c>
      <c r="AQ144" s="68" t="e">
        <f>IF(VLOOKUP(W144,Товары!B:B,1,FALSE)=W144,"Есть в 1С","ERR")</f>
        <v>#N/A</v>
      </c>
      <c r="AS144" s="58" t="str">
        <f>VLOOKUP(U144,Товары!A:B,2,FALSE)</f>
        <v>02-651-08</v>
      </c>
      <c r="AT144" s="60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48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1" t="str">
        <f t="shared" si="11"/>
        <v>new</v>
      </c>
      <c r="X145" s="70"/>
      <c r="Y145" s="73" t="s">
        <v>13</v>
      </c>
      <c r="Z145" s="64" t="str">
        <f>VLOOKUP(I145,ЦветПолный!A:B,2,FALSE)</f>
        <v>08</v>
      </c>
      <c r="AA145" s="64" t="str">
        <f>IFERROR(VLOOKUP(L145,Размеры!A:D,4,FALSE),"")</f>
        <v>59</v>
      </c>
      <c r="AB145" s="75" t="str">
        <f>IF(LEFT(VLOOKUP(LOOKUP(2,1/SEARCH(G145,Товары!A:A),Товары!A:A),Товары!A:B,2,0),6)=LEFT(W145,6),"OK","НЕ НАЙДЕНО")</f>
        <v>НЕ НАЙДЕНО</v>
      </c>
      <c r="AC145" s="20"/>
      <c r="AD145" s="56">
        <f>SUMIF(Группа!A:A,C145,Группа!C:C)</f>
        <v>1</v>
      </c>
      <c r="AE145" s="56">
        <f>SUMIF(Группа!B:B,R145,Группа!C:C)</f>
        <v>1</v>
      </c>
      <c r="AF145" s="56">
        <f>SUMIF(Формы!A:A,D145,Формы!B:B)</f>
        <v>1</v>
      </c>
      <c r="AG145" s="56">
        <f>SUMIF(Материал!A:A,E145,Материал!B:B)</f>
        <v>1</v>
      </c>
      <c r="AH145" s="56">
        <f>SUMIF(Размеры!A:A,L145,Размеры!E:E)</f>
        <v>1</v>
      </c>
      <c r="AI145" s="56">
        <f>SUMIF(Сезон!A:A,J145,Сезон!B:B)</f>
        <v>1</v>
      </c>
      <c r="AJ145" s="56">
        <f>SUMIF(Состав!A:A,K145,Состав!B:B)</f>
        <v>0</v>
      </c>
      <c r="AK145" s="56">
        <f>SUMIF(ЦветПолный!A:A,I145,ЦветПолный!C:C)</f>
        <v>11</v>
      </c>
      <c r="AL145" s="56">
        <f>SUMIF(Цвет!A:A,V145,Цвет!B:B)</f>
        <v>1</v>
      </c>
      <c r="AM145" s="56">
        <f>SUMIF(Пол!B:B,F145,Пол!C:C)</f>
        <v>1</v>
      </c>
      <c r="AN145" s="56">
        <f>SUMIF(Марка!A:A,A145,Марка!B:B)</f>
        <v>1</v>
      </c>
      <c r="AO145" s="56">
        <f>SUMIF(Страна!A:A,M145,Страна!B:B)</f>
        <v>1</v>
      </c>
      <c r="AP145" s="68" t="str">
        <f>IF(VLOOKUP(U145,Товары!A:B,2,FALSE)=W145,"Есть в 1С","ERR")</f>
        <v>ERR</v>
      </c>
      <c r="AQ145" s="68" t="e">
        <f>IF(VLOOKUP(W145,Товары!B:B,1,FALSE)=W145,"Есть в 1С","ERR")</f>
        <v>#N/A</v>
      </c>
      <c r="AS145" s="58" t="str">
        <f>VLOOKUP(U145,Товары!A:B,2,FALSE)</f>
        <v>02-651-08</v>
      </c>
      <c r="AT145" s="60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48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1" t="str">
        <f t="shared" si="11"/>
        <v>new</v>
      </c>
      <c r="X146" s="70"/>
      <c r="Y146" s="73" t="s">
        <v>13</v>
      </c>
      <c r="Z146" s="64" t="str">
        <f>VLOOKUP(I146,ЦветПолный!A:B,2,FALSE)</f>
        <v>08</v>
      </c>
      <c r="AA146" s="64" t="str">
        <f>IFERROR(VLOOKUP(L146,Размеры!A:D,4,FALSE),"")</f>
        <v>61</v>
      </c>
      <c r="AB146" s="75" t="str">
        <f>IF(LEFT(VLOOKUP(LOOKUP(2,1/SEARCH(G146,Товары!A:A),Товары!A:A),Товары!A:B,2,0),6)=LEFT(W146,6),"OK","НЕ НАЙДЕНО")</f>
        <v>НЕ НАЙДЕНО</v>
      </c>
      <c r="AC146" s="20"/>
      <c r="AD146" s="56">
        <f>SUMIF(Группа!A:A,C146,Группа!C:C)</f>
        <v>1</v>
      </c>
      <c r="AE146" s="56">
        <f>SUMIF(Группа!B:B,R146,Группа!C:C)</f>
        <v>1</v>
      </c>
      <c r="AF146" s="56">
        <f>SUMIF(Формы!A:A,D146,Формы!B:B)</f>
        <v>1</v>
      </c>
      <c r="AG146" s="56">
        <f>SUMIF(Материал!A:A,E146,Материал!B:B)</f>
        <v>1</v>
      </c>
      <c r="AH146" s="56">
        <f>SUMIF(Размеры!A:A,L146,Размеры!E:E)</f>
        <v>1</v>
      </c>
      <c r="AI146" s="56">
        <f>SUMIF(Сезон!A:A,J146,Сезон!B:B)</f>
        <v>1</v>
      </c>
      <c r="AJ146" s="56">
        <f>SUMIF(Состав!A:A,K146,Состав!B:B)</f>
        <v>0</v>
      </c>
      <c r="AK146" s="56">
        <f>SUMIF(ЦветПолный!A:A,I146,ЦветПолный!C:C)</f>
        <v>11</v>
      </c>
      <c r="AL146" s="56">
        <f>SUMIF(Цвет!A:A,V146,Цвет!B:B)</f>
        <v>1</v>
      </c>
      <c r="AM146" s="56">
        <f>SUMIF(Пол!B:B,F146,Пол!C:C)</f>
        <v>1</v>
      </c>
      <c r="AN146" s="56">
        <f>SUMIF(Марка!A:A,A146,Марка!B:B)</f>
        <v>1</v>
      </c>
      <c r="AO146" s="56">
        <f>SUMIF(Страна!A:A,M146,Страна!B:B)</f>
        <v>1</v>
      </c>
      <c r="AP146" s="68" t="str">
        <f>IF(VLOOKUP(U146,Товары!A:B,2,FALSE)=W146,"Есть в 1С","ERR")</f>
        <v>ERR</v>
      </c>
      <c r="AQ146" s="68" t="e">
        <f>IF(VLOOKUP(W146,Товары!B:B,1,FALSE)=W146,"Есть в 1С","ERR")</f>
        <v>#N/A</v>
      </c>
      <c r="AS146" s="58" t="str">
        <f>VLOOKUP(U146,Товары!A:B,2,FALSE)</f>
        <v>02-651-08</v>
      </c>
      <c r="AT146" s="60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48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1" t="str">
        <f t="shared" si="11"/>
        <v>new</v>
      </c>
      <c r="X147" s="70"/>
      <c r="Y147" s="73" t="s">
        <v>13</v>
      </c>
      <c r="Z147" s="64" t="str">
        <f>VLOOKUP(I147,ЦветПолный!A:B,2,FALSE)</f>
        <v>08</v>
      </c>
      <c r="AA147" s="64" t="str">
        <f>IFERROR(VLOOKUP(L147,Размеры!A:D,4,FALSE),"")</f>
        <v>57</v>
      </c>
      <c r="AB147" s="75" t="str">
        <f>IF(LEFT(VLOOKUP(LOOKUP(2,1/SEARCH(G147,Товары!A:A),Товары!A:A),Товары!A:B,2,0),6)=LEFT(W147,6),"OK","НЕ НАЙДЕНО")</f>
        <v>НЕ НАЙДЕНО</v>
      </c>
      <c r="AC147" s="20"/>
      <c r="AD147" s="56">
        <f>SUMIF(Группа!A:A,C147,Группа!C:C)</f>
        <v>1</v>
      </c>
      <c r="AE147" s="56">
        <f>SUMIF(Группа!B:B,R147,Группа!C:C)</f>
        <v>1</v>
      </c>
      <c r="AF147" s="56">
        <f>SUMIF(Формы!A:A,D147,Формы!B:B)</f>
        <v>1</v>
      </c>
      <c r="AG147" s="56">
        <f>SUMIF(Материал!A:A,E147,Материал!B:B)</f>
        <v>1</v>
      </c>
      <c r="AH147" s="56">
        <f>SUMIF(Размеры!A:A,L147,Размеры!E:E)</f>
        <v>1</v>
      </c>
      <c r="AI147" s="56">
        <f>SUMIF(Сезон!A:A,J147,Сезон!B:B)</f>
        <v>1</v>
      </c>
      <c r="AJ147" s="56">
        <f>SUMIF(Состав!A:A,K147,Состав!B:B)</f>
        <v>0</v>
      </c>
      <c r="AK147" s="56">
        <f>SUMIF(ЦветПолный!A:A,I147,ЦветПолный!C:C)</f>
        <v>11</v>
      </c>
      <c r="AL147" s="56">
        <f>SUMIF(Цвет!A:A,V147,Цвет!B:B)</f>
        <v>1</v>
      </c>
      <c r="AM147" s="56">
        <f>SUMIF(Пол!B:B,F147,Пол!C:C)</f>
        <v>1</v>
      </c>
      <c r="AN147" s="56">
        <f>SUMIF(Марка!A:A,A147,Марка!B:B)</f>
        <v>1</v>
      </c>
      <c r="AO147" s="56">
        <f>SUMIF(Страна!A:A,M147,Страна!B:B)</f>
        <v>1</v>
      </c>
      <c r="AP147" s="68" t="str">
        <f>IF(VLOOKUP(U147,Товары!A:B,2,FALSE)=W147,"Есть в 1С","ERR")</f>
        <v>ERR</v>
      </c>
      <c r="AQ147" s="68" t="e">
        <f>IF(VLOOKUP(W147,Товары!B:B,1,FALSE)=W147,"Есть в 1С","ERR")</f>
        <v>#N/A</v>
      </c>
      <c r="AS147" s="58" t="str">
        <f>VLOOKUP(U147,Товары!A:B,2,FALSE)</f>
        <v>02-652-08</v>
      </c>
      <c r="AT147" s="60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48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1" t="str">
        <f t="shared" si="11"/>
        <v>new</v>
      </c>
      <c r="X148" s="70"/>
      <c r="Y148" s="73" t="s">
        <v>13</v>
      </c>
      <c r="Z148" s="64" t="str">
        <f>VLOOKUP(I148,ЦветПолный!A:B,2,FALSE)</f>
        <v>08</v>
      </c>
      <c r="AA148" s="64" t="str">
        <f>IFERROR(VLOOKUP(L148,Размеры!A:D,4,FALSE),"")</f>
        <v>59</v>
      </c>
      <c r="AB148" s="75" t="str">
        <f>IF(LEFT(VLOOKUP(LOOKUP(2,1/SEARCH(G148,Товары!A:A),Товары!A:A),Товары!A:B,2,0),6)=LEFT(W148,6),"OK","НЕ НАЙДЕНО")</f>
        <v>НЕ НАЙДЕНО</v>
      </c>
      <c r="AC148" s="20"/>
      <c r="AD148" s="56">
        <f>SUMIF(Группа!A:A,C148,Группа!C:C)</f>
        <v>1</v>
      </c>
      <c r="AE148" s="56">
        <f>SUMIF(Группа!B:B,R148,Группа!C:C)</f>
        <v>1</v>
      </c>
      <c r="AF148" s="56">
        <f>SUMIF(Формы!A:A,D148,Формы!B:B)</f>
        <v>1</v>
      </c>
      <c r="AG148" s="56">
        <f>SUMIF(Материал!A:A,E148,Материал!B:B)</f>
        <v>1</v>
      </c>
      <c r="AH148" s="56">
        <f>SUMIF(Размеры!A:A,L148,Размеры!E:E)</f>
        <v>1</v>
      </c>
      <c r="AI148" s="56">
        <f>SUMIF(Сезон!A:A,J148,Сезон!B:B)</f>
        <v>1</v>
      </c>
      <c r="AJ148" s="56">
        <f>SUMIF(Состав!A:A,K148,Состав!B:B)</f>
        <v>0</v>
      </c>
      <c r="AK148" s="56">
        <f>SUMIF(ЦветПолный!A:A,I148,ЦветПолный!C:C)</f>
        <v>11</v>
      </c>
      <c r="AL148" s="56">
        <f>SUMIF(Цвет!A:A,V148,Цвет!B:B)</f>
        <v>1</v>
      </c>
      <c r="AM148" s="56">
        <f>SUMIF(Пол!B:B,F148,Пол!C:C)</f>
        <v>1</v>
      </c>
      <c r="AN148" s="56">
        <f>SUMIF(Марка!A:A,A148,Марка!B:B)</f>
        <v>1</v>
      </c>
      <c r="AO148" s="56">
        <f>SUMIF(Страна!A:A,M148,Страна!B:B)</f>
        <v>1</v>
      </c>
      <c r="AP148" s="68" t="str">
        <f>IF(VLOOKUP(U148,Товары!A:B,2,FALSE)=W148,"Есть в 1С","ERR")</f>
        <v>ERR</v>
      </c>
      <c r="AQ148" s="68" t="e">
        <f>IF(VLOOKUP(W148,Товары!B:B,1,FALSE)=W148,"Есть в 1С","ERR")</f>
        <v>#N/A</v>
      </c>
      <c r="AS148" s="58" t="str">
        <f>VLOOKUP(U148,Товары!A:B,2,FALSE)</f>
        <v>02-652-08</v>
      </c>
      <c r="AT148" s="60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48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1" t="str">
        <f t="shared" si="11"/>
        <v>new</v>
      </c>
      <c r="X149" s="70"/>
      <c r="Y149" s="73" t="s">
        <v>13</v>
      </c>
      <c r="Z149" s="64" t="str">
        <f>VLOOKUP(I149,ЦветПолный!A:B,2,FALSE)</f>
        <v>08</v>
      </c>
      <c r="AA149" s="64" t="str">
        <f>IFERROR(VLOOKUP(L149,Размеры!A:D,4,FALSE),"")</f>
        <v>61</v>
      </c>
      <c r="AB149" s="75" t="str">
        <f>IF(LEFT(VLOOKUP(LOOKUP(2,1/SEARCH(G149,Товары!A:A),Товары!A:A),Товары!A:B,2,0),6)=LEFT(W149,6),"OK","НЕ НАЙДЕНО")</f>
        <v>НЕ НАЙДЕНО</v>
      </c>
      <c r="AC149" s="20"/>
      <c r="AD149" s="56">
        <f>SUMIF(Группа!A:A,C149,Группа!C:C)</f>
        <v>1</v>
      </c>
      <c r="AE149" s="56">
        <f>SUMIF(Группа!B:B,R149,Группа!C:C)</f>
        <v>1</v>
      </c>
      <c r="AF149" s="56">
        <f>SUMIF(Формы!A:A,D149,Формы!B:B)</f>
        <v>1</v>
      </c>
      <c r="AG149" s="56">
        <f>SUMIF(Материал!A:A,E149,Материал!B:B)</f>
        <v>1</v>
      </c>
      <c r="AH149" s="56">
        <f>SUMIF(Размеры!A:A,L149,Размеры!E:E)</f>
        <v>1</v>
      </c>
      <c r="AI149" s="56">
        <f>SUMIF(Сезон!A:A,J149,Сезон!B:B)</f>
        <v>1</v>
      </c>
      <c r="AJ149" s="56">
        <f>SUMIF(Состав!A:A,K149,Состав!B:B)</f>
        <v>0</v>
      </c>
      <c r="AK149" s="56">
        <f>SUMIF(ЦветПолный!A:A,I149,ЦветПолный!C:C)</f>
        <v>11</v>
      </c>
      <c r="AL149" s="56">
        <f>SUMIF(Цвет!A:A,V149,Цвет!B:B)</f>
        <v>1</v>
      </c>
      <c r="AM149" s="56">
        <f>SUMIF(Пол!B:B,F149,Пол!C:C)</f>
        <v>1</v>
      </c>
      <c r="AN149" s="56">
        <f>SUMIF(Марка!A:A,A149,Марка!B:B)</f>
        <v>1</v>
      </c>
      <c r="AO149" s="56">
        <f>SUMIF(Страна!A:A,M149,Страна!B:B)</f>
        <v>1</v>
      </c>
      <c r="AP149" s="68" t="str">
        <f>IF(VLOOKUP(U149,Товары!A:B,2,FALSE)=W149,"Есть в 1С","ERR")</f>
        <v>ERR</v>
      </c>
      <c r="AQ149" s="68" t="e">
        <f>IF(VLOOKUP(W149,Товары!B:B,1,FALSE)=W149,"Есть в 1С","ERR")</f>
        <v>#N/A</v>
      </c>
      <c r="AS149" s="58" t="str">
        <f>VLOOKUP(U149,Товары!A:B,2,FALSE)</f>
        <v>02-652-08</v>
      </c>
      <c r="AT149" s="60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48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0" t="s">
        <v>54</v>
      </c>
      <c r="W150" s="51" t="str">
        <f t="shared" si="11"/>
        <v>02-010-07</v>
      </c>
      <c r="X150" s="70"/>
      <c r="Y150" s="73" t="s">
        <v>36803</v>
      </c>
      <c r="Z150" s="64" t="str">
        <f>VLOOKUP(I150,ЦветПолный!A:B,2,FALSE)</f>
        <v>07</v>
      </c>
      <c r="AA150" s="64" t="str">
        <f>IFERROR(VLOOKUP(L150,Размеры!A:D,4,FALSE),"")</f>
        <v>57</v>
      </c>
      <c r="AB150" s="75" t="str">
        <f>IF(LEFT(VLOOKUP(LOOKUP(2,1/SEARCH(G150,Товары!A:A),Товары!A:A),Товары!A:B,2,0),6)=LEFT(W150,6),"OK","НЕ НАЙДЕНО")</f>
        <v>OK</v>
      </c>
      <c r="AC150" s="20"/>
      <c r="AD150" s="56">
        <f>SUMIF(Группа!A:A,C150,Группа!C:C)</f>
        <v>1</v>
      </c>
      <c r="AE150" s="56">
        <f>SUMIF(Группа!B:B,R150,Группа!C:C)</f>
        <v>1</v>
      </c>
      <c r="AF150" s="56">
        <f>SUMIF(Формы!A:A,D150,Формы!B:B)</f>
        <v>1</v>
      </c>
      <c r="AG150" s="56">
        <f>SUMIF(Материал!A:A,E150,Материал!B:B)</f>
        <v>1</v>
      </c>
      <c r="AH150" s="56">
        <f>SUMIF(Размеры!A:A,L150,Размеры!E:E)</f>
        <v>1</v>
      </c>
      <c r="AI150" s="56">
        <f>SUMIF(Сезон!A:A,J150,Сезон!B:B)</f>
        <v>1</v>
      </c>
      <c r="AJ150" s="56">
        <f>SUMIF(Состав!A:A,K150,Состав!B:B)</f>
        <v>0</v>
      </c>
      <c r="AK150" s="56">
        <f>SUMIF(ЦветПолный!A:A,I150,ЦветПолный!C:C)</f>
        <v>6</v>
      </c>
      <c r="AL150" s="56">
        <f>SUMIF(Цвет!A:A,V150,Цвет!B:B)</f>
        <v>1</v>
      </c>
      <c r="AM150" s="56">
        <f>SUMIF(Пол!B:B,F150,Пол!C:C)</f>
        <v>1</v>
      </c>
      <c r="AN150" s="56">
        <f>SUMIF(Марка!A:A,A150,Марка!B:B)</f>
        <v>1</v>
      </c>
      <c r="AO150" s="56">
        <f>SUMIF(Страна!A:A,M150,Страна!B:B)</f>
        <v>1</v>
      </c>
      <c r="AP150" s="68" t="str">
        <f>IF(VLOOKUP(U150,Товары!A:B,2,FALSE)=W150,"Есть в 1С","ERR")</f>
        <v>Есть в 1С</v>
      </c>
      <c r="AQ150" s="68" t="str">
        <f>IF(VLOOKUP(W150,Товары!B:B,1,FALSE)=W150,"Есть в 1С","ERR")</f>
        <v>Есть в 1С</v>
      </c>
      <c r="AS150" s="58" t="str">
        <f>VLOOKUP(U150,Товары!A:B,2,FALSE)</f>
        <v>02-010-07</v>
      </c>
      <c r="AT150" s="60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48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0" t="s">
        <v>54</v>
      </c>
      <c r="W151" s="51" t="str">
        <f t="shared" si="11"/>
        <v>02-010-07</v>
      </c>
      <c r="X151" s="70"/>
      <c r="Y151" s="73" t="s">
        <v>36804</v>
      </c>
      <c r="Z151" s="64" t="str">
        <f>VLOOKUP(I151,ЦветПолный!A:B,2,FALSE)</f>
        <v>07</v>
      </c>
      <c r="AA151" s="64" t="str">
        <f>IFERROR(VLOOKUP(L151,Размеры!A:D,4,FALSE),"")</f>
        <v>59</v>
      </c>
      <c r="AB151" s="75" t="str">
        <f>IF(LEFT(VLOOKUP(LOOKUP(2,1/SEARCH(G151,Товары!A:A),Товары!A:A),Товары!A:B,2,0),6)=LEFT(W151,6),"OK","НЕ НАЙДЕНО")</f>
        <v>OK</v>
      </c>
      <c r="AC151" s="20"/>
      <c r="AD151" s="56">
        <f>SUMIF(Группа!A:A,C151,Группа!C:C)</f>
        <v>1</v>
      </c>
      <c r="AE151" s="56">
        <f>SUMIF(Группа!B:B,R151,Группа!C:C)</f>
        <v>1</v>
      </c>
      <c r="AF151" s="56">
        <f>SUMIF(Формы!A:A,D151,Формы!B:B)</f>
        <v>1</v>
      </c>
      <c r="AG151" s="56">
        <f>SUMIF(Материал!A:A,E151,Материал!B:B)</f>
        <v>1</v>
      </c>
      <c r="AH151" s="56">
        <f>SUMIF(Размеры!A:A,L151,Размеры!E:E)</f>
        <v>1</v>
      </c>
      <c r="AI151" s="56">
        <f>SUMIF(Сезон!A:A,J151,Сезон!B:B)</f>
        <v>1</v>
      </c>
      <c r="AJ151" s="56">
        <f>SUMIF(Состав!A:A,K151,Состав!B:B)</f>
        <v>0</v>
      </c>
      <c r="AK151" s="56">
        <f>SUMIF(ЦветПолный!A:A,I151,ЦветПолный!C:C)</f>
        <v>6</v>
      </c>
      <c r="AL151" s="56">
        <f>SUMIF(Цвет!A:A,V151,Цвет!B:B)</f>
        <v>1</v>
      </c>
      <c r="AM151" s="56">
        <f>SUMIF(Пол!B:B,F151,Пол!C:C)</f>
        <v>1</v>
      </c>
      <c r="AN151" s="56">
        <f>SUMIF(Марка!A:A,A151,Марка!B:B)</f>
        <v>1</v>
      </c>
      <c r="AO151" s="56">
        <f>SUMIF(Страна!A:A,M151,Страна!B:B)</f>
        <v>1</v>
      </c>
      <c r="AP151" s="68" t="str">
        <f>IF(VLOOKUP(U151,Товары!A:B,2,FALSE)=W151,"Есть в 1С","ERR")</f>
        <v>Есть в 1С</v>
      </c>
      <c r="AQ151" s="68" t="str">
        <f>IF(VLOOKUP(W151,Товары!B:B,1,FALSE)=W151,"Есть в 1С","ERR")</f>
        <v>Есть в 1С</v>
      </c>
      <c r="AS151" s="58" t="str">
        <f>VLOOKUP(U151,Товары!A:B,2,FALSE)</f>
        <v>02-010-07</v>
      </c>
      <c r="AT151" s="60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48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0" t="s">
        <v>54</v>
      </c>
      <c r="W152" s="51" t="str">
        <f t="shared" si="11"/>
        <v>02-010-07</v>
      </c>
      <c r="X152" s="70"/>
      <c r="Y152" s="73" t="s">
        <v>36805</v>
      </c>
      <c r="Z152" s="64" t="str">
        <f>VLOOKUP(I152,ЦветПолный!A:B,2,FALSE)</f>
        <v>07</v>
      </c>
      <c r="AA152" s="64" t="str">
        <f>IFERROR(VLOOKUP(L152,Размеры!A:D,4,FALSE),"")</f>
        <v>61</v>
      </c>
      <c r="AB152" s="75" t="str">
        <f>IF(LEFT(VLOOKUP(LOOKUP(2,1/SEARCH(G152,Товары!A:A),Товары!A:A),Товары!A:B,2,0),6)=LEFT(W152,6),"OK","НЕ НАЙДЕНО")</f>
        <v>OK</v>
      </c>
      <c r="AC152" s="20"/>
      <c r="AD152" s="56">
        <f>SUMIF(Группа!A:A,C152,Группа!C:C)</f>
        <v>1</v>
      </c>
      <c r="AE152" s="56">
        <f>SUMIF(Группа!B:B,R152,Группа!C:C)</f>
        <v>1</v>
      </c>
      <c r="AF152" s="56">
        <f>SUMIF(Формы!A:A,D152,Формы!B:B)</f>
        <v>1</v>
      </c>
      <c r="AG152" s="56">
        <f>SUMIF(Материал!A:A,E152,Материал!B:B)</f>
        <v>1</v>
      </c>
      <c r="AH152" s="56">
        <f>SUMIF(Размеры!A:A,L152,Размеры!E:E)</f>
        <v>1</v>
      </c>
      <c r="AI152" s="56">
        <f>SUMIF(Сезон!A:A,J152,Сезон!B:B)</f>
        <v>1</v>
      </c>
      <c r="AJ152" s="56">
        <f>SUMIF(Состав!A:A,K152,Состав!B:B)</f>
        <v>0</v>
      </c>
      <c r="AK152" s="56">
        <f>SUMIF(ЦветПолный!A:A,I152,ЦветПолный!C:C)</f>
        <v>6</v>
      </c>
      <c r="AL152" s="56">
        <f>SUMIF(Цвет!A:A,V152,Цвет!B:B)</f>
        <v>1</v>
      </c>
      <c r="AM152" s="56">
        <f>SUMIF(Пол!B:B,F152,Пол!C:C)</f>
        <v>1</v>
      </c>
      <c r="AN152" s="56">
        <f>SUMIF(Марка!A:A,A152,Марка!B:B)</f>
        <v>1</v>
      </c>
      <c r="AO152" s="56">
        <f>SUMIF(Страна!A:A,M152,Страна!B:B)</f>
        <v>1</v>
      </c>
      <c r="AP152" s="68" t="str">
        <f>IF(VLOOKUP(U152,Товары!A:B,2,FALSE)=W152,"Есть в 1С","ERR")</f>
        <v>Есть в 1С</v>
      </c>
      <c r="AQ152" s="68" t="str">
        <f>IF(VLOOKUP(W152,Товары!B:B,1,FALSE)=W152,"Есть в 1С","ERR")</f>
        <v>Есть в 1С</v>
      </c>
      <c r="AS152" s="58" t="str">
        <f>VLOOKUP(U152,Товары!A:B,2,FALSE)</f>
        <v>02-010-07</v>
      </c>
      <c r="AT152" s="60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48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0" t="s">
        <v>28</v>
      </c>
      <c r="W153" s="51" t="str">
        <f t="shared" si="11"/>
        <v>02-010-05</v>
      </c>
      <c r="X153" s="70"/>
      <c r="Y153" s="73" t="s">
        <v>36806</v>
      </c>
      <c r="Z153" s="64" t="str">
        <f>VLOOKUP(I153,ЦветПолный!A:B,2,FALSE)</f>
        <v>05</v>
      </c>
      <c r="AA153" s="64" t="str">
        <f>IFERROR(VLOOKUP(L153,Размеры!A:D,4,FALSE),"")</f>
        <v>57</v>
      </c>
      <c r="AB153" s="75" t="str">
        <f>IF(LEFT(VLOOKUP(LOOKUP(2,1/SEARCH(G153,Товары!A:A),Товары!A:A),Товары!A:B,2,0),6)=LEFT(W153,6),"OK","НЕ НАЙДЕНО")</f>
        <v>OK</v>
      </c>
      <c r="AC153" s="20"/>
      <c r="AD153" s="56">
        <f>SUMIF(Группа!A:A,C153,Группа!C:C)</f>
        <v>1</v>
      </c>
      <c r="AE153" s="56">
        <f>SUMIF(Группа!B:B,R153,Группа!C:C)</f>
        <v>1</v>
      </c>
      <c r="AF153" s="56">
        <f>SUMIF(Формы!A:A,D153,Формы!B:B)</f>
        <v>1</v>
      </c>
      <c r="AG153" s="56">
        <f>SUMIF(Материал!A:A,E153,Материал!B:B)</f>
        <v>1</v>
      </c>
      <c r="AH153" s="56">
        <f>SUMIF(Размеры!A:A,L153,Размеры!E:E)</f>
        <v>1</v>
      </c>
      <c r="AI153" s="56">
        <f>SUMIF(Сезон!A:A,J153,Сезон!B:B)</f>
        <v>1</v>
      </c>
      <c r="AJ153" s="56">
        <f>SUMIF(Состав!A:A,K153,Состав!B:B)</f>
        <v>0</v>
      </c>
      <c r="AK153" s="56">
        <f>SUMIF(ЦветПолный!A:A,I153,ЦветПолный!C:C)</f>
        <v>6</v>
      </c>
      <c r="AL153" s="56">
        <f>SUMIF(Цвет!A:A,V153,Цвет!B:B)</f>
        <v>1</v>
      </c>
      <c r="AM153" s="56">
        <f>SUMIF(Пол!B:B,F153,Пол!C:C)</f>
        <v>1</v>
      </c>
      <c r="AN153" s="56">
        <f>SUMIF(Марка!A:A,A153,Марка!B:B)</f>
        <v>1</v>
      </c>
      <c r="AO153" s="56">
        <f>SUMIF(Страна!A:A,M153,Страна!B:B)</f>
        <v>1</v>
      </c>
      <c r="AP153" s="68" t="str">
        <f>IF(VLOOKUP(U153,Товары!A:B,2,FALSE)=W153,"Есть в 1С","ERR")</f>
        <v>Есть в 1С</v>
      </c>
      <c r="AQ153" s="68" t="str">
        <f>IF(VLOOKUP(W153,Товары!B:B,1,FALSE)=W153,"Есть в 1С","ERR")</f>
        <v>Есть в 1С</v>
      </c>
      <c r="AS153" s="58" t="str">
        <f>VLOOKUP(U153,Товары!A:B,2,FALSE)</f>
        <v>02-010-05</v>
      </c>
      <c r="AT153" s="60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48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0" t="s">
        <v>28</v>
      </c>
      <c r="W154" s="51" t="str">
        <f t="shared" si="11"/>
        <v>02-010-05</v>
      </c>
      <c r="X154" s="70"/>
      <c r="Y154" s="73" t="s">
        <v>36807</v>
      </c>
      <c r="Z154" s="64" t="str">
        <f>VLOOKUP(I154,ЦветПолный!A:B,2,FALSE)</f>
        <v>05</v>
      </c>
      <c r="AA154" s="64" t="str">
        <f>IFERROR(VLOOKUP(L154,Размеры!A:D,4,FALSE),"")</f>
        <v>59</v>
      </c>
      <c r="AB154" s="75" t="str">
        <f>IF(LEFT(VLOOKUP(LOOKUP(2,1/SEARCH(G154,Товары!A:A),Товары!A:A),Товары!A:B,2,0),6)=LEFT(W154,6),"OK","НЕ НАЙДЕНО")</f>
        <v>OK</v>
      </c>
      <c r="AC154" s="20"/>
      <c r="AD154" s="56">
        <f>SUMIF(Группа!A:A,C154,Группа!C:C)</f>
        <v>1</v>
      </c>
      <c r="AE154" s="56">
        <f>SUMIF(Группа!B:B,R154,Группа!C:C)</f>
        <v>1</v>
      </c>
      <c r="AF154" s="56">
        <f>SUMIF(Формы!A:A,D154,Формы!B:B)</f>
        <v>1</v>
      </c>
      <c r="AG154" s="56">
        <f>SUMIF(Материал!A:A,E154,Материал!B:B)</f>
        <v>1</v>
      </c>
      <c r="AH154" s="56">
        <f>SUMIF(Размеры!A:A,L154,Размеры!E:E)</f>
        <v>1</v>
      </c>
      <c r="AI154" s="56">
        <f>SUMIF(Сезон!A:A,J154,Сезон!B:B)</f>
        <v>1</v>
      </c>
      <c r="AJ154" s="56">
        <f>SUMIF(Состав!A:A,K154,Состав!B:B)</f>
        <v>0</v>
      </c>
      <c r="AK154" s="56">
        <f>SUMIF(ЦветПолный!A:A,I154,ЦветПолный!C:C)</f>
        <v>6</v>
      </c>
      <c r="AL154" s="56">
        <f>SUMIF(Цвет!A:A,V154,Цвет!B:B)</f>
        <v>1</v>
      </c>
      <c r="AM154" s="56">
        <f>SUMIF(Пол!B:B,F154,Пол!C:C)</f>
        <v>1</v>
      </c>
      <c r="AN154" s="56">
        <f>SUMIF(Марка!A:A,A154,Марка!B:B)</f>
        <v>1</v>
      </c>
      <c r="AO154" s="56">
        <f>SUMIF(Страна!A:A,M154,Страна!B:B)</f>
        <v>1</v>
      </c>
      <c r="AP154" s="68" t="str">
        <f>IF(VLOOKUP(U154,Товары!A:B,2,FALSE)=W154,"Есть в 1С","ERR")</f>
        <v>Есть в 1С</v>
      </c>
      <c r="AQ154" s="68" t="str">
        <f>IF(VLOOKUP(W154,Товары!B:B,1,FALSE)=W154,"Есть в 1С","ERR")</f>
        <v>Есть в 1С</v>
      </c>
      <c r="AS154" s="58" t="str">
        <f>VLOOKUP(U154,Товары!A:B,2,FALSE)</f>
        <v>02-010-05</v>
      </c>
      <c r="AT154" s="60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48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0" t="s">
        <v>28</v>
      </c>
      <c r="W155" s="51" t="str">
        <f t="shared" si="11"/>
        <v>02-010-05</v>
      </c>
      <c r="X155" s="70"/>
      <c r="Y155" s="73" t="s">
        <v>36808</v>
      </c>
      <c r="Z155" s="64" t="str">
        <f>VLOOKUP(I155,ЦветПолный!A:B,2,FALSE)</f>
        <v>05</v>
      </c>
      <c r="AA155" s="64" t="str">
        <f>IFERROR(VLOOKUP(L155,Размеры!A:D,4,FALSE),"")</f>
        <v>61</v>
      </c>
      <c r="AB155" s="75" t="str">
        <f>IF(LEFT(VLOOKUP(LOOKUP(2,1/SEARCH(G155,Товары!A:A),Товары!A:A),Товары!A:B,2,0),6)=LEFT(W155,6),"OK","НЕ НАЙДЕНО")</f>
        <v>OK</v>
      </c>
      <c r="AC155" s="20"/>
      <c r="AD155" s="56">
        <f>SUMIF(Группа!A:A,C155,Группа!C:C)</f>
        <v>1</v>
      </c>
      <c r="AE155" s="56">
        <f>SUMIF(Группа!B:B,R155,Группа!C:C)</f>
        <v>1</v>
      </c>
      <c r="AF155" s="56">
        <f>SUMIF(Формы!A:A,D155,Формы!B:B)</f>
        <v>1</v>
      </c>
      <c r="AG155" s="56">
        <f>SUMIF(Материал!A:A,E155,Материал!B:B)</f>
        <v>1</v>
      </c>
      <c r="AH155" s="56">
        <f>SUMIF(Размеры!A:A,L155,Размеры!E:E)</f>
        <v>1</v>
      </c>
      <c r="AI155" s="56">
        <f>SUMIF(Сезон!A:A,J155,Сезон!B:B)</f>
        <v>1</v>
      </c>
      <c r="AJ155" s="56">
        <f>SUMIF(Состав!A:A,K155,Состав!B:B)</f>
        <v>0</v>
      </c>
      <c r="AK155" s="56">
        <f>SUMIF(ЦветПолный!A:A,I155,ЦветПолный!C:C)</f>
        <v>6</v>
      </c>
      <c r="AL155" s="56">
        <f>SUMIF(Цвет!A:A,V155,Цвет!B:B)</f>
        <v>1</v>
      </c>
      <c r="AM155" s="56">
        <f>SUMIF(Пол!B:B,F155,Пол!C:C)</f>
        <v>1</v>
      </c>
      <c r="AN155" s="56">
        <f>SUMIF(Марка!A:A,A155,Марка!B:B)</f>
        <v>1</v>
      </c>
      <c r="AO155" s="56">
        <f>SUMIF(Страна!A:A,M155,Страна!B:B)</f>
        <v>1</v>
      </c>
      <c r="AP155" s="68" t="str">
        <f>IF(VLOOKUP(U155,Товары!A:B,2,FALSE)=W155,"Есть в 1С","ERR")</f>
        <v>Есть в 1С</v>
      </c>
      <c r="AQ155" s="68" t="str">
        <f>IF(VLOOKUP(W155,Товары!B:B,1,FALSE)=W155,"Есть в 1С","ERR")</f>
        <v>Есть в 1С</v>
      </c>
      <c r="AS155" s="58" t="str">
        <f>VLOOKUP(U155,Товары!A:B,2,FALSE)</f>
        <v>02-010-05</v>
      </c>
      <c r="AT155" s="60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48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1" t="str">
        <f t="shared" si="11"/>
        <v>02-263-09</v>
      </c>
      <c r="X156" s="70"/>
      <c r="Y156" s="73" t="s">
        <v>36809</v>
      </c>
      <c r="Z156" s="64" t="str">
        <f>VLOOKUP(I156,ЦветПолный!A:B,2,FALSE)</f>
        <v>09</v>
      </c>
      <c r="AA156" s="64" t="str">
        <f>IFERROR(VLOOKUP(L156,Размеры!A:D,4,FALSE),"")</f>
        <v>55</v>
      </c>
      <c r="AB156" s="75" t="str">
        <f>IF(LEFT(VLOOKUP(LOOKUP(2,1/SEARCH(G156,Товары!A:A),Товары!A:A),Товары!A:B,2,0),6)=LEFT(W156,6),"OK","НЕ НАЙДЕНО")</f>
        <v>OK</v>
      </c>
      <c r="AC156" s="20"/>
      <c r="AD156" s="56">
        <f>SUMIF(Группа!A:A,C156,Группа!C:C)</f>
        <v>1</v>
      </c>
      <c r="AE156" s="56">
        <f>SUMIF(Группа!B:B,R156,Группа!C:C)</f>
        <v>1</v>
      </c>
      <c r="AF156" s="56">
        <f>SUMIF(Формы!A:A,D156,Формы!B:B)</f>
        <v>1</v>
      </c>
      <c r="AG156" s="56">
        <f>SUMIF(Материал!A:A,E156,Материал!B:B)</f>
        <v>1</v>
      </c>
      <c r="AH156" s="56">
        <f>SUMIF(Размеры!A:A,L156,Размеры!E:E)</f>
        <v>1</v>
      </c>
      <c r="AI156" s="56">
        <f>SUMIF(Сезон!A:A,J156,Сезон!B:B)</f>
        <v>1</v>
      </c>
      <c r="AJ156" s="56">
        <f>SUMIF(Состав!A:A,K156,Состав!B:B)</f>
        <v>0</v>
      </c>
      <c r="AK156" s="56">
        <f>SUMIF(ЦветПолный!A:A,I156,ЦветПолный!C:C)</f>
        <v>11</v>
      </c>
      <c r="AL156" s="56">
        <f>SUMIF(Цвет!A:A,V156,Цвет!B:B)</f>
        <v>1</v>
      </c>
      <c r="AM156" s="56">
        <f>SUMIF(Пол!B:B,F156,Пол!C:C)</f>
        <v>1</v>
      </c>
      <c r="AN156" s="56">
        <f>SUMIF(Марка!A:A,A156,Марка!B:B)</f>
        <v>1</v>
      </c>
      <c r="AO156" s="56">
        <f>SUMIF(Страна!A:A,M156,Страна!B:B)</f>
        <v>1</v>
      </c>
      <c r="AP156" s="68" t="str">
        <f>IF(VLOOKUP(U156,Товары!A:B,2,FALSE)=W156,"Есть в 1С","ERR")</f>
        <v>Есть в 1С</v>
      </c>
      <c r="AQ156" s="68" t="str">
        <f>IF(VLOOKUP(W156,Товары!B:B,1,FALSE)=W156,"Есть в 1С","ERR")</f>
        <v>Есть в 1С</v>
      </c>
      <c r="AS156" s="58" t="str">
        <f>VLOOKUP(U156,Товары!A:B,2,FALSE)</f>
        <v>02-263-09</v>
      </c>
      <c r="AT156" s="60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48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1" t="str">
        <f t="shared" si="11"/>
        <v>02-263-09</v>
      </c>
      <c r="X157" s="70"/>
      <c r="Y157" s="73" t="s">
        <v>36810</v>
      </c>
      <c r="Z157" s="64" t="str">
        <f>VLOOKUP(I157,ЦветПолный!A:B,2,FALSE)</f>
        <v>09</v>
      </c>
      <c r="AA157" s="64" t="str">
        <f>IFERROR(VLOOKUP(L157,Размеры!A:D,4,FALSE),"")</f>
        <v>57</v>
      </c>
      <c r="AB157" s="75" t="str">
        <f>IF(LEFT(VLOOKUP(LOOKUP(2,1/SEARCH(G157,Товары!A:A),Товары!A:A),Товары!A:B,2,0),6)=LEFT(W157,6),"OK","НЕ НАЙДЕНО")</f>
        <v>OK</v>
      </c>
      <c r="AC157" s="20"/>
      <c r="AD157" s="56">
        <f>SUMIF(Группа!A:A,C157,Группа!C:C)</f>
        <v>1</v>
      </c>
      <c r="AE157" s="56">
        <f>SUMIF(Группа!B:B,R157,Группа!C:C)</f>
        <v>1</v>
      </c>
      <c r="AF157" s="56">
        <f>SUMIF(Формы!A:A,D157,Формы!B:B)</f>
        <v>1</v>
      </c>
      <c r="AG157" s="56">
        <f>SUMIF(Материал!A:A,E157,Материал!B:B)</f>
        <v>1</v>
      </c>
      <c r="AH157" s="56">
        <f>SUMIF(Размеры!A:A,L157,Размеры!E:E)</f>
        <v>1</v>
      </c>
      <c r="AI157" s="56">
        <f>SUMIF(Сезон!A:A,J157,Сезон!B:B)</f>
        <v>1</v>
      </c>
      <c r="AJ157" s="56">
        <f>SUMIF(Состав!A:A,K157,Состав!B:B)</f>
        <v>0</v>
      </c>
      <c r="AK157" s="56">
        <f>SUMIF(ЦветПолный!A:A,I157,ЦветПолный!C:C)</f>
        <v>11</v>
      </c>
      <c r="AL157" s="56">
        <f>SUMIF(Цвет!A:A,V157,Цвет!B:B)</f>
        <v>1</v>
      </c>
      <c r="AM157" s="56">
        <f>SUMIF(Пол!B:B,F157,Пол!C:C)</f>
        <v>1</v>
      </c>
      <c r="AN157" s="56">
        <f>SUMIF(Марка!A:A,A157,Марка!B:B)</f>
        <v>1</v>
      </c>
      <c r="AO157" s="56">
        <f>SUMIF(Страна!A:A,M157,Страна!B:B)</f>
        <v>1</v>
      </c>
      <c r="AP157" s="68" t="str">
        <f>IF(VLOOKUP(U157,Товары!A:B,2,FALSE)=W157,"Есть в 1С","ERR")</f>
        <v>Есть в 1С</v>
      </c>
      <c r="AQ157" s="68" t="str">
        <f>IF(VLOOKUP(W157,Товары!B:B,1,FALSE)=W157,"Есть в 1С","ERR")</f>
        <v>Есть в 1С</v>
      </c>
      <c r="AS157" s="58" t="str">
        <f>VLOOKUP(U157,Товары!A:B,2,FALSE)</f>
        <v>02-263-09</v>
      </c>
      <c r="AT157" s="60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48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1" t="str">
        <f t="shared" si="11"/>
        <v>02-263-09</v>
      </c>
      <c r="X158" s="70"/>
      <c r="Y158" s="73" t="s">
        <v>36811</v>
      </c>
      <c r="Z158" s="64" t="str">
        <f>VLOOKUP(I158,ЦветПолный!A:B,2,FALSE)</f>
        <v>09</v>
      </c>
      <c r="AA158" s="64" t="str">
        <f>IFERROR(VLOOKUP(L158,Размеры!A:D,4,FALSE),"")</f>
        <v>61</v>
      </c>
      <c r="AB158" s="75" t="str">
        <f>IF(LEFT(VLOOKUP(LOOKUP(2,1/SEARCH(G158,Товары!A:A),Товары!A:A),Товары!A:B,2,0),6)=LEFT(W158,6),"OK","НЕ НАЙДЕНО")</f>
        <v>OK</v>
      </c>
      <c r="AC158" s="20"/>
      <c r="AD158" s="56">
        <f>SUMIF(Группа!A:A,C158,Группа!C:C)</f>
        <v>1</v>
      </c>
      <c r="AE158" s="56">
        <f>SUMIF(Группа!B:B,R158,Группа!C:C)</f>
        <v>1</v>
      </c>
      <c r="AF158" s="56">
        <f>SUMIF(Формы!A:A,D158,Формы!B:B)</f>
        <v>1</v>
      </c>
      <c r="AG158" s="56">
        <f>SUMIF(Материал!A:A,E158,Материал!B:B)</f>
        <v>1</v>
      </c>
      <c r="AH158" s="56">
        <f>SUMIF(Размеры!A:A,L158,Размеры!E:E)</f>
        <v>1</v>
      </c>
      <c r="AI158" s="56">
        <f>SUMIF(Сезон!A:A,J158,Сезон!B:B)</f>
        <v>1</v>
      </c>
      <c r="AJ158" s="56">
        <f>SUMIF(Состав!A:A,K158,Состав!B:B)</f>
        <v>0</v>
      </c>
      <c r="AK158" s="56">
        <f>SUMIF(ЦветПолный!A:A,I158,ЦветПолный!C:C)</f>
        <v>11</v>
      </c>
      <c r="AL158" s="56">
        <f>SUMIF(Цвет!A:A,V158,Цвет!B:B)</f>
        <v>1</v>
      </c>
      <c r="AM158" s="56">
        <f>SUMIF(Пол!B:B,F158,Пол!C:C)</f>
        <v>1</v>
      </c>
      <c r="AN158" s="56">
        <f>SUMIF(Марка!A:A,A158,Марка!B:B)</f>
        <v>1</v>
      </c>
      <c r="AO158" s="56">
        <f>SUMIF(Страна!A:A,M158,Страна!B:B)</f>
        <v>1</v>
      </c>
      <c r="AP158" s="68" t="str">
        <f>IF(VLOOKUP(U158,Товары!A:B,2,FALSE)=W158,"Есть в 1С","ERR")</f>
        <v>Есть в 1С</v>
      </c>
      <c r="AQ158" s="68" t="str">
        <f>IF(VLOOKUP(W158,Товары!B:B,1,FALSE)=W158,"Есть в 1С","ERR")</f>
        <v>Есть в 1С</v>
      </c>
      <c r="AS158" s="58" t="str">
        <f>VLOOKUP(U158,Товары!A:B,2,FALSE)</f>
        <v>02-263-09</v>
      </c>
      <c r="AT158" s="60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48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0" t="s">
        <v>28</v>
      </c>
      <c r="W159" s="51" t="str">
        <f t="shared" si="11"/>
        <v>02-263-14</v>
      </c>
      <c r="X159" s="70"/>
      <c r="Y159" s="73" t="s">
        <v>36812</v>
      </c>
      <c r="Z159" s="64" t="str">
        <f>VLOOKUP(I159,ЦветПолный!A:B,2,FALSE)</f>
        <v>14</v>
      </c>
      <c r="AA159" s="64" t="str">
        <f>IFERROR(VLOOKUP(L159,Размеры!A:D,4,FALSE),"")</f>
        <v>55</v>
      </c>
      <c r="AB159" s="75" t="str">
        <f>IF(LEFT(VLOOKUP(LOOKUP(2,1/SEARCH(G159,Товары!A:A),Товары!A:A),Товары!A:B,2,0),6)=LEFT(W159,6),"OK","НЕ НАЙДЕНО")</f>
        <v>OK</v>
      </c>
      <c r="AC159" s="20"/>
      <c r="AD159" s="56">
        <f>SUMIF(Группа!A:A,C159,Группа!C:C)</f>
        <v>1</v>
      </c>
      <c r="AE159" s="56">
        <f>SUMIF(Группа!B:B,R159,Группа!C:C)</f>
        <v>1</v>
      </c>
      <c r="AF159" s="56">
        <f>SUMIF(Формы!A:A,D159,Формы!B:B)</f>
        <v>1</v>
      </c>
      <c r="AG159" s="56">
        <f>SUMIF(Материал!A:A,E159,Материал!B:B)</f>
        <v>1</v>
      </c>
      <c r="AH159" s="56">
        <f>SUMIF(Размеры!A:A,L159,Размеры!E:E)</f>
        <v>1</v>
      </c>
      <c r="AI159" s="56">
        <f>SUMIF(Сезон!A:A,J159,Сезон!B:B)</f>
        <v>1</v>
      </c>
      <c r="AJ159" s="56">
        <f>SUMIF(Состав!A:A,K159,Состав!B:B)</f>
        <v>0</v>
      </c>
      <c r="AK159" s="56">
        <f>SUMIF(ЦветПолный!A:A,I159,ЦветПолный!C:C)</f>
        <v>14</v>
      </c>
      <c r="AL159" s="56">
        <f>SUMIF(Цвет!A:A,V159,Цвет!B:B)</f>
        <v>1</v>
      </c>
      <c r="AM159" s="56">
        <f>SUMIF(Пол!B:B,F159,Пол!C:C)</f>
        <v>1</v>
      </c>
      <c r="AN159" s="56">
        <f>SUMIF(Марка!A:A,A159,Марка!B:B)</f>
        <v>1</v>
      </c>
      <c r="AO159" s="56">
        <f>SUMIF(Страна!A:A,M159,Страна!B:B)</f>
        <v>1</v>
      </c>
      <c r="AP159" s="68" t="str">
        <f>IF(VLOOKUP(U159,Товары!A:B,2,FALSE)=W159,"Есть в 1С","ERR")</f>
        <v>Есть в 1С</v>
      </c>
      <c r="AQ159" s="68" t="str">
        <f>IF(VLOOKUP(W159,Товары!B:B,1,FALSE)=W159,"Есть в 1С","ERR")</f>
        <v>Есть в 1С</v>
      </c>
      <c r="AS159" s="58" t="str">
        <f>VLOOKUP(U159,Товары!A:B,2,FALSE)</f>
        <v>02-263-14</v>
      </c>
      <c r="AT159" s="60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48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0" t="s">
        <v>28</v>
      </c>
      <c r="W160" s="51" t="str">
        <f t="shared" si="11"/>
        <v>02-263-14</v>
      </c>
      <c r="X160" s="70"/>
      <c r="Y160" s="73" t="s">
        <v>36813</v>
      </c>
      <c r="Z160" s="64" t="str">
        <f>VLOOKUP(I160,ЦветПолный!A:B,2,FALSE)</f>
        <v>14</v>
      </c>
      <c r="AA160" s="64" t="str">
        <f>IFERROR(VLOOKUP(L160,Размеры!A:D,4,FALSE),"")</f>
        <v>57</v>
      </c>
      <c r="AB160" s="75" t="str">
        <f>IF(LEFT(VLOOKUP(LOOKUP(2,1/SEARCH(G160,Товары!A:A),Товары!A:A),Товары!A:B,2,0),6)=LEFT(W160,6),"OK","НЕ НАЙДЕНО")</f>
        <v>OK</v>
      </c>
      <c r="AC160" s="20"/>
      <c r="AD160" s="56">
        <f>SUMIF(Группа!A:A,C160,Группа!C:C)</f>
        <v>1</v>
      </c>
      <c r="AE160" s="56">
        <f>SUMIF(Группа!B:B,R160,Группа!C:C)</f>
        <v>1</v>
      </c>
      <c r="AF160" s="56">
        <f>SUMIF(Формы!A:A,D160,Формы!B:B)</f>
        <v>1</v>
      </c>
      <c r="AG160" s="56">
        <f>SUMIF(Материал!A:A,E160,Материал!B:B)</f>
        <v>1</v>
      </c>
      <c r="AH160" s="56">
        <f>SUMIF(Размеры!A:A,L160,Размеры!E:E)</f>
        <v>1</v>
      </c>
      <c r="AI160" s="56">
        <f>SUMIF(Сезон!A:A,J160,Сезон!B:B)</f>
        <v>1</v>
      </c>
      <c r="AJ160" s="56">
        <f>SUMIF(Состав!A:A,K160,Состав!B:B)</f>
        <v>0</v>
      </c>
      <c r="AK160" s="56">
        <f>SUMIF(ЦветПолный!A:A,I160,ЦветПолный!C:C)</f>
        <v>14</v>
      </c>
      <c r="AL160" s="56">
        <f>SUMIF(Цвет!A:A,V160,Цвет!B:B)</f>
        <v>1</v>
      </c>
      <c r="AM160" s="56">
        <f>SUMIF(Пол!B:B,F160,Пол!C:C)</f>
        <v>1</v>
      </c>
      <c r="AN160" s="56">
        <f>SUMIF(Марка!A:A,A160,Марка!B:B)</f>
        <v>1</v>
      </c>
      <c r="AO160" s="56">
        <f>SUMIF(Страна!A:A,M160,Страна!B:B)</f>
        <v>1</v>
      </c>
      <c r="AP160" s="68" t="str">
        <f>IF(VLOOKUP(U160,Товары!A:B,2,FALSE)=W160,"Есть в 1С","ERR")</f>
        <v>Есть в 1С</v>
      </c>
      <c r="AQ160" s="68" t="str">
        <f>IF(VLOOKUP(W160,Товары!B:B,1,FALSE)=W160,"Есть в 1С","ERR")</f>
        <v>Есть в 1С</v>
      </c>
      <c r="AS160" s="58" t="str">
        <f>VLOOKUP(U160,Товары!A:B,2,FALSE)</f>
        <v>02-263-14</v>
      </c>
      <c r="AT160" s="60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48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0" t="s">
        <v>28</v>
      </c>
      <c r="W161" s="51" t="str">
        <f t="shared" si="11"/>
        <v>02-263-14</v>
      </c>
      <c r="X161" s="70"/>
      <c r="Y161" s="73" t="s">
        <v>36814</v>
      </c>
      <c r="Z161" s="64" t="str">
        <f>VLOOKUP(I161,ЦветПолный!A:B,2,FALSE)</f>
        <v>14</v>
      </c>
      <c r="AA161" s="64" t="str">
        <f>IFERROR(VLOOKUP(L161,Размеры!A:D,4,FALSE),"")</f>
        <v>59</v>
      </c>
      <c r="AB161" s="75" t="str">
        <f>IF(LEFT(VLOOKUP(LOOKUP(2,1/SEARCH(G161,Товары!A:A),Товары!A:A),Товары!A:B,2,0),6)=LEFT(W161,6),"OK","НЕ НАЙДЕНО")</f>
        <v>OK</v>
      </c>
      <c r="AC161" s="20"/>
      <c r="AD161" s="56">
        <f>SUMIF(Группа!A:A,C161,Группа!C:C)</f>
        <v>1</v>
      </c>
      <c r="AE161" s="56">
        <f>SUMIF(Группа!B:B,R161,Группа!C:C)</f>
        <v>1</v>
      </c>
      <c r="AF161" s="56">
        <f>SUMIF(Формы!A:A,D161,Формы!B:B)</f>
        <v>1</v>
      </c>
      <c r="AG161" s="56">
        <f>SUMIF(Материал!A:A,E161,Материал!B:B)</f>
        <v>1</v>
      </c>
      <c r="AH161" s="56">
        <f>SUMIF(Размеры!A:A,L161,Размеры!E:E)</f>
        <v>1</v>
      </c>
      <c r="AI161" s="56">
        <f>SUMIF(Сезон!A:A,J161,Сезон!B:B)</f>
        <v>1</v>
      </c>
      <c r="AJ161" s="56">
        <f>SUMIF(Состав!A:A,K161,Состав!B:B)</f>
        <v>0</v>
      </c>
      <c r="AK161" s="56">
        <f>SUMIF(ЦветПолный!A:A,I161,ЦветПолный!C:C)</f>
        <v>14</v>
      </c>
      <c r="AL161" s="56">
        <f>SUMIF(Цвет!A:A,V161,Цвет!B:B)</f>
        <v>1</v>
      </c>
      <c r="AM161" s="56">
        <f>SUMIF(Пол!B:B,F161,Пол!C:C)</f>
        <v>1</v>
      </c>
      <c r="AN161" s="56">
        <f>SUMIF(Марка!A:A,A161,Марка!B:B)</f>
        <v>1</v>
      </c>
      <c r="AO161" s="56">
        <f>SUMIF(Страна!A:A,M161,Страна!B:B)</f>
        <v>1</v>
      </c>
      <c r="AP161" s="68" t="str">
        <f>IF(VLOOKUP(U161,Товары!A:B,2,FALSE)=W161,"Есть в 1С","ERR")</f>
        <v>Есть в 1С</v>
      </c>
      <c r="AQ161" s="68" t="str">
        <f>IF(VLOOKUP(W161,Товары!B:B,1,FALSE)=W161,"Есть в 1С","ERR")</f>
        <v>Есть в 1С</v>
      </c>
      <c r="AS161" s="58" t="str">
        <f>VLOOKUP(U161,Товары!A:B,2,FALSE)</f>
        <v>02-263-14</v>
      </c>
      <c r="AT161" s="60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48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0" t="s">
        <v>28</v>
      </c>
      <c r="W162" s="51" t="str">
        <f t="shared" si="11"/>
        <v>02-263-14</v>
      </c>
      <c r="X162" s="70"/>
      <c r="Y162" s="73" t="s">
        <v>36815</v>
      </c>
      <c r="Z162" s="64" t="str">
        <f>VLOOKUP(I162,ЦветПолный!A:B,2,FALSE)</f>
        <v>14</v>
      </c>
      <c r="AA162" s="64" t="str">
        <f>IFERROR(VLOOKUP(L162,Размеры!A:D,4,FALSE),"")</f>
        <v>61</v>
      </c>
      <c r="AB162" s="75" t="str">
        <f>IF(LEFT(VLOOKUP(LOOKUP(2,1/SEARCH(G162,Товары!A:A),Товары!A:A),Товары!A:B,2,0),6)=LEFT(W162,6),"OK","НЕ НАЙДЕНО")</f>
        <v>OK</v>
      </c>
      <c r="AC162" s="20"/>
      <c r="AD162" s="56">
        <f>SUMIF(Группа!A:A,C162,Группа!C:C)</f>
        <v>1</v>
      </c>
      <c r="AE162" s="56">
        <f>SUMIF(Группа!B:B,R162,Группа!C:C)</f>
        <v>1</v>
      </c>
      <c r="AF162" s="56">
        <f>SUMIF(Формы!A:A,D162,Формы!B:B)</f>
        <v>1</v>
      </c>
      <c r="AG162" s="56">
        <f>SUMIF(Материал!A:A,E162,Материал!B:B)</f>
        <v>1</v>
      </c>
      <c r="AH162" s="56">
        <f>SUMIF(Размеры!A:A,L162,Размеры!E:E)</f>
        <v>1</v>
      </c>
      <c r="AI162" s="56">
        <f>SUMIF(Сезон!A:A,J162,Сезон!B:B)</f>
        <v>1</v>
      </c>
      <c r="AJ162" s="56">
        <f>SUMIF(Состав!A:A,K162,Состав!B:B)</f>
        <v>0</v>
      </c>
      <c r="AK162" s="56">
        <f>SUMIF(ЦветПолный!A:A,I162,ЦветПолный!C:C)</f>
        <v>14</v>
      </c>
      <c r="AL162" s="56">
        <f>SUMIF(Цвет!A:A,V162,Цвет!B:B)</f>
        <v>1</v>
      </c>
      <c r="AM162" s="56">
        <f>SUMIF(Пол!B:B,F162,Пол!C:C)</f>
        <v>1</v>
      </c>
      <c r="AN162" s="56">
        <f>SUMIF(Марка!A:A,A162,Марка!B:B)</f>
        <v>1</v>
      </c>
      <c r="AO162" s="56">
        <f>SUMIF(Страна!A:A,M162,Страна!B:B)</f>
        <v>1</v>
      </c>
      <c r="AP162" s="68" t="str">
        <f>IF(VLOOKUP(U162,Товары!A:B,2,FALSE)=W162,"Есть в 1С","ERR")</f>
        <v>Есть в 1С</v>
      </c>
      <c r="AQ162" s="68" t="str">
        <f>IF(VLOOKUP(W162,Товары!B:B,1,FALSE)=W162,"Есть в 1С","ERR")</f>
        <v>Есть в 1С</v>
      </c>
      <c r="AS162" s="58" t="str">
        <f>VLOOKUP(U162,Товары!A:B,2,FALSE)</f>
        <v>02-263-14</v>
      </c>
      <c r="AT162" s="60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48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0" t="s">
        <v>22</v>
      </c>
      <c r="W163" s="51" t="str">
        <f t="shared" si="11"/>
        <v>new</v>
      </c>
      <c r="X163" s="70"/>
      <c r="Y163" s="73" t="s">
        <v>13</v>
      </c>
      <c r="Z163" s="64" t="str">
        <f>VLOOKUP(I163,ЦветПолный!A:B,2,FALSE)</f>
        <v>91</v>
      </c>
      <c r="AA163" s="64" t="str">
        <f>IFERROR(VLOOKUP(L163,Размеры!A:D,4,FALSE),"")</f>
        <v>55</v>
      </c>
      <c r="AB163" s="75" t="str">
        <f>IF(LEFT(VLOOKUP(LOOKUP(2,1/SEARCH(G163,Товары!A:A),Товары!A:A),Товары!A:B,2,0),6)=LEFT(W163,6),"OK","НЕ НАЙДЕНО")</f>
        <v>НЕ НАЙДЕНО</v>
      </c>
      <c r="AC163" s="20"/>
      <c r="AD163" s="56">
        <f>SUMIF(Группа!A:A,C163,Группа!C:C)</f>
        <v>1</v>
      </c>
      <c r="AE163" s="56">
        <f>SUMIF(Группа!B:B,R163,Группа!C:C)</f>
        <v>1</v>
      </c>
      <c r="AF163" s="56">
        <f>SUMIF(Формы!A:A,D163,Формы!B:B)</f>
        <v>1</v>
      </c>
      <c r="AG163" s="56">
        <f>SUMIF(Материал!A:A,E163,Материал!B:B)</f>
        <v>1</v>
      </c>
      <c r="AH163" s="56">
        <f>SUMIF(Размеры!A:A,L163,Размеры!E:E)</f>
        <v>1</v>
      </c>
      <c r="AI163" s="56">
        <f>SUMIF(Сезон!A:A,J163,Сезон!B:B)</f>
        <v>1</v>
      </c>
      <c r="AJ163" s="56">
        <f>SUMIF(Состав!A:A,K163,Состав!B:B)</f>
        <v>0</v>
      </c>
      <c r="AK163" s="56">
        <f>SUMIF(ЦветПолный!A:A,I163,ЦветПолный!C:C)</f>
        <v>7</v>
      </c>
      <c r="AL163" s="56">
        <f>SUMIF(Цвет!A:A,V163,Цвет!B:B)</f>
        <v>1</v>
      </c>
      <c r="AM163" s="56">
        <f>SUMIF(Пол!B:B,F163,Пол!C:C)</f>
        <v>1</v>
      </c>
      <c r="AN163" s="56">
        <f>SUMIF(Марка!A:A,A163,Марка!B:B)</f>
        <v>1</v>
      </c>
      <c r="AO163" s="56">
        <f>SUMIF(Страна!A:A,M163,Страна!B:B)</f>
        <v>1</v>
      </c>
      <c r="AP163" s="68" t="str">
        <f>IF(VLOOKUP(U163,Товары!A:B,2,FALSE)=W163,"Есть в 1С","ERR")</f>
        <v>ERR</v>
      </c>
      <c r="AQ163" s="68" t="e">
        <f>IF(VLOOKUP(W163,Товары!B:B,1,FALSE)=W163,"Есть в 1С","ERR")</f>
        <v>#N/A</v>
      </c>
      <c r="AS163" s="58" t="str">
        <f>VLOOKUP(U163,Товары!A:B,2,FALSE)</f>
        <v>02-650-91</v>
      </c>
      <c r="AT163" s="60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48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0" t="s">
        <v>22</v>
      </c>
      <c r="W164" s="51" t="str">
        <f t="shared" si="11"/>
        <v>new</v>
      </c>
      <c r="X164" s="70"/>
      <c r="Y164" s="73" t="s">
        <v>13</v>
      </c>
      <c r="Z164" s="64" t="str">
        <f>VLOOKUP(I164,ЦветПолный!A:B,2,FALSE)</f>
        <v>91</v>
      </c>
      <c r="AA164" s="64" t="str">
        <f>IFERROR(VLOOKUP(L164,Размеры!A:D,4,FALSE),"")</f>
        <v>57</v>
      </c>
      <c r="AB164" s="75" t="str">
        <f>IF(LEFT(VLOOKUP(LOOKUP(2,1/SEARCH(G164,Товары!A:A),Товары!A:A),Товары!A:B,2,0),6)=LEFT(W164,6),"OK","НЕ НАЙДЕНО")</f>
        <v>НЕ НАЙДЕНО</v>
      </c>
      <c r="AC164" s="20"/>
      <c r="AD164" s="56">
        <f>SUMIF(Группа!A:A,C164,Группа!C:C)</f>
        <v>1</v>
      </c>
      <c r="AE164" s="56">
        <f>SUMIF(Группа!B:B,R164,Группа!C:C)</f>
        <v>1</v>
      </c>
      <c r="AF164" s="56">
        <f>SUMIF(Формы!A:A,D164,Формы!B:B)</f>
        <v>1</v>
      </c>
      <c r="AG164" s="56">
        <f>SUMIF(Материал!A:A,E164,Материал!B:B)</f>
        <v>1</v>
      </c>
      <c r="AH164" s="56">
        <f>SUMIF(Размеры!A:A,L164,Размеры!E:E)</f>
        <v>1</v>
      </c>
      <c r="AI164" s="56">
        <f>SUMIF(Сезон!A:A,J164,Сезон!B:B)</f>
        <v>1</v>
      </c>
      <c r="AJ164" s="56">
        <f>SUMIF(Состав!A:A,K164,Состав!B:B)</f>
        <v>0</v>
      </c>
      <c r="AK164" s="56">
        <f>SUMIF(ЦветПолный!A:A,I164,ЦветПолный!C:C)</f>
        <v>7</v>
      </c>
      <c r="AL164" s="56">
        <f>SUMIF(Цвет!A:A,V164,Цвет!B:B)</f>
        <v>1</v>
      </c>
      <c r="AM164" s="56">
        <f>SUMIF(Пол!B:B,F164,Пол!C:C)</f>
        <v>1</v>
      </c>
      <c r="AN164" s="56">
        <f>SUMIF(Марка!A:A,A164,Марка!B:B)</f>
        <v>1</v>
      </c>
      <c r="AO164" s="56">
        <f>SUMIF(Страна!A:A,M164,Страна!B:B)</f>
        <v>1</v>
      </c>
      <c r="AP164" s="68" t="str">
        <f>IF(VLOOKUP(U164,Товары!A:B,2,FALSE)=W164,"Есть в 1С","ERR")</f>
        <v>ERR</v>
      </c>
      <c r="AQ164" s="68" t="e">
        <f>IF(VLOOKUP(W164,Товары!B:B,1,FALSE)=W164,"Есть в 1С","ERR")</f>
        <v>#N/A</v>
      </c>
      <c r="AS164" s="58" t="str">
        <f>VLOOKUP(U164,Товары!A:B,2,FALSE)</f>
        <v>02-650-91</v>
      </c>
      <c r="AT164" s="60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48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0" t="s">
        <v>27</v>
      </c>
      <c r="W165" s="51" t="str">
        <f t="shared" si="11"/>
        <v>new</v>
      </c>
      <c r="X165" s="70"/>
      <c r="Y165" s="73" t="s">
        <v>13</v>
      </c>
      <c r="Z165" s="64" t="str">
        <f>VLOOKUP(I165,ЦветПолный!A:B,2,FALSE)</f>
        <v>91</v>
      </c>
      <c r="AA165" s="64" t="str">
        <f>IFERROR(VLOOKUP(L165,Размеры!A:D,4,FALSE),"")</f>
        <v>59</v>
      </c>
      <c r="AB165" s="75" t="str">
        <f>IF(LEFT(VLOOKUP(LOOKUP(2,1/SEARCH(G165,Товары!A:A),Товары!A:A),Товары!A:B,2,0),6)=LEFT(W165,6),"OK","НЕ НАЙДЕНО")</f>
        <v>НЕ НАЙДЕНО</v>
      </c>
      <c r="AC165" s="20"/>
      <c r="AD165" s="56">
        <f>SUMIF(Группа!A:A,C165,Группа!C:C)</f>
        <v>1</v>
      </c>
      <c r="AE165" s="56">
        <f>SUMIF(Группа!B:B,R165,Группа!C:C)</f>
        <v>1</v>
      </c>
      <c r="AF165" s="56">
        <f>SUMIF(Формы!A:A,D165,Формы!B:B)</f>
        <v>1</v>
      </c>
      <c r="AG165" s="56">
        <f>SUMIF(Материал!A:A,E165,Материал!B:B)</f>
        <v>1</v>
      </c>
      <c r="AH165" s="56">
        <f>SUMIF(Размеры!A:A,L165,Размеры!E:E)</f>
        <v>1</v>
      </c>
      <c r="AI165" s="56">
        <f>SUMIF(Сезон!A:A,J165,Сезон!B:B)</f>
        <v>1</v>
      </c>
      <c r="AJ165" s="56">
        <f>SUMIF(Состав!A:A,K165,Состав!B:B)</f>
        <v>0</v>
      </c>
      <c r="AK165" s="56">
        <f>SUMIF(ЦветПолный!A:A,I165,ЦветПолный!C:C)</f>
        <v>7</v>
      </c>
      <c r="AL165" s="56">
        <f>SUMIF(Цвет!A:A,V165,Цвет!B:B)</f>
        <v>1</v>
      </c>
      <c r="AM165" s="56">
        <f>SUMIF(Пол!B:B,F165,Пол!C:C)</f>
        <v>1</v>
      </c>
      <c r="AN165" s="56">
        <f>SUMIF(Марка!A:A,A165,Марка!B:B)</f>
        <v>1</v>
      </c>
      <c r="AO165" s="56">
        <f>SUMIF(Страна!A:A,M165,Страна!B:B)</f>
        <v>1</v>
      </c>
      <c r="AP165" s="68" t="str">
        <f>IF(VLOOKUP(U165,Товары!A:B,2,FALSE)=W165,"Есть в 1С","ERR")</f>
        <v>ERR</v>
      </c>
      <c r="AQ165" s="68" t="e">
        <f>IF(VLOOKUP(W165,Товары!B:B,1,FALSE)=W165,"Есть в 1С","ERR")</f>
        <v>#N/A</v>
      </c>
      <c r="AS165" s="58" t="str">
        <f>VLOOKUP(U165,Товары!A:B,2,FALSE)</f>
        <v>02-650-91</v>
      </c>
      <c r="AT165" s="60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48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0" t="s">
        <v>22</v>
      </c>
      <c r="W166" s="51" t="str">
        <f t="shared" si="11"/>
        <v>new</v>
      </c>
      <c r="X166" s="70"/>
      <c r="Y166" s="73" t="s">
        <v>13</v>
      </c>
      <c r="Z166" s="64" t="str">
        <f>VLOOKUP(I166,ЦветПолный!A:B,2,FALSE)</f>
        <v>91</v>
      </c>
      <c r="AA166" s="64" t="str">
        <f>IFERROR(VLOOKUP(L166,Размеры!A:D,4,FALSE),"")</f>
        <v>61</v>
      </c>
      <c r="AB166" s="75" t="str">
        <f>IF(LEFT(VLOOKUP(LOOKUP(2,1/SEARCH(G166,Товары!A:A),Товары!A:A),Товары!A:B,2,0),6)=LEFT(W166,6),"OK","НЕ НАЙДЕНО")</f>
        <v>НЕ НАЙДЕНО</v>
      </c>
      <c r="AC166" s="20"/>
      <c r="AD166" s="56">
        <f>SUMIF(Группа!A:A,C166,Группа!C:C)</f>
        <v>1</v>
      </c>
      <c r="AE166" s="56">
        <f>SUMIF(Группа!B:B,R166,Группа!C:C)</f>
        <v>1</v>
      </c>
      <c r="AF166" s="56">
        <f>SUMIF(Формы!A:A,D166,Формы!B:B)</f>
        <v>1</v>
      </c>
      <c r="AG166" s="56">
        <f>SUMIF(Материал!A:A,E166,Материал!B:B)</f>
        <v>1</v>
      </c>
      <c r="AH166" s="56">
        <f>SUMIF(Размеры!A:A,L166,Размеры!E:E)</f>
        <v>1</v>
      </c>
      <c r="AI166" s="56">
        <f>SUMIF(Сезон!A:A,J166,Сезон!B:B)</f>
        <v>1</v>
      </c>
      <c r="AJ166" s="56">
        <f>SUMIF(Состав!A:A,K166,Состав!B:B)</f>
        <v>0</v>
      </c>
      <c r="AK166" s="56">
        <f>SUMIF(ЦветПолный!A:A,I166,ЦветПолный!C:C)</f>
        <v>7</v>
      </c>
      <c r="AL166" s="56">
        <f>SUMIF(Цвет!A:A,V166,Цвет!B:B)</f>
        <v>1</v>
      </c>
      <c r="AM166" s="56">
        <f>SUMIF(Пол!B:B,F166,Пол!C:C)</f>
        <v>1</v>
      </c>
      <c r="AN166" s="56">
        <f>SUMIF(Марка!A:A,A166,Марка!B:B)</f>
        <v>1</v>
      </c>
      <c r="AO166" s="56">
        <f>SUMIF(Страна!A:A,M166,Страна!B:B)</f>
        <v>1</v>
      </c>
      <c r="AP166" s="68" t="str">
        <f>IF(VLOOKUP(U166,Товары!A:B,2,FALSE)=W166,"Есть в 1С","ERR")</f>
        <v>ERR</v>
      </c>
      <c r="AQ166" s="68" t="e">
        <f>IF(VLOOKUP(W166,Товары!B:B,1,FALSE)=W166,"Есть в 1С","ERR")</f>
        <v>#N/A</v>
      </c>
      <c r="AS166" s="58" t="str">
        <f>VLOOKUP(U166,Товары!A:B,2,FALSE)</f>
        <v>02-650-91</v>
      </c>
      <c r="AT166" s="60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48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0" t="s">
        <v>28</v>
      </c>
      <c r="W167" s="51" t="str">
        <f t="shared" si="11"/>
        <v>02-238-09</v>
      </c>
      <c r="X167" s="70"/>
      <c r="Y167" s="73" t="s">
        <v>36839</v>
      </c>
      <c r="Z167" s="64" t="str">
        <f>VLOOKUP(I167,ЦветПолный!A:B,2,FALSE)</f>
        <v>09</v>
      </c>
      <c r="AA167" s="64" t="str">
        <f>IFERROR(VLOOKUP(L167,Размеры!A:D,4,FALSE),"")</f>
        <v>85</v>
      </c>
      <c r="AB167" s="75" t="str">
        <f>IF(LEFT(VLOOKUP(LOOKUP(2,1/SEARCH(G167,Товары!A:A),Товары!A:A),Товары!A:B,2,0),6)=LEFT(W167,6),"OK","НЕ НАЙДЕНО")</f>
        <v>OK</v>
      </c>
      <c r="AC167" s="20"/>
      <c r="AD167" s="56">
        <f>SUMIF(Группа!A:A,C167,Группа!C:C)</f>
        <v>1</v>
      </c>
      <c r="AE167" s="56">
        <f>SUMIF(Группа!B:B,R167,Группа!C:C)</f>
        <v>1</v>
      </c>
      <c r="AF167" s="56">
        <f>SUMIF(Формы!A:A,D167,Формы!B:B)</f>
        <v>1</v>
      </c>
      <c r="AG167" s="56">
        <f>SUMIF(Материал!A:A,E167,Материал!B:B)</f>
        <v>1</v>
      </c>
      <c r="AH167" s="56">
        <f>SUMIF(Размеры!A:A,L167,Размеры!E:E)</f>
        <v>1</v>
      </c>
      <c r="AI167" s="56">
        <f>SUMIF(Сезон!A:A,J167,Сезон!B:B)</f>
        <v>1</v>
      </c>
      <c r="AJ167" s="56">
        <f>SUMIF(Состав!A:A,K167,Состав!B:B)</f>
        <v>0</v>
      </c>
      <c r="AK167" s="56">
        <f>SUMIF(ЦветПолный!A:A,I167,ЦветПолный!C:C)</f>
        <v>11</v>
      </c>
      <c r="AL167" s="56">
        <f>SUMIF(Цвет!A:A,V167,Цвет!B:B)</f>
        <v>1</v>
      </c>
      <c r="AM167" s="56">
        <f>SUMIF(Пол!B:B,F167,Пол!C:C)</f>
        <v>1</v>
      </c>
      <c r="AN167" s="56">
        <f>SUMIF(Марка!A:A,A167,Марка!B:B)</f>
        <v>1</v>
      </c>
      <c r="AO167" s="56">
        <f>SUMIF(Страна!A:A,M167,Страна!B:B)</f>
        <v>1</v>
      </c>
      <c r="AP167" s="68" t="str">
        <f>IF(VLOOKUP(U167,Товары!A:B,2,FALSE)=W167,"Есть в 1С","ERR")</f>
        <v>Есть в 1С</v>
      </c>
      <c r="AQ167" s="68" t="str">
        <f>IF(VLOOKUP(W167,Товары!B:B,1,FALSE)=W167,"Есть в 1С","ERR")</f>
        <v>Есть в 1С</v>
      </c>
      <c r="AS167" s="58" t="str">
        <f>VLOOKUP(U167,Товары!A:B,2,FALSE)</f>
        <v>02-238-09</v>
      </c>
      <c r="AT167" s="60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48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1" t="str">
        <f t="shared" si="11"/>
        <v>02-238-09</v>
      </c>
      <c r="X168" s="70"/>
      <c r="Y168" s="73" t="s">
        <v>36838</v>
      </c>
      <c r="Z168" s="64" t="str">
        <f>VLOOKUP(I168,ЦветПолный!A:B,2,FALSE)</f>
        <v>09</v>
      </c>
      <c r="AA168" s="64" t="str">
        <f>IFERROR(VLOOKUP(L168,Размеры!A:D,4,FALSE),"")</f>
        <v>09</v>
      </c>
      <c r="AB168" s="75" t="str">
        <f>IF(LEFT(VLOOKUP(LOOKUP(2,1/SEARCH(G168,Товары!A:A),Товары!A:A),Товары!A:B,2,0),6)=LEFT(W168,6),"OK","НЕ НАЙДЕНО")</f>
        <v>OK</v>
      </c>
      <c r="AC168" s="20"/>
      <c r="AD168" s="56">
        <f>SUMIF(Группа!A:A,C168,Группа!C:C)</f>
        <v>1</v>
      </c>
      <c r="AE168" s="56">
        <f>SUMIF(Группа!B:B,R168,Группа!C:C)</f>
        <v>1</v>
      </c>
      <c r="AF168" s="56">
        <f>SUMIF(Формы!A:A,D168,Формы!B:B)</f>
        <v>1</v>
      </c>
      <c r="AG168" s="56">
        <f>SUMIF(Материал!A:A,E168,Материал!B:B)</f>
        <v>1</v>
      </c>
      <c r="AH168" s="56">
        <f>SUMIF(Размеры!A:A,L168,Размеры!E:E)</f>
        <v>1</v>
      </c>
      <c r="AI168" s="56">
        <f>SUMIF(Сезон!A:A,J168,Сезон!B:B)</f>
        <v>1</v>
      </c>
      <c r="AJ168" s="56">
        <f>SUMIF(Состав!A:A,K168,Состав!B:B)</f>
        <v>0</v>
      </c>
      <c r="AK168" s="56">
        <f>SUMIF(ЦветПолный!A:A,I168,ЦветПолный!C:C)</f>
        <v>11</v>
      </c>
      <c r="AL168" s="56">
        <f>SUMIF(Цвет!A:A,V168,Цвет!B:B)</f>
        <v>1</v>
      </c>
      <c r="AM168" s="56">
        <f>SUMIF(Пол!B:B,F168,Пол!C:C)</f>
        <v>1</v>
      </c>
      <c r="AN168" s="56">
        <f>SUMIF(Марка!A:A,A168,Марка!B:B)</f>
        <v>1</v>
      </c>
      <c r="AO168" s="56">
        <f>SUMIF(Страна!A:A,M168,Страна!B:B)</f>
        <v>1</v>
      </c>
      <c r="AP168" s="68" t="str">
        <f>IF(VLOOKUP(U168,Товары!A:B,2,FALSE)=W168,"Есть в 1С","ERR")</f>
        <v>Есть в 1С</v>
      </c>
      <c r="AQ168" s="68" t="str">
        <f>IF(VLOOKUP(W168,Товары!B:B,1,FALSE)=W168,"Есть в 1С","ERR")</f>
        <v>Есть в 1С</v>
      </c>
      <c r="AS168" s="58" t="str">
        <f>VLOOKUP(U168,Товары!A:B,2,FALSE)</f>
        <v>02-238-09</v>
      </c>
      <c r="AT168" s="60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48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1" t="str">
        <f t="shared" si="11"/>
        <v>02-238-09</v>
      </c>
      <c r="X169" s="70"/>
      <c r="Y169" s="73" t="s">
        <v>36840</v>
      </c>
      <c r="Z169" s="64" t="str">
        <f>VLOOKUP(I169,ЦветПолный!A:B,2,FALSE)</f>
        <v>09</v>
      </c>
      <c r="AA169" s="64" t="str">
        <f>IFERROR(VLOOKUP(L169,Размеры!A:D,4,FALSE),"")</f>
        <v>95</v>
      </c>
      <c r="AB169" s="75" t="str">
        <f>IF(LEFT(VLOOKUP(LOOKUP(2,1/SEARCH(G169,Товары!A:A),Товары!A:A),Товары!A:B,2,0),6)=LEFT(W169,6),"OK","НЕ НАЙДЕНО")</f>
        <v>OK</v>
      </c>
      <c r="AC169" s="20"/>
      <c r="AD169" s="56">
        <f>SUMIF(Группа!A:A,C169,Группа!C:C)</f>
        <v>1</v>
      </c>
      <c r="AE169" s="56">
        <f>SUMIF(Группа!B:B,R169,Группа!C:C)</f>
        <v>1</v>
      </c>
      <c r="AF169" s="56">
        <f>SUMIF(Формы!A:A,D169,Формы!B:B)</f>
        <v>1</v>
      </c>
      <c r="AG169" s="56">
        <f>SUMIF(Материал!A:A,E169,Материал!B:B)</f>
        <v>1</v>
      </c>
      <c r="AH169" s="56">
        <f>SUMIF(Размеры!A:A,L169,Размеры!E:E)</f>
        <v>1</v>
      </c>
      <c r="AI169" s="56">
        <f>SUMIF(Сезон!A:A,J169,Сезон!B:B)</f>
        <v>1</v>
      </c>
      <c r="AJ169" s="56">
        <f>SUMIF(Состав!A:A,K169,Состав!B:B)</f>
        <v>0</v>
      </c>
      <c r="AK169" s="56">
        <f>SUMIF(ЦветПолный!A:A,I169,ЦветПолный!C:C)</f>
        <v>11</v>
      </c>
      <c r="AL169" s="56">
        <f>SUMIF(Цвет!A:A,V169,Цвет!B:B)</f>
        <v>1</v>
      </c>
      <c r="AM169" s="56">
        <f>SUMIF(Пол!B:B,F169,Пол!C:C)</f>
        <v>1</v>
      </c>
      <c r="AN169" s="56">
        <f>SUMIF(Марка!A:A,A169,Марка!B:B)</f>
        <v>1</v>
      </c>
      <c r="AO169" s="56">
        <f>SUMIF(Страна!A:A,M169,Страна!B:B)</f>
        <v>1</v>
      </c>
      <c r="AP169" s="68" t="str">
        <f>IF(VLOOKUP(U169,Товары!A:B,2,FALSE)=W169,"Есть в 1С","ERR")</f>
        <v>Есть в 1С</v>
      </c>
      <c r="AQ169" s="68" t="str">
        <f>IF(VLOOKUP(W169,Товары!B:B,1,FALSE)=W169,"Есть в 1С","ERR")</f>
        <v>Есть в 1С</v>
      </c>
      <c r="AS169" s="58" t="str">
        <f>VLOOKUP(U169,Товары!A:B,2,FALSE)</f>
        <v>02-238-09</v>
      </c>
      <c r="AT169" s="60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48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0" t="s">
        <v>27</v>
      </c>
      <c r="W170" s="51" t="str">
        <f t="shared" si="11"/>
        <v>02-238-14</v>
      </c>
      <c r="X170" s="70"/>
      <c r="Y170" s="73" t="s">
        <v>36841</v>
      </c>
      <c r="Z170" s="64" t="str">
        <f>VLOOKUP(I170,ЦветПолный!A:B,2,FALSE)</f>
        <v>14</v>
      </c>
      <c r="AA170" s="64" t="str">
        <f>IFERROR(VLOOKUP(L170,Размеры!A:D,4,FALSE),"")</f>
        <v>85</v>
      </c>
      <c r="AB170" s="75" t="str">
        <f>IF(LEFT(VLOOKUP(LOOKUP(2,1/SEARCH(G170,Товары!A:A),Товары!A:A),Товары!A:B,2,0),6)=LEFT(W170,6),"OK","НЕ НАЙДЕНО")</f>
        <v>OK</v>
      </c>
      <c r="AC170" s="20"/>
      <c r="AD170" s="56">
        <f>SUMIF(Группа!A:A,C170,Группа!C:C)</f>
        <v>1</v>
      </c>
      <c r="AE170" s="56">
        <f>SUMIF(Группа!B:B,R170,Группа!C:C)</f>
        <v>1</v>
      </c>
      <c r="AF170" s="56">
        <f>SUMIF(Формы!A:A,D170,Формы!B:B)</f>
        <v>1</v>
      </c>
      <c r="AG170" s="56">
        <f>SUMIF(Материал!A:A,E170,Материал!B:B)</f>
        <v>1</v>
      </c>
      <c r="AH170" s="56">
        <f>SUMIF(Размеры!A:A,L170,Размеры!E:E)</f>
        <v>1</v>
      </c>
      <c r="AI170" s="56">
        <f>SUMIF(Сезон!A:A,J170,Сезон!B:B)</f>
        <v>1</v>
      </c>
      <c r="AJ170" s="56">
        <f>SUMIF(Состав!A:A,K170,Состав!B:B)</f>
        <v>0</v>
      </c>
      <c r="AK170" s="56">
        <f>SUMIF(ЦветПолный!A:A,I170,ЦветПолный!C:C)</f>
        <v>14</v>
      </c>
      <c r="AL170" s="56">
        <f>SUMIF(Цвет!A:A,V170,Цвет!B:B)</f>
        <v>1</v>
      </c>
      <c r="AM170" s="56">
        <f>SUMIF(Пол!B:B,F170,Пол!C:C)</f>
        <v>1</v>
      </c>
      <c r="AN170" s="56">
        <f>SUMIF(Марка!A:A,A170,Марка!B:B)</f>
        <v>1</v>
      </c>
      <c r="AO170" s="56">
        <f>SUMIF(Страна!A:A,M170,Страна!B:B)</f>
        <v>1</v>
      </c>
      <c r="AP170" s="68" t="str">
        <f>IF(VLOOKUP(U170,Товары!A:B,2,FALSE)=W170,"Есть в 1С","ERR")</f>
        <v>Есть в 1С</v>
      </c>
      <c r="AQ170" s="68" t="str">
        <f>IF(VLOOKUP(W170,Товары!B:B,1,FALSE)=W170,"Есть в 1С","ERR")</f>
        <v>Есть в 1С</v>
      </c>
      <c r="AS170" s="58" t="str">
        <f>VLOOKUP(U170,Товары!A:B,2,FALSE)</f>
        <v>02-238-14</v>
      </c>
      <c r="AT170" s="60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48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1" t="str">
        <f t="shared" si="11"/>
        <v>02-238-14</v>
      </c>
      <c r="X171" s="70"/>
      <c r="Y171" s="73" t="s">
        <v>36842</v>
      </c>
      <c r="Z171" s="64" t="str">
        <f>VLOOKUP(I171,ЦветПолный!A:B,2,FALSE)</f>
        <v>14</v>
      </c>
      <c r="AA171" s="64" t="str">
        <f>IFERROR(VLOOKUP(L171,Размеры!A:D,4,FALSE),"")</f>
        <v>09</v>
      </c>
      <c r="AB171" s="75" t="str">
        <f>IF(LEFT(VLOOKUP(LOOKUP(2,1/SEARCH(G171,Товары!A:A),Товары!A:A),Товары!A:B,2,0),6)=LEFT(W171,6),"OK","НЕ НАЙДЕНО")</f>
        <v>OK</v>
      </c>
      <c r="AC171" s="20"/>
      <c r="AD171" s="56">
        <f>SUMIF(Группа!A:A,C171,Группа!C:C)</f>
        <v>1</v>
      </c>
      <c r="AE171" s="56">
        <f>SUMIF(Группа!B:B,R171,Группа!C:C)</f>
        <v>1</v>
      </c>
      <c r="AF171" s="56">
        <f>SUMIF(Формы!A:A,D171,Формы!B:B)</f>
        <v>1</v>
      </c>
      <c r="AG171" s="56">
        <f>SUMIF(Материал!A:A,E171,Материал!B:B)</f>
        <v>1</v>
      </c>
      <c r="AH171" s="56">
        <f>SUMIF(Размеры!A:A,L171,Размеры!E:E)</f>
        <v>1</v>
      </c>
      <c r="AI171" s="56">
        <f>SUMIF(Сезон!A:A,J171,Сезон!B:B)</f>
        <v>1</v>
      </c>
      <c r="AJ171" s="56">
        <f>SUMIF(Состав!A:A,K171,Состав!B:B)</f>
        <v>0</v>
      </c>
      <c r="AK171" s="56">
        <f>SUMIF(ЦветПолный!A:A,I171,ЦветПолный!C:C)</f>
        <v>14</v>
      </c>
      <c r="AL171" s="56">
        <f>SUMIF(Цвет!A:A,V171,Цвет!B:B)</f>
        <v>1</v>
      </c>
      <c r="AM171" s="56">
        <f>SUMIF(Пол!B:B,F171,Пол!C:C)</f>
        <v>1</v>
      </c>
      <c r="AN171" s="56">
        <f>SUMIF(Марка!A:A,A171,Марка!B:B)</f>
        <v>1</v>
      </c>
      <c r="AO171" s="56">
        <f>SUMIF(Страна!A:A,M171,Страна!B:B)</f>
        <v>1</v>
      </c>
      <c r="AP171" s="68" t="str">
        <f>IF(VLOOKUP(U171,Товары!A:B,2,FALSE)=W171,"Есть в 1С","ERR")</f>
        <v>Есть в 1С</v>
      </c>
      <c r="AQ171" s="68" t="str">
        <f>IF(VLOOKUP(W171,Товары!B:B,1,FALSE)=W171,"Есть в 1С","ERR")</f>
        <v>Есть в 1С</v>
      </c>
      <c r="AS171" s="58" t="str">
        <f>VLOOKUP(U171,Товары!A:B,2,FALSE)</f>
        <v>02-238-14</v>
      </c>
      <c r="AT171" s="60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48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1" t="str">
        <f t="shared" si="11"/>
        <v>02-238-14</v>
      </c>
      <c r="X172" s="70"/>
      <c r="Y172" s="73" t="s">
        <v>36843</v>
      </c>
      <c r="Z172" s="64" t="str">
        <f>VLOOKUP(I172,ЦветПолный!A:B,2,FALSE)</f>
        <v>14</v>
      </c>
      <c r="AA172" s="64" t="str">
        <f>IFERROR(VLOOKUP(L172,Размеры!A:D,4,FALSE),"")</f>
        <v>95</v>
      </c>
      <c r="AB172" s="75" t="str">
        <f>IF(LEFT(VLOOKUP(LOOKUP(2,1/SEARCH(G172,Товары!A:A),Товары!A:A),Товары!A:B,2,0),6)=LEFT(W172,6),"OK","НЕ НАЙДЕНО")</f>
        <v>OK</v>
      </c>
      <c r="AC172" s="20"/>
      <c r="AD172" s="56">
        <f>SUMIF(Группа!A:A,C172,Группа!C:C)</f>
        <v>1</v>
      </c>
      <c r="AE172" s="56">
        <f>SUMIF(Группа!B:B,R172,Группа!C:C)</f>
        <v>1</v>
      </c>
      <c r="AF172" s="56">
        <f>SUMIF(Формы!A:A,D172,Формы!B:B)</f>
        <v>1</v>
      </c>
      <c r="AG172" s="56">
        <f>SUMIF(Материал!A:A,E172,Материал!B:B)</f>
        <v>1</v>
      </c>
      <c r="AH172" s="56">
        <f>SUMIF(Размеры!A:A,L172,Размеры!E:E)</f>
        <v>1</v>
      </c>
      <c r="AI172" s="56">
        <f>SUMIF(Сезон!A:A,J172,Сезон!B:B)</f>
        <v>1</v>
      </c>
      <c r="AJ172" s="56">
        <f>SUMIF(Состав!A:A,K172,Состав!B:B)</f>
        <v>0</v>
      </c>
      <c r="AK172" s="56">
        <f>SUMIF(ЦветПолный!A:A,I172,ЦветПолный!C:C)</f>
        <v>14</v>
      </c>
      <c r="AL172" s="56">
        <f>SUMIF(Цвет!A:A,V172,Цвет!B:B)</f>
        <v>1</v>
      </c>
      <c r="AM172" s="56">
        <f>SUMIF(Пол!B:B,F172,Пол!C:C)</f>
        <v>1</v>
      </c>
      <c r="AN172" s="56">
        <f>SUMIF(Марка!A:A,A172,Марка!B:B)</f>
        <v>1</v>
      </c>
      <c r="AO172" s="56">
        <f>SUMIF(Страна!A:A,M172,Страна!B:B)</f>
        <v>1</v>
      </c>
      <c r="AP172" s="68" t="str">
        <f>IF(VLOOKUP(U172,Товары!A:B,2,FALSE)=W172,"Есть в 1С","ERR")</f>
        <v>Есть в 1С</v>
      </c>
      <c r="AQ172" s="68" t="str">
        <f>IF(VLOOKUP(W172,Товары!B:B,1,FALSE)=W172,"Есть в 1С","ERR")</f>
        <v>Есть в 1С</v>
      </c>
      <c r="AS172" s="58" t="str">
        <f>VLOOKUP(U172,Товары!A:B,2,FALSE)</f>
        <v>02-238-14</v>
      </c>
      <c r="AT172" s="60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R64"/>
  <sheetViews>
    <sheetView topLeftCell="C1" workbookViewId="0">
      <pane ySplit="1" topLeftCell="A2" activePane="bottomLeft" state="frozen"/>
      <selection activeCell="C1" sqref="C1"/>
      <selection pane="bottomLeft" activeCell="P10" sqref="P10"/>
    </sheetView>
  </sheetViews>
  <sheetFormatPr defaultColWidth="10.42578125" defaultRowHeight="12.75" x14ac:dyDescent="0.2"/>
  <cols>
    <col min="1" max="1" width="12.5703125" style="116" customWidth="1"/>
    <col min="2" max="2" width="32.42578125" style="116" customWidth="1"/>
    <col min="3" max="3" width="12.5703125" style="116" customWidth="1"/>
    <col min="4" max="4" width="20.7109375" style="116" customWidth="1"/>
    <col min="5" max="5" width="22.85546875" style="116" customWidth="1"/>
    <col min="6" max="6" width="12.5703125" style="116" customWidth="1"/>
    <col min="7" max="7" width="16.7109375" style="116" customWidth="1"/>
    <col min="8" max="8" width="12.5703125" style="116" customWidth="1"/>
    <col min="9" max="9" width="21.7109375" style="116" bestFit="1" customWidth="1"/>
    <col min="10" max="10" width="49" style="116" bestFit="1" customWidth="1"/>
    <col min="11" max="11" width="11.5703125" style="116" bestFit="1" customWidth="1"/>
    <col min="12" max="14" width="12.5703125" style="116" customWidth="1"/>
    <col min="15" max="15" width="6.5703125" style="116" customWidth="1"/>
    <col min="16" max="16" width="12.5703125" style="116" customWidth="1"/>
    <col min="17" max="17" width="5" style="127" customWidth="1"/>
    <col min="18" max="18" width="5" style="116" customWidth="1"/>
    <col min="19" max="16384" width="10.42578125" style="116"/>
  </cols>
  <sheetData>
    <row r="1" spans="1:18" x14ac:dyDescent="0.2">
      <c r="A1" s="116" t="s">
        <v>6</v>
      </c>
      <c r="B1" s="116" t="s">
        <v>260</v>
      </c>
      <c r="C1" s="116" t="s">
        <v>4</v>
      </c>
      <c r="D1" s="116" t="s">
        <v>5</v>
      </c>
      <c r="E1" s="116" t="s">
        <v>83</v>
      </c>
      <c r="F1" s="116" t="s">
        <v>86</v>
      </c>
      <c r="G1" s="116" t="s">
        <v>257</v>
      </c>
      <c r="H1" s="116" t="s">
        <v>36861</v>
      </c>
      <c r="I1" s="116" t="s">
        <v>262</v>
      </c>
      <c r="J1" s="116" t="s">
        <v>87</v>
      </c>
      <c r="K1" s="116" t="s">
        <v>259</v>
      </c>
      <c r="L1" s="116" t="s">
        <v>84</v>
      </c>
      <c r="M1" s="116" t="s">
        <v>89</v>
      </c>
      <c r="N1" s="116" t="s">
        <v>88</v>
      </c>
      <c r="O1" s="116" t="s">
        <v>7</v>
      </c>
      <c r="P1" s="116" t="s">
        <v>37733</v>
      </c>
      <c r="Q1" s="127" t="s">
        <v>3</v>
      </c>
      <c r="R1" s="116" t="s">
        <v>263</v>
      </c>
    </row>
    <row r="2" spans="1:18" x14ac:dyDescent="0.2">
      <c r="A2" s="116" t="s">
        <v>37690</v>
      </c>
      <c r="B2" s="116" t="s">
        <v>37704</v>
      </c>
      <c r="C2" s="116" t="s">
        <v>216</v>
      </c>
      <c r="D2" s="116" t="s">
        <v>217</v>
      </c>
      <c r="E2" s="116" t="s">
        <v>10</v>
      </c>
      <c r="F2" s="116" t="s">
        <v>37055</v>
      </c>
      <c r="G2" s="116" t="s">
        <v>90</v>
      </c>
      <c r="H2" s="116">
        <v>99</v>
      </c>
      <c r="I2" s="116" t="s">
        <v>150</v>
      </c>
      <c r="J2" s="116" t="s">
        <v>37727</v>
      </c>
      <c r="K2" s="116" t="s">
        <v>30108</v>
      </c>
      <c r="L2" s="116" t="s">
        <v>30027</v>
      </c>
      <c r="M2" s="116" t="s">
        <v>37731</v>
      </c>
      <c r="N2" s="116" t="s">
        <v>61</v>
      </c>
      <c r="O2" s="116">
        <v>2998.6479999999997</v>
      </c>
      <c r="P2" s="116" t="str">
        <f>A2&amp;"-"&amp;Q2</f>
        <v>02-660-19-57</v>
      </c>
      <c r="Q2" s="127" t="s">
        <v>37637</v>
      </c>
      <c r="R2" s="116">
        <v>2</v>
      </c>
    </row>
    <row r="3" spans="1:18" x14ac:dyDescent="0.2">
      <c r="A3" s="116" t="s">
        <v>37690</v>
      </c>
      <c r="B3" s="116" t="s">
        <v>37704</v>
      </c>
      <c r="C3" s="116" t="s">
        <v>216</v>
      </c>
      <c r="D3" s="116" t="s">
        <v>217</v>
      </c>
      <c r="E3" s="116" t="s">
        <v>10</v>
      </c>
      <c r="F3" s="116" t="s">
        <v>37055</v>
      </c>
      <c r="G3" s="116" t="s">
        <v>90</v>
      </c>
      <c r="H3" s="116">
        <v>99</v>
      </c>
      <c r="I3" s="116" t="s">
        <v>150</v>
      </c>
      <c r="J3" s="116" t="s">
        <v>37727</v>
      </c>
      <c r="K3" s="116" t="s">
        <v>30108</v>
      </c>
      <c r="L3" s="116" t="s">
        <v>30027</v>
      </c>
      <c r="M3" s="116" t="s">
        <v>37731</v>
      </c>
      <c r="N3" s="116" t="s">
        <v>61</v>
      </c>
      <c r="O3" s="116">
        <v>2998.6479999999997</v>
      </c>
      <c r="P3" s="116" t="str">
        <f t="shared" ref="P3:P64" si="0">A3&amp;"-"&amp;Q3</f>
        <v>02-660-19-59</v>
      </c>
      <c r="Q3" s="127" t="s">
        <v>37633</v>
      </c>
      <c r="R3" s="116">
        <v>4</v>
      </c>
    </row>
    <row r="4" spans="1:18" x14ac:dyDescent="0.2">
      <c r="A4" s="116" t="s">
        <v>37691</v>
      </c>
      <c r="B4" s="116" t="s">
        <v>37705</v>
      </c>
      <c r="C4" s="116" t="s">
        <v>46</v>
      </c>
      <c r="D4" s="116" t="s">
        <v>92</v>
      </c>
      <c r="E4" s="116" t="s">
        <v>10</v>
      </c>
      <c r="F4" s="116" t="s">
        <v>37055</v>
      </c>
      <c r="G4" s="116" t="s">
        <v>90</v>
      </c>
      <c r="H4" s="116">
        <v>27</v>
      </c>
      <c r="I4" s="116" t="s">
        <v>25524</v>
      </c>
      <c r="J4" s="116" t="s">
        <v>36682</v>
      </c>
      <c r="K4" s="116" t="s">
        <v>30111</v>
      </c>
      <c r="L4" s="116" t="s">
        <v>30027</v>
      </c>
      <c r="M4" s="116" t="s">
        <v>37063</v>
      </c>
      <c r="N4" s="116" t="s">
        <v>12</v>
      </c>
      <c r="O4" s="116">
        <v>1178.8879999999997</v>
      </c>
      <c r="P4" s="116" t="str">
        <f t="shared" si="0"/>
        <v>02-671-95-00</v>
      </c>
      <c r="Q4" s="127" t="s">
        <v>25344</v>
      </c>
      <c r="R4" s="116">
        <v>150</v>
      </c>
    </row>
    <row r="5" spans="1:18" x14ac:dyDescent="0.2">
      <c r="A5" s="116" t="s">
        <v>37692</v>
      </c>
      <c r="B5" s="116" t="s">
        <v>37706</v>
      </c>
      <c r="C5" s="116" t="s">
        <v>46</v>
      </c>
      <c r="D5" s="116" t="s">
        <v>92</v>
      </c>
      <c r="E5" s="116" t="s">
        <v>10</v>
      </c>
      <c r="F5" s="116" t="s">
        <v>37055</v>
      </c>
      <c r="G5" s="116" t="s">
        <v>90</v>
      </c>
      <c r="H5" s="116">
        <v>5</v>
      </c>
      <c r="I5" s="116" t="s">
        <v>37575</v>
      </c>
      <c r="J5" s="116" t="s">
        <v>36682</v>
      </c>
      <c r="K5" s="116" t="s">
        <v>30111</v>
      </c>
      <c r="L5" s="116" t="s">
        <v>30027</v>
      </c>
      <c r="M5" s="116" t="s">
        <v>37063</v>
      </c>
      <c r="N5" s="116" t="s">
        <v>12</v>
      </c>
      <c r="O5" s="116">
        <v>1178.8879999999997</v>
      </c>
      <c r="P5" s="116" t="str">
        <f t="shared" si="0"/>
        <v>02-672-14-00</v>
      </c>
      <c r="Q5" s="127" t="s">
        <v>25344</v>
      </c>
      <c r="R5" s="116">
        <v>115</v>
      </c>
    </row>
    <row r="6" spans="1:18" x14ac:dyDescent="0.2">
      <c r="A6" s="116" t="s">
        <v>37693</v>
      </c>
      <c r="B6" s="116" t="s">
        <v>37707</v>
      </c>
      <c r="C6" s="116" t="s">
        <v>46</v>
      </c>
      <c r="D6" s="116" t="s">
        <v>92</v>
      </c>
      <c r="E6" s="116" t="s">
        <v>10</v>
      </c>
      <c r="F6" s="116" t="s">
        <v>37055</v>
      </c>
      <c r="G6" s="116" t="s">
        <v>90</v>
      </c>
      <c r="H6" s="116">
        <v>25</v>
      </c>
      <c r="I6" s="116" t="s">
        <v>25527</v>
      </c>
      <c r="J6" s="116" t="s">
        <v>36682</v>
      </c>
      <c r="K6" s="116" t="s">
        <v>30111</v>
      </c>
      <c r="L6" s="116" t="s">
        <v>30027</v>
      </c>
      <c r="M6" s="116" t="s">
        <v>37063</v>
      </c>
      <c r="N6" s="116" t="s">
        <v>12</v>
      </c>
      <c r="O6" s="116">
        <v>1178.8879999999997</v>
      </c>
      <c r="P6" s="116" t="str">
        <f t="shared" si="0"/>
        <v>02-673-70-00</v>
      </c>
      <c r="Q6" s="127" t="s">
        <v>25344</v>
      </c>
      <c r="R6" s="116">
        <v>115</v>
      </c>
    </row>
    <row r="7" spans="1:18" x14ac:dyDescent="0.2">
      <c r="A7" s="116" t="s">
        <v>1846</v>
      </c>
      <c r="B7" s="116" t="s">
        <v>37708</v>
      </c>
      <c r="C7" s="116" t="s">
        <v>46</v>
      </c>
      <c r="D7" s="116" t="s">
        <v>92</v>
      </c>
      <c r="E7" s="116" t="s">
        <v>10</v>
      </c>
      <c r="F7" s="116" t="s">
        <v>91</v>
      </c>
      <c r="G7" s="116" t="s">
        <v>90</v>
      </c>
      <c r="H7" s="116">
        <v>28</v>
      </c>
      <c r="I7" s="116" t="s">
        <v>25483</v>
      </c>
      <c r="J7" s="116" t="s">
        <v>36682</v>
      </c>
      <c r="K7" s="116" t="s">
        <v>30111</v>
      </c>
      <c r="L7" s="116" t="s">
        <v>30027</v>
      </c>
      <c r="M7" s="116" t="s">
        <v>31024</v>
      </c>
      <c r="N7" s="116" t="s">
        <v>12</v>
      </c>
      <c r="O7" s="116">
        <v>1178.8879999999997</v>
      </c>
      <c r="P7" s="116" t="str">
        <f t="shared" si="0"/>
        <v>02-483-13-00</v>
      </c>
      <c r="Q7" s="127" t="s">
        <v>25344</v>
      </c>
      <c r="R7" s="116">
        <v>105</v>
      </c>
    </row>
    <row r="8" spans="1:18" x14ac:dyDescent="0.2">
      <c r="A8" s="116" t="s">
        <v>36205</v>
      </c>
      <c r="B8" s="116" t="s">
        <v>37709</v>
      </c>
      <c r="C8" s="116" t="s">
        <v>46</v>
      </c>
      <c r="D8" s="116" t="s">
        <v>92</v>
      </c>
      <c r="E8" s="116" t="s">
        <v>10</v>
      </c>
      <c r="F8" s="116" t="s">
        <v>91</v>
      </c>
      <c r="G8" s="116" t="s">
        <v>90</v>
      </c>
      <c r="H8" s="116">
        <v>57</v>
      </c>
      <c r="I8" s="116" t="s">
        <v>25389</v>
      </c>
      <c r="J8" s="116" t="s">
        <v>36682</v>
      </c>
      <c r="K8" s="116" t="s">
        <v>30111</v>
      </c>
      <c r="L8" s="116" t="s">
        <v>30027</v>
      </c>
      <c r="M8" s="116" t="s">
        <v>31024</v>
      </c>
      <c r="N8" s="116" t="s">
        <v>12</v>
      </c>
      <c r="O8" s="116">
        <v>1178.8879999999997</v>
      </c>
      <c r="P8" s="116" t="str">
        <f t="shared" si="0"/>
        <v>02-613-54-00</v>
      </c>
      <c r="Q8" s="127" t="s">
        <v>25344</v>
      </c>
      <c r="R8" s="116">
        <v>74</v>
      </c>
    </row>
    <row r="9" spans="1:18" x14ac:dyDescent="0.2">
      <c r="A9" s="116" t="s">
        <v>36207</v>
      </c>
      <c r="B9" s="116" t="s">
        <v>37710</v>
      </c>
      <c r="C9" s="116" t="s">
        <v>46</v>
      </c>
      <c r="D9" s="116" t="s">
        <v>92</v>
      </c>
      <c r="E9" s="116" t="s">
        <v>10</v>
      </c>
      <c r="F9" s="116" t="s">
        <v>91</v>
      </c>
      <c r="G9" s="116" t="s">
        <v>90</v>
      </c>
      <c r="H9" s="116">
        <v>37</v>
      </c>
      <c r="I9" s="116" t="s">
        <v>25389</v>
      </c>
      <c r="J9" s="116" t="s">
        <v>36682</v>
      </c>
      <c r="K9" s="116" t="s">
        <v>30111</v>
      </c>
      <c r="L9" s="116" t="s">
        <v>30027</v>
      </c>
      <c r="M9" s="116" t="s">
        <v>31024</v>
      </c>
      <c r="N9" s="116" t="s">
        <v>12</v>
      </c>
      <c r="O9" s="116">
        <v>1178.8879999999997</v>
      </c>
      <c r="P9" s="116" t="str">
        <f t="shared" si="0"/>
        <v>02-614-54-00</v>
      </c>
      <c r="Q9" s="127" t="s">
        <v>25344</v>
      </c>
      <c r="R9" s="116">
        <v>90</v>
      </c>
    </row>
    <row r="10" spans="1:18" x14ac:dyDescent="0.2">
      <c r="A10" s="116" t="s">
        <v>36209</v>
      </c>
      <c r="B10" s="116" t="s">
        <v>37711</v>
      </c>
      <c r="C10" s="116" t="s">
        <v>46</v>
      </c>
      <c r="D10" s="116" t="s">
        <v>92</v>
      </c>
      <c r="E10" s="116" t="s">
        <v>10</v>
      </c>
      <c r="F10" s="116" t="s">
        <v>91</v>
      </c>
      <c r="G10" s="116" t="s">
        <v>90</v>
      </c>
      <c r="H10" s="116">
        <v>28</v>
      </c>
      <c r="I10" s="116" t="s">
        <v>25483</v>
      </c>
      <c r="J10" s="116" t="s">
        <v>36682</v>
      </c>
      <c r="K10" s="116" t="s">
        <v>30111</v>
      </c>
      <c r="L10" s="116" t="s">
        <v>30027</v>
      </c>
      <c r="M10" s="116" t="s">
        <v>31024</v>
      </c>
      <c r="N10" s="116" t="s">
        <v>12</v>
      </c>
      <c r="O10" s="116">
        <v>1178.8879999999997</v>
      </c>
      <c r="P10" s="116" t="str">
        <f t="shared" si="0"/>
        <v>02-615-13-00</v>
      </c>
      <c r="Q10" s="127" t="s">
        <v>25344</v>
      </c>
      <c r="R10" s="116">
        <v>130</v>
      </c>
    </row>
    <row r="11" spans="1:18" x14ac:dyDescent="0.2">
      <c r="A11" s="116" t="s">
        <v>37694</v>
      </c>
      <c r="B11" s="116" t="s">
        <v>37687</v>
      </c>
      <c r="C11" s="116" t="s">
        <v>46</v>
      </c>
      <c r="D11" s="116" t="s">
        <v>47</v>
      </c>
      <c r="E11" s="116" t="s">
        <v>10</v>
      </c>
      <c r="F11" s="116" t="s">
        <v>37055</v>
      </c>
      <c r="G11" s="116" t="s">
        <v>90</v>
      </c>
      <c r="H11" s="116">
        <v>5</v>
      </c>
      <c r="I11" s="116" t="s">
        <v>58</v>
      </c>
      <c r="J11" s="116" t="s">
        <v>36682</v>
      </c>
      <c r="K11" s="116" t="s">
        <v>30111</v>
      </c>
      <c r="L11" s="116" t="s">
        <v>30027</v>
      </c>
      <c r="M11" s="116" t="s">
        <v>37063</v>
      </c>
      <c r="N11" s="116" t="s">
        <v>12</v>
      </c>
      <c r="O11" s="116">
        <v>1178.8879999999997</v>
      </c>
      <c r="P11" s="116" t="str">
        <f t="shared" si="0"/>
        <v>02-674-03-00</v>
      </c>
      <c r="Q11" s="127" t="s">
        <v>25344</v>
      </c>
      <c r="R11" s="116">
        <v>10</v>
      </c>
    </row>
    <row r="12" spans="1:18" x14ac:dyDescent="0.2">
      <c r="A12" s="116" t="s">
        <v>37695</v>
      </c>
      <c r="B12" s="116" t="s">
        <v>37712</v>
      </c>
      <c r="C12" s="116" t="s">
        <v>46</v>
      </c>
      <c r="D12" s="116" t="s">
        <v>47</v>
      </c>
      <c r="E12" s="116" t="s">
        <v>10</v>
      </c>
      <c r="F12" s="116" t="s">
        <v>37055</v>
      </c>
      <c r="G12" s="116" t="s">
        <v>90</v>
      </c>
      <c r="H12" s="116">
        <v>6</v>
      </c>
      <c r="I12" s="116" t="s">
        <v>22</v>
      </c>
      <c r="J12" s="116" t="s">
        <v>36682</v>
      </c>
      <c r="K12" s="116" t="s">
        <v>30111</v>
      </c>
      <c r="L12" s="116" t="s">
        <v>30027</v>
      </c>
      <c r="M12" s="116" t="s">
        <v>37063</v>
      </c>
      <c r="N12" s="116" t="s">
        <v>12</v>
      </c>
      <c r="O12" s="116">
        <v>1495.3679999999997</v>
      </c>
      <c r="P12" s="116" t="str">
        <f t="shared" si="0"/>
        <v>02-675-14-00</v>
      </c>
      <c r="Q12" s="127" t="s">
        <v>25344</v>
      </c>
      <c r="R12" s="116">
        <v>40</v>
      </c>
    </row>
    <row r="13" spans="1:18" x14ac:dyDescent="0.2">
      <c r="A13" s="116" t="s">
        <v>1851</v>
      </c>
      <c r="B13" s="116" t="s">
        <v>37713</v>
      </c>
      <c r="C13" s="116" t="s">
        <v>46</v>
      </c>
      <c r="D13" s="116" t="s">
        <v>37726</v>
      </c>
      <c r="E13" s="116" t="s">
        <v>10</v>
      </c>
      <c r="F13" s="116" t="s">
        <v>91</v>
      </c>
      <c r="G13" s="116" t="s">
        <v>90</v>
      </c>
      <c r="H13" s="116">
        <v>3</v>
      </c>
      <c r="I13" s="116" t="s">
        <v>25573</v>
      </c>
      <c r="J13" s="116" t="s">
        <v>36682</v>
      </c>
      <c r="K13" s="116" t="s">
        <v>30111</v>
      </c>
      <c r="L13" s="116" t="s">
        <v>30027</v>
      </c>
      <c r="M13" s="116" t="s">
        <v>31024</v>
      </c>
      <c r="N13" s="116" t="s">
        <v>12</v>
      </c>
      <c r="O13" s="116">
        <v>1178.8879999999997</v>
      </c>
      <c r="P13" s="116" t="str">
        <f t="shared" si="0"/>
        <v>02-486-17-00</v>
      </c>
      <c r="Q13" s="127" t="s">
        <v>25344</v>
      </c>
      <c r="R13" s="116">
        <v>12</v>
      </c>
    </row>
    <row r="14" spans="1:18" x14ac:dyDescent="0.2">
      <c r="A14" s="116" t="s">
        <v>1853</v>
      </c>
      <c r="B14" s="116" t="s">
        <v>37713</v>
      </c>
      <c r="C14" s="116" t="s">
        <v>46</v>
      </c>
      <c r="D14" s="116" t="s">
        <v>37726</v>
      </c>
      <c r="E14" s="116" t="s">
        <v>10</v>
      </c>
      <c r="F14" s="116" t="s">
        <v>91</v>
      </c>
      <c r="G14" s="116" t="s">
        <v>90</v>
      </c>
      <c r="H14" s="116">
        <v>8</v>
      </c>
      <c r="I14" s="116" t="s">
        <v>140</v>
      </c>
      <c r="J14" s="116" t="s">
        <v>36682</v>
      </c>
      <c r="K14" s="116" t="s">
        <v>30111</v>
      </c>
      <c r="L14" s="116" t="s">
        <v>30027</v>
      </c>
      <c r="M14" s="116" t="s">
        <v>31024</v>
      </c>
      <c r="N14" s="116" t="s">
        <v>12</v>
      </c>
      <c r="O14" s="116">
        <v>1178.8879999999997</v>
      </c>
      <c r="P14" s="116" t="str">
        <f t="shared" si="0"/>
        <v>02-486-18-00</v>
      </c>
      <c r="Q14" s="127" t="s">
        <v>25344</v>
      </c>
      <c r="R14" s="116">
        <v>6</v>
      </c>
    </row>
    <row r="15" spans="1:18" x14ac:dyDescent="0.2">
      <c r="A15" s="116" t="s">
        <v>1859</v>
      </c>
      <c r="B15" s="116" t="s">
        <v>37714</v>
      </c>
      <c r="C15" s="116" t="s">
        <v>46</v>
      </c>
      <c r="D15" s="116" t="s">
        <v>37726</v>
      </c>
      <c r="E15" s="116" t="s">
        <v>10</v>
      </c>
      <c r="F15" s="116" t="s">
        <v>91</v>
      </c>
      <c r="G15" s="116" t="s">
        <v>90</v>
      </c>
      <c r="H15" s="116">
        <v>75</v>
      </c>
      <c r="I15" s="116" t="s">
        <v>212</v>
      </c>
      <c r="J15" s="116" t="s">
        <v>36682</v>
      </c>
      <c r="K15" s="116" t="s">
        <v>30111</v>
      </c>
      <c r="L15" s="116" t="s">
        <v>30027</v>
      </c>
      <c r="M15" s="116" t="s">
        <v>31024</v>
      </c>
      <c r="N15" s="116" t="s">
        <v>12</v>
      </c>
      <c r="O15" s="116">
        <v>1178.8879999999997</v>
      </c>
      <c r="P15" s="116" t="str">
        <f t="shared" si="0"/>
        <v>02-489-36-00</v>
      </c>
      <c r="Q15" s="127" t="s">
        <v>25344</v>
      </c>
      <c r="R15" s="116">
        <v>6</v>
      </c>
    </row>
    <row r="16" spans="1:18" x14ac:dyDescent="0.2">
      <c r="A16" s="116" t="s">
        <v>1861</v>
      </c>
      <c r="B16" s="116" t="s">
        <v>37715</v>
      </c>
      <c r="C16" s="116" t="s">
        <v>46</v>
      </c>
      <c r="D16" s="116" t="s">
        <v>37726</v>
      </c>
      <c r="E16" s="116" t="s">
        <v>10</v>
      </c>
      <c r="F16" s="116" t="s">
        <v>91</v>
      </c>
      <c r="G16" s="116" t="s">
        <v>90</v>
      </c>
      <c r="H16" s="116">
        <v>31</v>
      </c>
      <c r="I16" s="116" t="s">
        <v>28</v>
      </c>
      <c r="J16" s="116" t="s">
        <v>36682</v>
      </c>
      <c r="K16" s="116" t="s">
        <v>30111</v>
      </c>
      <c r="L16" s="116" t="s">
        <v>30027</v>
      </c>
      <c r="M16" s="116" t="s">
        <v>31024</v>
      </c>
      <c r="N16" s="116" t="s">
        <v>12</v>
      </c>
      <c r="O16" s="116">
        <v>1178.8879999999997</v>
      </c>
      <c r="P16" s="116" t="str">
        <f t="shared" si="0"/>
        <v>02-490-08-00</v>
      </c>
      <c r="Q16" s="127" t="s">
        <v>25344</v>
      </c>
      <c r="R16" s="116">
        <v>6</v>
      </c>
    </row>
    <row r="17" spans="1:18" x14ac:dyDescent="0.2">
      <c r="A17" s="116" t="s">
        <v>37696</v>
      </c>
      <c r="B17" s="116" t="s">
        <v>37716</v>
      </c>
      <c r="C17" s="116" t="s">
        <v>46</v>
      </c>
      <c r="D17" s="116" t="s">
        <v>37726</v>
      </c>
      <c r="E17" s="116" t="s">
        <v>10</v>
      </c>
      <c r="F17" s="116" t="s">
        <v>37055</v>
      </c>
      <c r="G17" s="116" t="s">
        <v>90</v>
      </c>
      <c r="H17" s="116">
        <v>89</v>
      </c>
      <c r="I17" s="116" t="s">
        <v>37594</v>
      </c>
      <c r="J17" s="116" t="s">
        <v>37061</v>
      </c>
      <c r="K17" s="116" t="s">
        <v>30111</v>
      </c>
      <c r="L17" s="116" t="s">
        <v>30027</v>
      </c>
      <c r="M17" s="116" t="s">
        <v>37063</v>
      </c>
      <c r="N17" s="116" t="s">
        <v>12</v>
      </c>
      <c r="O17" s="116">
        <v>1178.8879999999997</v>
      </c>
      <c r="P17" s="116" t="str">
        <f t="shared" si="0"/>
        <v>02-678-86-00</v>
      </c>
      <c r="Q17" s="127" t="s">
        <v>25344</v>
      </c>
      <c r="R17" s="116">
        <v>5</v>
      </c>
    </row>
    <row r="18" spans="1:18" x14ac:dyDescent="0.2">
      <c r="A18" s="116" t="s">
        <v>37697</v>
      </c>
      <c r="B18" s="116" t="s">
        <v>37717</v>
      </c>
      <c r="C18" s="116" t="s">
        <v>31</v>
      </c>
      <c r="D18" s="116" t="s">
        <v>32</v>
      </c>
      <c r="E18" s="116" t="s">
        <v>10</v>
      </c>
      <c r="F18" s="116" t="s">
        <v>37055</v>
      </c>
      <c r="G18" s="116" t="s">
        <v>90</v>
      </c>
      <c r="H18" s="116">
        <v>2</v>
      </c>
      <c r="I18" s="116" t="s">
        <v>23</v>
      </c>
      <c r="J18" s="116" t="s">
        <v>37728</v>
      </c>
      <c r="K18" s="116" t="s">
        <v>30111</v>
      </c>
      <c r="L18" s="116" t="s">
        <v>30027</v>
      </c>
      <c r="M18" s="116" t="s">
        <v>37732</v>
      </c>
      <c r="N18" s="116" t="s">
        <v>60</v>
      </c>
      <c r="O18" s="116">
        <v>1811.8479999999997</v>
      </c>
      <c r="P18" s="116" t="str">
        <f t="shared" si="0"/>
        <v>02-679-16-55</v>
      </c>
      <c r="Q18" s="127" t="s">
        <v>37560</v>
      </c>
      <c r="R18" s="116">
        <v>1</v>
      </c>
    </row>
    <row r="19" spans="1:18" x14ac:dyDescent="0.2">
      <c r="A19" s="116" t="s">
        <v>37697</v>
      </c>
      <c r="B19" s="116" t="s">
        <v>37717</v>
      </c>
      <c r="C19" s="116" t="s">
        <v>31</v>
      </c>
      <c r="D19" s="116" t="s">
        <v>32</v>
      </c>
      <c r="E19" s="116" t="s">
        <v>10</v>
      </c>
      <c r="F19" s="116" t="s">
        <v>37055</v>
      </c>
      <c r="G19" s="116" t="s">
        <v>90</v>
      </c>
      <c r="H19" s="116">
        <v>2</v>
      </c>
      <c r="I19" s="116" t="s">
        <v>23</v>
      </c>
      <c r="J19" s="116" t="s">
        <v>37728</v>
      </c>
      <c r="K19" s="116" t="s">
        <v>30111</v>
      </c>
      <c r="L19" s="116" t="s">
        <v>30027</v>
      </c>
      <c r="M19" s="116" t="s">
        <v>37732</v>
      </c>
      <c r="N19" s="116" t="s">
        <v>60</v>
      </c>
      <c r="O19" s="116">
        <v>1811.8479999999997</v>
      </c>
      <c r="P19" s="116" t="str">
        <f t="shared" si="0"/>
        <v>02-679-16-57</v>
      </c>
      <c r="Q19" s="127" t="s">
        <v>37637</v>
      </c>
      <c r="R19" s="116">
        <v>5</v>
      </c>
    </row>
    <row r="20" spans="1:18" x14ac:dyDescent="0.2">
      <c r="A20" s="116" t="s">
        <v>37697</v>
      </c>
      <c r="B20" s="116" t="s">
        <v>37717</v>
      </c>
      <c r="C20" s="116" t="s">
        <v>31</v>
      </c>
      <c r="D20" s="116" t="s">
        <v>32</v>
      </c>
      <c r="E20" s="116" t="s">
        <v>10</v>
      </c>
      <c r="F20" s="116" t="s">
        <v>37055</v>
      </c>
      <c r="G20" s="116" t="s">
        <v>90</v>
      </c>
      <c r="H20" s="116">
        <v>2</v>
      </c>
      <c r="I20" s="116" t="s">
        <v>23</v>
      </c>
      <c r="J20" s="116" t="s">
        <v>37728</v>
      </c>
      <c r="K20" s="116" t="s">
        <v>30111</v>
      </c>
      <c r="L20" s="116" t="s">
        <v>30027</v>
      </c>
      <c r="M20" s="116" t="s">
        <v>37732</v>
      </c>
      <c r="N20" s="116" t="s">
        <v>60</v>
      </c>
      <c r="O20" s="116">
        <v>1811.8479999999997</v>
      </c>
      <c r="P20" s="116" t="str">
        <f t="shared" si="0"/>
        <v>02-679-16-59</v>
      </c>
      <c r="Q20" s="127" t="s">
        <v>37633</v>
      </c>
      <c r="R20" s="116">
        <v>7</v>
      </c>
    </row>
    <row r="21" spans="1:18" x14ac:dyDescent="0.2">
      <c r="A21" s="116" t="s">
        <v>37697</v>
      </c>
      <c r="B21" s="116" t="s">
        <v>37717</v>
      </c>
      <c r="C21" s="116" t="s">
        <v>31</v>
      </c>
      <c r="D21" s="116" t="s">
        <v>32</v>
      </c>
      <c r="E21" s="116" t="s">
        <v>10</v>
      </c>
      <c r="F21" s="116" t="s">
        <v>37055</v>
      </c>
      <c r="G21" s="116" t="s">
        <v>90</v>
      </c>
      <c r="H21" s="116">
        <v>2</v>
      </c>
      <c r="I21" s="116" t="s">
        <v>23</v>
      </c>
      <c r="J21" s="116" t="s">
        <v>37728</v>
      </c>
      <c r="K21" s="116" t="s">
        <v>30111</v>
      </c>
      <c r="L21" s="116" t="s">
        <v>30027</v>
      </c>
      <c r="M21" s="116" t="s">
        <v>37732</v>
      </c>
      <c r="N21" s="116" t="s">
        <v>60</v>
      </c>
      <c r="O21" s="116">
        <v>1811.8479999999997</v>
      </c>
      <c r="P21" s="116" t="str">
        <f t="shared" si="0"/>
        <v>02-679-16-61</v>
      </c>
      <c r="Q21" s="127" t="s">
        <v>37638</v>
      </c>
      <c r="R21" s="116">
        <v>3</v>
      </c>
    </row>
    <row r="22" spans="1:18" x14ac:dyDescent="0.2">
      <c r="A22" s="116" t="s">
        <v>1023</v>
      </c>
      <c r="B22" s="116" t="s">
        <v>37688</v>
      </c>
      <c r="C22" s="116" t="s">
        <v>31</v>
      </c>
      <c r="D22" s="116" t="s">
        <v>32</v>
      </c>
      <c r="E22" s="116" t="s">
        <v>10</v>
      </c>
      <c r="F22" s="116" t="s">
        <v>91</v>
      </c>
      <c r="G22" s="116" t="s">
        <v>90</v>
      </c>
      <c r="H22" s="116">
        <v>2</v>
      </c>
      <c r="I22" s="116" t="s">
        <v>23</v>
      </c>
      <c r="J22" s="116" t="s">
        <v>36682</v>
      </c>
      <c r="K22" s="116" t="s">
        <v>30111</v>
      </c>
      <c r="L22" s="116" t="s">
        <v>30027</v>
      </c>
      <c r="M22" s="116" t="s">
        <v>31024</v>
      </c>
      <c r="N22" s="116" t="s">
        <v>12</v>
      </c>
      <c r="O22" s="116">
        <v>1020.6479999999999</v>
      </c>
      <c r="P22" s="116" t="str">
        <f t="shared" si="0"/>
        <v>02-201-16-57</v>
      </c>
      <c r="Q22" s="127" t="s">
        <v>37637</v>
      </c>
      <c r="R22" s="116">
        <v>5</v>
      </c>
    </row>
    <row r="23" spans="1:18" x14ac:dyDescent="0.2">
      <c r="A23" s="116" t="s">
        <v>1023</v>
      </c>
      <c r="B23" s="116" t="s">
        <v>37688</v>
      </c>
      <c r="C23" s="116" t="s">
        <v>31</v>
      </c>
      <c r="D23" s="116" t="s">
        <v>32</v>
      </c>
      <c r="E23" s="116" t="s">
        <v>10</v>
      </c>
      <c r="F23" s="116" t="s">
        <v>91</v>
      </c>
      <c r="G23" s="116" t="s">
        <v>90</v>
      </c>
      <c r="H23" s="116">
        <v>2</v>
      </c>
      <c r="I23" s="116" t="s">
        <v>23</v>
      </c>
      <c r="J23" s="116" t="s">
        <v>36682</v>
      </c>
      <c r="K23" s="116" t="s">
        <v>30111</v>
      </c>
      <c r="L23" s="116" t="s">
        <v>30027</v>
      </c>
      <c r="M23" s="116" t="s">
        <v>31024</v>
      </c>
      <c r="N23" s="116" t="s">
        <v>12</v>
      </c>
      <c r="O23" s="116">
        <v>1020.6479999999999</v>
      </c>
      <c r="P23" s="116" t="str">
        <f t="shared" si="0"/>
        <v>02-201-16-59</v>
      </c>
      <c r="Q23" s="127" t="s">
        <v>37633</v>
      </c>
      <c r="R23" s="116">
        <v>5</v>
      </c>
    </row>
    <row r="24" spans="1:18" x14ac:dyDescent="0.2">
      <c r="A24" s="116" t="s">
        <v>1019</v>
      </c>
      <c r="B24" s="116" t="s">
        <v>37688</v>
      </c>
      <c r="C24" s="116" t="s">
        <v>31</v>
      </c>
      <c r="D24" s="116" t="s">
        <v>32</v>
      </c>
      <c r="E24" s="116" t="s">
        <v>10</v>
      </c>
      <c r="F24" s="116" t="s">
        <v>91</v>
      </c>
      <c r="G24" s="116" t="s">
        <v>90</v>
      </c>
      <c r="H24" s="116">
        <v>32</v>
      </c>
      <c r="I24" s="116" t="s">
        <v>28</v>
      </c>
      <c r="J24" s="116" t="s">
        <v>36682</v>
      </c>
      <c r="K24" s="116" t="s">
        <v>30111</v>
      </c>
      <c r="L24" s="116" t="s">
        <v>30027</v>
      </c>
      <c r="M24" s="116" t="s">
        <v>31024</v>
      </c>
      <c r="N24" s="116" t="s">
        <v>12</v>
      </c>
      <c r="O24" s="116">
        <v>1020.6479999999999</v>
      </c>
      <c r="P24" s="116" t="str">
        <f t="shared" si="0"/>
        <v>02-201-08-57</v>
      </c>
      <c r="Q24" s="127" t="s">
        <v>37637</v>
      </c>
      <c r="R24" s="116">
        <v>4</v>
      </c>
    </row>
    <row r="25" spans="1:18" x14ac:dyDescent="0.2">
      <c r="A25" s="116" t="s">
        <v>1019</v>
      </c>
      <c r="B25" s="116" t="s">
        <v>37688</v>
      </c>
      <c r="C25" s="116" t="s">
        <v>31</v>
      </c>
      <c r="D25" s="116" t="s">
        <v>32</v>
      </c>
      <c r="E25" s="116" t="s">
        <v>10</v>
      </c>
      <c r="F25" s="116" t="s">
        <v>91</v>
      </c>
      <c r="G25" s="116" t="s">
        <v>90</v>
      </c>
      <c r="H25" s="116">
        <v>32</v>
      </c>
      <c r="I25" s="116" t="s">
        <v>28</v>
      </c>
      <c r="J25" s="116" t="s">
        <v>36682</v>
      </c>
      <c r="K25" s="116" t="s">
        <v>30111</v>
      </c>
      <c r="L25" s="116" t="s">
        <v>30027</v>
      </c>
      <c r="M25" s="116" t="s">
        <v>31024</v>
      </c>
      <c r="N25" s="116" t="s">
        <v>12</v>
      </c>
      <c r="O25" s="116">
        <v>1020.6479999999999</v>
      </c>
      <c r="P25" s="116" t="str">
        <f t="shared" si="0"/>
        <v>02-201-08-59</v>
      </c>
      <c r="Q25" s="127" t="s">
        <v>37633</v>
      </c>
      <c r="R25" s="116">
        <v>9</v>
      </c>
    </row>
    <row r="26" spans="1:18" x14ac:dyDescent="0.2">
      <c r="A26" s="116" t="s">
        <v>1015</v>
      </c>
      <c r="B26" s="116" t="s">
        <v>37688</v>
      </c>
      <c r="C26" s="116" t="s">
        <v>31</v>
      </c>
      <c r="D26" s="116" t="s">
        <v>32</v>
      </c>
      <c r="E26" s="116" t="s">
        <v>10</v>
      </c>
      <c r="F26" s="116" t="s">
        <v>91</v>
      </c>
      <c r="G26" s="116" t="s">
        <v>90</v>
      </c>
      <c r="H26" s="116">
        <v>55</v>
      </c>
      <c r="I26" s="116" t="s">
        <v>58</v>
      </c>
      <c r="J26" s="116" t="s">
        <v>36682</v>
      </c>
      <c r="K26" s="116" t="s">
        <v>30111</v>
      </c>
      <c r="L26" s="116" t="s">
        <v>30027</v>
      </c>
      <c r="M26" s="116" t="s">
        <v>31024</v>
      </c>
      <c r="N26" s="116" t="s">
        <v>12</v>
      </c>
      <c r="O26" s="116">
        <v>1020.6479999999999</v>
      </c>
      <c r="P26" s="116" t="str">
        <f t="shared" si="0"/>
        <v>02-201-03-57</v>
      </c>
      <c r="Q26" s="127" t="s">
        <v>37637</v>
      </c>
      <c r="R26" s="116">
        <v>5</v>
      </c>
    </row>
    <row r="27" spans="1:18" x14ac:dyDescent="0.2">
      <c r="A27" s="116" t="s">
        <v>1015</v>
      </c>
      <c r="B27" s="116" t="s">
        <v>37688</v>
      </c>
      <c r="C27" s="116" t="s">
        <v>31</v>
      </c>
      <c r="D27" s="116" t="s">
        <v>32</v>
      </c>
      <c r="E27" s="116" t="s">
        <v>10</v>
      </c>
      <c r="F27" s="116" t="s">
        <v>91</v>
      </c>
      <c r="G27" s="116" t="s">
        <v>90</v>
      </c>
      <c r="H27" s="116">
        <v>55</v>
      </c>
      <c r="I27" s="116" t="s">
        <v>58</v>
      </c>
      <c r="J27" s="116" t="s">
        <v>36682</v>
      </c>
      <c r="K27" s="116" t="s">
        <v>30111</v>
      </c>
      <c r="L27" s="116" t="s">
        <v>30027</v>
      </c>
      <c r="M27" s="116" t="s">
        <v>31024</v>
      </c>
      <c r="N27" s="116" t="s">
        <v>12</v>
      </c>
      <c r="O27" s="116">
        <v>1020.6479999999999</v>
      </c>
      <c r="P27" s="116" t="str">
        <f t="shared" si="0"/>
        <v>02-201-03-59</v>
      </c>
      <c r="Q27" s="127" t="s">
        <v>37633</v>
      </c>
      <c r="R27" s="116">
        <v>6</v>
      </c>
    </row>
    <row r="28" spans="1:18" x14ac:dyDescent="0.2">
      <c r="A28" s="116" t="s">
        <v>1875</v>
      </c>
      <c r="B28" s="116" t="s">
        <v>37689</v>
      </c>
      <c r="C28" s="116" t="s">
        <v>31</v>
      </c>
      <c r="D28" s="116" t="s">
        <v>25592</v>
      </c>
      <c r="E28" s="116" t="s">
        <v>10</v>
      </c>
      <c r="F28" s="116" t="s">
        <v>91</v>
      </c>
      <c r="G28" s="116" t="s">
        <v>90</v>
      </c>
      <c r="H28" s="116">
        <v>1</v>
      </c>
      <c r="I28" s="116" t="s">
        <v>1</v>
      </c>
      <c r="J28" s="116" t="s">
        <v>36682</v>
      </c>
      <c r="K28" s="116" t="s">
        <v>30111</v>
      </c>
      <c r="L28" s="116" t="s">
        <v>30027</v>
      </c>
      <c r="M28" s="116" t="s">
        <v>31024</v>
      </c>
      <c r="N28" s="116" t="s">
        <v>12</v>
      </c>
      <c r="O28" s="116">
        <v>1178.8879999999997</v>
      </c>
      <c r="P28" s="116" t="str">
        <f t="shared" si="0"/>
        <v>02-496-09-57</v>
      </c>
      <c r="Q28" s="127" t="s">
        <v>37637</v>
      </c>
      <c r="R28" s="116">
        <v>3</v>
      </c>
    </row>
    <row r="29" spans="1:18" x14ac:dyDescent="0.2">
      <c r="A29" s="116" t="s">
        <v>1875</v>
      </c>
      <c r="B29" s="116" t="s">
        <v>37689</v>
      </c>
      <c r="C29" s="116" t="s">
        <v>31</v>
      </c>
      <c r="D29" s="116" t="s">
        <v>25592</v>
      </c>
      <c r="E29" s="116" t="s">
        <v>10</v>
      </c>
      <c r="F29" s="116" t="s">
        <v>91</v>
      </c>
      <c r="G29" s="116" t="s">
        <v>90</v>
      </c>
      <c r="H29" s="116">
        <v>1</v>
      </c>
      <c r="I29" s="116" t="s">
        <v>1</v>
      </c>
      <c r="J29" s="116" t="s">
        <v>36682</v>
      </c>
      <c r="K29" s="116" t="s">
        <v>30111</v>
      </c>
      <c r="L29" s="116" t="s">
        <v>30027</v>
      </c>
      <c r="M29" s="116" t="s">
        <v>31024</v>
      </c>
      <c r="N29" s="116" t="s">
        <v>12</v>
      </c>
      <c r="O29" s="116">
        <v>1178.8879999999997</v>
      </c>
      <c r="P29" s="116" t="str">
        <f t="shared" si="0"/>
        <v>02-496-09-59</v>
      </c>
      <c r="Q29" s="127" t="s">
        <v>37633</v>
      </c>
      <c r="R29" s="116">
        <v>8</v>
      </c>
    </row>
    <row r="30" spans="1:18" x14ac:dyDescent="0.2">
      <c r="A30" s="116" t="s">
        <v>1875</v>
      </c>
      <c r="B30" s="116" t="s">
        <v>37689</v>
      </c>
      <c r="C30" s="116" t="s">
        <v>31</v>
      </c>
      <c r="D30" s="116" t="s">
        <v>25592</v>
      </c>
      <c r="E30" s="116" t="s">
        <v>10</v>
      </c>
      <c r="F30" s="116" t="s">
        <v>91</v>
      </c>
      <c r="G30" s="116" t="s">
        <v>90</v>
      </c>
      <c r="H30" s="116">
        <v>1</v>
      </c>
      <c r="I30" s="116" t="s">
        <v>1</v>
      </c>
      <c r="J30" s="116" t="s">
        <v>36682</v>
      </c>
      <c r="K30" s="116" t="s">
        <v>30111</v>
      </c>
      <c r="L30" s="116" t="s">
        <v>30027</v>
      </c>
      <c r="M30" s="116" t="s">
        <v>31024</v>
      </c>
      <c r="N30" s="116" t="s">
        <v>12</v>
      </c>
      <c r="O30" s="116">
        <v>1178.8879999999997</v>
      </c>
      <c r="P30" s="116" t="str">
        <f t="shared" si="0"/>
        <v>02-496-09-61</v>
      </c>
      <c r="Q30" s="127" t="s">
        <v>37638</v>
      </c>
      <c r="R30" s="116">
        <v>4</v>
      </c>
    </row>
    <row r="31" spans="1:18" x14ac:dyDescent="0.2">
      <c r="A31" s="116" t="s">
        <v>37698</v>
      </c>
      <c r="B31" s="116" t="s">
        <v>37689</v>
      </c>
      <c r="C31" s="116" t="s">
        <v>31</v>
      </c>
      <c r="D31" s="116" t="s">
        <v>25592</v>
      </c>
      <c r="E31" s="116" t="s">
        <v>10</v>
      </c>
      <c r="F31" s="116" t="s">
        <v>91</v>
      </c>
      <c r="G31" s="116" t="s">
        <v>90</v>
      </c>
      <c r="H31" s="116">
        <v>55</v>
      </c>
      <c r="I31" s="116" t="s">
        <v>54</v>
      </c>
      <c r="J31" s="116" t="s">
        <v>36682</v>
      </c>
      <c r="K31" s="116" t="s">
        <v>30111</v>
      </c>
      <c r="L31" s="116" t="s">
        <v>30027</v>
      </c>
      <c r="M31" s="116" t="s">
        <v>37063</v>
      </c>
      <c r="N31" s="116" t="s">
        <v>12</v>
      </c>
      <c r="O31" s="116">
        <v>1178.8879999999997</v>
      </c>
      <c r="P31" s="116" t="str">
        <f t="shared" si="0"/>
        <v>02-496-11-55</v>
      </c>
      <c r="Q31" s="127" t="s">
        <v>37560</v>
      </c>
      <c r="R31" s="116">
        <v>1</v>
      </c>
    </row>
    <row r="32" spans="1:18" x14ac:dyDescent="0.2">
      <c r="A32" s="116" t="s">
        <v>37698</v>
      </c>
      <c r="B32" s="116" t="s">
        <v>37689</v>
      </c>
      <c r="C32" s="116" t="s">
        <v>31</v>
      </c>
      <c r="D32" s="116" t="s">
        <v>25592</v>
      </c>
      <c r="E32" s="116" t="s">
        <v>10</v>
      </c>
      <c r="F32" s="116" t="s">
        <v>91</v>
      </c>
      <c r="G32" s="116" t="s">
        <v>90</v>
      </c>
      <c r="H32" s="116">
        <v>55</v>
      </c>
      <c r="I32" s="116" t="s">
        <v>54</v>
      </c>
      <c r="J32" s="116" t="s">
        <v>36682</v>
      </c>
      <c r="K32" s="116" t="s">
        <v>30111</v>
      </c>
      <c r="L32" s="116" t="s">
        <v>30027</v>
      </c>
      <c r="M32" s="116" t="s">
        <v>37063</v>
      </c>
      <c r="N32" s="116" t="s">
        <v>12</v>
      </c>
      <c r="O32" s="116">
        <v>1178.8879999999997</v>
      </c>
      <c r="P32" s="116" t="str">
        <f t="shared" si="0"/>
        <v>02-496-11-57</v>
      </c>
      <c r="Q32" s="127" t="s">
        <v>37637</v>
      </c>
      <c r="R32" s="116">
        <v>4</v>
      </c>
    </row>
    <row r="33" spans="1:18" x14ac:dyDescent="0.2">
      <c r="A33" s="116" t="s">
        <v>37698</v>
      </c>
      <c r="B33" s="116" t="s">
        <v>37689</v>
      </c>
      <c r="C33" s="116" t="s">
        <v>31</v>
      </c>
      <c r="D33" s="116" t="s">
        <v>25592</v>
      </c>
      <c r="E33" s="116" t="s">
        <v>10</v>
      </c>
      <c r="F33" s="116" t="s">
        <v>91</v>
      </c>
      <c r="G33" s="116" t="s">
        <v>90</v>
      </c>
      <c r="H33" s="116">
        <v>55</v>
      </c>
      <c r="I33" s="116" t="s">
        <v>54</v>
      </c>
      <c r="J33" s="116" t="s">
        <v>36682</v>
      </c>
      <c r="K33" s="116" t="s">
        <v>30111</v>
      </c>
      <c r="L33" s="116" t="s">
        <v>30027</v>
      </c>
      <c r="M33" s="116" t="s">
        <v>37063</v>
      </c>
      <c r="N33" s="116" t="s">
        <v>12</v>
      </c>
      <c r="O33" s="116">
        <v>1178.8879999999997</v>
      </c>
      <c r="P33" s="116" t="str">
        <f t="shared" si="0"/>
        <v>02-496-11-59</v>
      </c>
      <c r="Q33" s="127" t="s">
        <v>37633</v>
      </c>
      <c r="R33" s="116">
        <v>7</v>
      </c>
    </row>
    <row r="34" spans="1:18" x14ac:dyDescent="0.2">
      <c r="A34" s="116" t="s">
        <v>37698</v>
      </c>
      <c r="B34" s="116" t="s">
        <v>37689</v>
      </c>
      <c r="C34" s="116" t="s">
        <v>31</v>
      </c>
      <c r="D34" s="116" t="s">
        <v>25592</v>
      </c>
      <c r="E34" s="116" t="s">
        <v>10</v>
      </c>
      <c r="F34" s="116" t="s">
        <v>91</v>
      </c>
      <c r="G34" s="116" t="s">
        <v>90</v>
      </c>
      <c r="H34" s="116">
        <v>55</v>
      </c>
      <c r="I34" s="116" t="s">
        <v>54</v>
      </c>
      <c r="J34" s="116" t="s">
        <v>36682</v>
      </c>
      <c r="K34" s="116" t="s">
        <v>30111</v>
      </c>
      <c r="L34" s="116" t="s">
        <v>30027</v>
      </c>
      <c r="M34" s="116" t="s">
        <v>37063</v>
      </c>
      <c r="N34" s="116" t="s">
        <v>12</v>
      </c>
      <c r="O34" s="116">
        <v>1178.8879999999997</v>
      </c>
      <c r="P34" s="116" t="str">
        <f t="shared" si="0"/>
        <v>02-496-11-61</v>
      </c>
      <c r="Q34" s="127" t="s">
        <v>37638</v>
      </c>
      <c r="R34" s="116">
        <v>2</v>
      </c>
    </row>
    <row r="35" spans="1:18" x14ac:dyDescent="0.2">
      <c r="A35" s="116" t="s">
        <v>37699</v>
      </c>
      <c r="B35" s="116" t="s">
        <v>37718</v>
      </c>
      <c r="C35" s="116" t="s">
        <v>46</v>
      </c>
      <c r="D35" s="116" t="s">
        <v>47</v>
      </c>
      <c r="E35" s="116" t="s">
        <v>10</v>
      </c>
      <c r="F35" s="116" t="s">
        <v>37054</v>
      </c>
      <c r="G35" s="116" t="s">
        <v>90</v>
      </c>
      <c r="H35" s="116">
        <v>3</v>
      </c>
      <c r="I35" s="116" t="s">
        <v>28</v>
      </c>
      <c r="J35" s="116" t="s">
        <v>37727</v>
      </c>
      <c r="K35" s="116" t="s">
        <v>30108</v>
      </c>
      <c r="L35" s="116" t="s">
        <v>30027</v>
      </c>
      <c r="M35" s="116" t="s">
        <v>37063</v>
      </c>
      <c r="N35" s="116" t="s">
        <v>12</v>
      </c>
      <c r="O35" s="116">
        <v>1495.3679999999997</v>
      </c>
      <c r="P35" s="116" t="str">
        <f t="shared" si="0"/>
        <v>02-685-08-57</v>
      </c>
      <c r="Q35" s="127" t="s">
        <v>37637</v>
      </c>
      <c r="R35" s="116">
        <v>4</v>
      </c>
    </row>
    <row r="36" spans="1:18" x14ac:dyDescent="0.2">
      <c r="A36" s="116" t="s">
        <v>37699</v>
      </c>
      <c r="B36" s="116" t="s">
        <v>37718</v>
      </c>
      <c r="C36" s="116" t="s">
        <v>46</v>
      </c>
      <c r="D36" s="116" t="s">
        <v>47</v>
      </c>
      <c r="E36" s="116" t="s">
        <v>10</v>
      </c>
      <c r="F36" s="116" t="s">
        <v>37054</v>
      </c>
      <c r="G36" s="116" t="s">
        <v>90</v>
      </c>
      <c r="H36" s="116">
        <v>3</v>
      </c>
      <c r="I36" s="116" t="s">
        <v>28</v>
      </c>
      <c r="J36" s="116" t="s">
        <v>37727</v>
      </c>
      <c r="K36" s="116" t="s">
        <v>30108</v>
      </c>
      <c r="L36" s="116" t="s">
        <v>30027</v>
      </c>
      <c r="M36" s="116" t="s">
        <v>37063</v>
      </c>
      <c r="N36" s="116" t="s">
        <v>12</v>
      </c>
      <c r="O36" s="116">
        <v>1495.3679999999997</v>
      </c>
      <c r="P36" s="116" t="str">
        <f t="shared" si="0"/>
        <v>02-685-08-59</v>
      </c>
      <c r="Q36" s="127" t="s">
        <v>37633</v>
      </c>
      <c r="R36" s="116">
        <v>6</v>
      </c>
    </row>
    <row r="37" spans="1:18" x14ac:dyDescent="0.2">
      <c r="A37" s="116" t="s">
        <v>37700</v>
      </c>
      <c r="B37" s="116" t="s">
        <v>37719</v>
      </c>
      <c r="C37" s="116" t="s">
        <v>31</v>
      </c>
      <c r="D37" s="116" t="s">
        <v>39</v>
      </c>
      <c r="E37" s="116" t="s">
        <v>10</v>
      </c>
      <c r="F37" s="116" t="s">
        <v>37054</v>
      </c>
      <c r="G37" s="116" t="s">
        <v>90</v>
      </c>
      <c r="H37" s="116">
        <v>2</v>
      </c>
      <c r="I37" s="116" t="s">
        <v>27</v>
      </c>
      <c r="J37" s="116" t="s">
        <v>37727</v>
      </c>
      <c r="K37" s="116" t="s">
        <v>30108</v>
      </c>
      <c r="L37" s="116" t="s">
        <v>30027</v>
      </c>
      <c r="M37" s="116" t="s">
        <v>37732</v>
      </c>
      <c r="N37" s="116" t="s">
        <v>60</v>
      </c>
      <c r="O37" s="116">
        <v>2365.6880000000001</v>
      </c>
      <c r="P37" s="116" t="str">
        <f t="shared" si="0"/>
        <v>02-686-06-55</v>
      </c>
      <c r="Q37" s="127" t="s">
        <v>37560</v>
      </c>
      <c r="R37" s="116">
        <v>1</v>
      </c>
    </row>
    <row r="38" spans="1:18" x14ac:dyDescent="0.2">
      <c r="A38" s="116" t="s">
        <v>37700</v>
      </c>
      <c r="B38" s="116" t="s">
        <v>37719</v>
      </c>
      <c r="C38" s="116" t="s">
        <v>31</v>
      </c>
      <c r="D38" s="116" t="s">
        <v>39</v>
      </c>
      <c r="E38" s="116" t="s">
        <v>10</v>
      </c>
      <c r="F38" s="116" t="s">
        <v>37054</v>
      </c>
      <c r="G38" s="116" t="s">
        <v>90</v>
      </c>
      <c r="H38" s="116">
        <v>2</v>
      </c>
      <c r="I38" s="116" t="s">
        <v>27</v>
      </c>
      <c r="J38" s="116" t="s">
        <v>37727</v>
      </c>
      <c r="K38" s="116" t="s">
        <v>30108</v>
      </c>
      <c r="L38" s="116" t="s">
        <v>30027</v>
      </c>
      <c r="M38" s="116" t="s">
        <v>37732</v>
      </c>
      <c r="N38" s="116" t="s">
        <v>60</v>
      </c>
      <c r="O38" s="116">
        <v>2365.6880000000001</v>
      </c>
      <c r="P38" s="116" t="str">
        <f t="shared" si="0"/>
        <v>02-686-06-57</v>
      </c>
      <c r="Q38" s="127" t="s">
        <v>37637</v>
      </c>
      <c r="R38" s="116">
        <v>5</v>
      </c>
    </row>
    <row r="39" spans="1:18" x14ac:dyDescent="0.2">
      <c r="A39" s="116" t="s">
        <v>37700</v>
      </c>
      <c r="B39" s="116" t="s">
        <v>37719</v>
      </c>
      <c r="C39" s="116" t="s">
        <v>31</v>
      </c>
      <c r="D39" s="116" t="s">
        <v>39</v>
      </c>
      <c r="E39" s="116" t="s">
        <v>10</v>
      </c>
      <c r="F39" s="116" t="s">
        <v>37054</v>
      </c>
      <c r="G39" s="116" t="s">
        <v>90</v>
      </c>
      <c r="H39" s="116">
        <v>2</v>
      </c>
      <c r="I39" s="116" t="s">
        <v>27</v>
      </c>
      <c r="J39" s="116" t="s">
        <v>37727</v>
      </c>
      <c r="K39" s="116" t="s">
        <v>30108</v>
      </c>
      <c r="L39" s="116" t="s">
        <v>30027</v>
      </c>
      <c r="M39" s="116" t="s">
        <v>37732</v>
      </c>
      <c r="N39" s="116" t="s">
        <v>60</v>
      </c>
      <c r="O39" s="116">
        <v>2365.6880000000001</v>
      </c>
      <c r="P39" s="116" t="str">
        <f t="shared" si="0"/>
        <v>02-686-06-59</v>
      </c>
      <c r="Q39" s="127" t="s">
        <v>37633</v>
      </c>
      <c r="R39" s="116">
        <v>8</v>
      </c>
    </row>
    <row r="40" spans="1:18" x14ac:dyDescent="0.2">
      <c r="A40" s="116" t="s">
        <v>37700</v>
      </c>
      <c r="B40" s="116" t="s">
        <v>37719</v>
      </c>
      <c r="C40" s="116" t="s">
        <v>31</v>
      </c>
      <c r="D40" s="116" t="s">
        <v>39</v>
      </c>
      <c r="E40" s="116" t="s">
        <v>10</v>
      </c>
      <c r="F40" s="116" t="s">
        <v>37054</v>
      </c>
      <c r="G40" s="116" t="s">
        <v>90</v>
      </c>
      <c r="H40" s="116">
        <v>2</v>
      </c>
      <c r="I40" s="116" t="s">
        <v>27</v>
      </c>
      <c r="J40" s="116" t="s">
        <v>37727</v>
      </c>
      <c r="K40" s="116" t="s">
        <v>30108</v>
      </c>
      <c r="L40" s="116" t="s">
        <v>30027</v>
      </c>
      <c r="M40" s="116" t="s">
        <v>37732</v>
      </c>
      <c r="N40" s="116" t="s">
        <v>60</v>
      </c>
      <c r="O40" s="116">
        <v>2365.6880000000001</v>
      </c>
      <c r="P40" s="116" t="str">
        <f t="shared" si="0"/>
        <v>02-686-06-61</v>
      </c>
      <c r="Q40" s="127" t="s">
        <v>37638</v>
      </c>
      <c r="R40" s="116">
        <v>2</v>
      </c>
    </row>
    <row r="41" spans="1:18" x14ac:dyDescent="0.2">
      <c r="A41" s="116" t="s">
        <v>37701</v>
      </c>
      <c r="B41" s="116" t="s">
        <v>37720</v>
      </c>
      <c r="C41" s="116" t="s">
        <v>31</v>
      </c>
      <c r="D41" s="116" t="s">
        <v>39</v>
      </c>
      <c r="E41" s="116" t="s">
        <v>10</v>
      </c>
      <c r="F41" s="116" t="s">
        <v>37054</v>
      </c>
      <c r="G41" s="116" t="s">
        <v>90</v>
      </c>
      <c r="H41" s="116">
        <v>6</v>
      </c>
      <c r="I41" s="116" t="s">
        <v>22</v>
      </c>
      <c r="J41" s="116" t="s">
        <v>37729</v>
      </c>
      <c r="K41" s="116" t="s">
        <v>30108</v>
      </c>
      <c r="L41" s="116" t="s">
        <v>30027</v>
      </c>
      <c r="M41" s="116" t="s">
        <v>37731</v>
      </c>
      <c r="N41" s="116" t="s">
        <v>61</v>
      </c>
      <c r="O41" s="116">
        <v>2998.6479999999997</v>
      </c>
      <c r="P41" s="116" t="str">
        <f t="shared" si="0"/>
        <v>02-689-14-57</v>
      </c>
      <c r="Q41" s="127" t="s">
        <v>37637</v>
      </c>
      <c r="R41" s="116">
        <v>4</v>
      </c>
    </row>
    <row r="42" spans="1:18" x14ac:dyDescent="0.2">
      <c r="A42" s="116" t="s">
        <v>37701</v>
      </c>
      <c r="B42" s="116" t="s">
        <v>37720</v>
      </c>
      <c r="C42" s="116" t="s">
        <v>31</v>
      </c>
      <c r="D42" s="116" t="s">
        <v>39</v>
      </c>
      <c r="E42" s="116" t="s">
        <v>10</v>
      </c>
      <c r="F42" s="116" t="s">
        <v>37054</v>
      </c>
      <c r="G42" s="116" t="s">
        <v>90</v>
      </c>
      <c r="H42" s="116">
        <v>6</v>
      </c>
      <c r="I42" s="116" t="s">
        <v>22</v>
      </c>
      <c r="J42" s="116" t="s">
        <v>37729</v>
      </c>
      <c r="K42" s="116" t="s">
        <v>30108</v>
      </c>
      <c r="L42" s="116" t="s">
        <v>30027</v>
      </c>
      <c r="M42" s="116" t="s">
        <v>37731</v>
      </c>
      <c r="N42" s="116" t="s">
        <v>61</v>
      </c>
      <c r="O42" s="116">
        <v>2998.6479999999997</v>
      </c>
      <c r="P42" s="116" t="str">
        <f t="shared" si="0"/>
        <v>02-689-14-59</v>
      </c>
      <c r="Q42" s="127" t="s">
        <v>37633</v>
      </c>
      <c r="R42" s="116">
        <v>6</v>
      </c>
    </row>
    <row r="43" spans="1:18" x14ac:dyDescent="0.2">
      <c r="A43" s="116" t="s">
        <v>37701</v>
      </c>
      <c r="B43" s="116" t="s">
        <v>37720</v>
      </c>
      <c r="C43" s="116" t="s">
        <v>31</v>
      </c>
      <c r="D43" s="116" t="s">
        <v>39</v>
      </c>
      <c r="E43" s="116" t="s">
        <v>10</v>
      </c>
      <c r="F43" s="116" t="s">
        <v>37054</v>
      </c>
      <c r="G43" s="116" t="s">
        <v>90</v>
      </c>
      <c r="H43" s="116">
        <v>6</v>
      </c>
      <c r="I43" s="116" t="s">
        <v>22</v>
      </c>
      <c r="J43" s="116" t="s">
        <v>37729</v>
      </c>
      <c r="K43" s="116" t="s">
        <v>30108</v>
      </c>
      <c r="L43" s="116" t="s">
        <v>30027</v>
      </c>
      <c r="M43" s="116" t="s">
        <v>37731</v>
      </c>
      <c r="N43" s="116" t="s">
        <v>61</v>
      </c>
      <c r="O43" s="116">
        <v>2998.6479999999997</v>
      </c>
      <c r="P43" s="116" t="str">
        <f t="shared" si="0"/>
        <v>02-689-14-61</v>
      </c>
      <c r="Q43" s="127" t="s">
        <v>37638</v>
      </c>
      <c r="R43" s="116">
        <v>1</v>
      </c>
    </row>
    <row r="44" spans="1:18" x14ac:dyDescent="0.2">
      <c r="A44" s="116" t="s">
        <v>1145</v>
      </c>
      <c r="B44" s="116" t="s">
        <v>37721</v>
      </c>
      <c r="C44" s="116" t="s">
        <v>8</v>
      </c>
      <c r="D44" s="116" t="s">
        <v>14</v>
      </c>
      <c r="E44" s="116" t="s">
        <v>10</v>
      </c>
      <c r="F44" s="116" t="s">
        <v>91</v>
      </c>
      <c r="G44" s="116" t="s">
        <v>90</v>
      </c>
      <c r="H44" s="116">
        <v>63</v>
      </c>
      <c r="I44" s="116" t="s">
        <v>233</v>
      </c>
      <c r="J44" s="116" t="s">
        <v>36678</v>
      </c>
      <c r="K44" s="116" t="s">
        <v>30107</v>
      </c>
      <c r="L44" s="116" t="s">
        <v>30027</v>
      </c>
      <c r="M44" s="116" t="s">
        <v>31024</v>
      </c>
      <c r="N44" s="116" t="s">
        <v>12</v>
      </c>
      <c r="O44" s="116">
        <v>4509.8399999999992</v>
      </c>
      <c r="P44" s="116" t="str">
        <f t="shared" si="0"/>
        <v>02-233-91-57</v>
      </c>
      <c r="Q44" s="127" t="s">
        <v>37637</v>
      </c>
      <c r="R44" s="116">
        <v>8</v>
      </c>
    </row>
    <row r="45" spans="1:18" x14ac:dyDescent="0.2">
      <c r="A45" s="116" t="s">
        <v>1145</v>
      </c>
      <c r="B45" s="116" t="s">
        <v>37721</v>
      </c>
      <c r="C45" s="116" t="s">
        <v>8</v>
      </c>
      <c r="D45" s="116" t="s">
        <v>14</v>
      </c>
      <c r="E45" s="116" t="s">
        <v>10</v>
      </c>
      <c r="F45" s="116" t="s">
        <v>91</v>
      </c>
      <c r="G45" s="116" t="s">
        <v>90</v>
      </c>
      <c r="H45" s="116">
        <v>63</v>
      </c>
      <c r="I45" s="116" t="s">
        <v>233</v>
      </c>
      <c r="J45" s="116" t="s">
        <v>36678</v>
      </c>
      <c r="K45" s="116" t="s">
        <v>30107</v>
      </c>
      <c r="L45" s="116" t="s">
        <v>30027</v>
      </c>
      <c r="M45" s="116" t="s">
        <v>31024</v>
      </c>
      <c r="N45" s="116" t="s">
        <v>12</v>
      </c>
      <c r="O45" s="116">
        <v>4509.8399999999992</v>
      </c>
      <c r="P45" s="116" t="str">
        <f t="shared" si="0"/>
        <v>02-233-91-59</v>
      </c>
      <c r="Q45" s="127" t="s">
        <v>37633</v>
      </c>
      <c r="R45" s="116">
        <v>9</v>
      </c>
    </row>
    <row r="46" spans="1:18" x14ac:dyDescent="0.2">
      <c r="A46" s="116" t="s">
        <v>667</v>
      </c>
      <c r="B46" s="116" t="s">
        <v>26202</v>
      </c>
      <c r="C46" s="116" t="s">
        <v>31</v>
      </c>
      <c r="D46" s="116" t="s">
        <v>25592</v>
      </c>
      <c r="E46" s="116" t="s">
        <v>10</v>
      </c>
      <c r="F46" s="116" t="s">
        <v>91</v>
      </c>
      <c r="G46" s="116" t="s">
        <v>90</v>
      </c>
      <c r="H46" s="116">
        <v>62</v>
      </c>
      <c r="I46" s="116" t="s">
        <v>233</v>
      </c>
      <c r="J46" s="116" t="s">
        <v>36678</v>
      </c>
      <c r="K46" s="116" t="s">
        <v>30107</v>
      </c>
      <c r="L46" s="116" t="s">
        <v>30027</v>
      </c>
      <c r="M46" s="116" t="s">
        <v>31024</v>
      </c>
      <c r="N46" s="116" t="s">
        <v>12</v>
      </c>
      <c r="O46" s="116">
        <v>2128.328</v>
      </c>
      <c r="P46" s="116" t="str">
        <f t="shared" si="0"/>
        <v>02-098-91-00</v>
      </c>
      <c r="Q46" s="127" t="s">
        <v>25344</v>
      </c>
      <c r="R46" s="116">
        <v>10</v>
      </c>
    </row>
    <row r="47" spans="1:18" x14ac:dyDescent="0.2">
      <c r="A47" s="116" t="s">
        <v>37702</v>
      </c>
      <c r="B47" s="116" t="s">
        <v>37722</v>
      </c>
      <c r="C47" s="116" t="s">
        <v>216</v>
      </c>
      <c r="D47" s="116" t="s">
        <v>217</v>
      </c>
      <c r="E47" s="116" t="s">
        <v>10</v>
      </c>
      <c r="F47" s="116" t="s">
        <v>31076</v>
      </c>
      <c r="G47" s="116" t="s">
        <v>90</v>
      </c>
      <c r="H47" s="116">
        <v>2</v>
      </c>
      <c r="I47" s="116" t="s">
        <v>27</v>
      </c>
      <c r="J47" s="116" t="s">
        <v>36682</v>
      </c>
      <c r="K47" s="116" t="s">
        <v>30111</v>
      </c>
      <c r="L47" s="116" t="s">
        <v>30027</v>
      </c>
      <c r="M47" s="116" t="s">
        <v>37063</v>
      </c>
      <c r="N47" s="116" t="s">
        <v>12</v>
      </c>
      <c r="O47" s="116">
        <v>2128.328</v>
      </c>
      <c r="P47" s="116" t="str">
        <f t="shared" si="0"/>
        <v>02-186-06-59</v>
      </c>
      <c r="Q47" s="127" t="s">
        <v>37633</v>
      </c>
      <c r="R47" s="116">
        <v>4</v>
      </c>
    </row>
    <row r="48" spans="1:18" x14ac:dyDescent="0.2">
      <c r="A48" s="116" t="s">
        <v>37702</v>
      </c>
      <c r="B48" s="116" t="s">
        <v>37722</v>
      </c>
      <c r="C48" s="116" t="s">
        <v>216</v>
      </c>
      <c r="D48" s="116" t="s">
        <v>217</v>
      </c>
      <c r="E48" s="116" t="s">
        <v>10</v>
      </c>
      <c r="F48" s="116" t="s">
        <v>31076</v>
      </c>
      <c r="G48" s="116" t="s">
        <v>90</v>
      </c>
      <c r="H48" s="116">
        <v>2</v>
      </c>
      <c r="I48" s="116" t="s">
        <v>27</v>
      </c>
      <c r="J48" s="116" t="s">
        <v>36682</v>
      </c>
      <c r="K48" s="116" t="s">
        <v>30111</v>
      </c>
      <c r="L48" s="116" t="s">
        <v>30027</v>
      </c>
      <c r="M48" s="116" t="s">
        <v>37063</v>
      </c>
      <c r="N48" s="116" t="s">
        <v>12</v>
      </c>
      <c r="O48" s="116">
        <v>2128.328</v>
      </c>
      <c r="P48" s="116" t="str">
        <f t="shared" si="0"/>
        <v>02-186-06-61</v>
      </c>
      <c r="Q48" s="127" t="s">
        <v>37638</v>
      </c>
      <c r="R48" s="116">
        <v>2</v>
      </c>
    </row>
    <row r="49" spans="1:18" x14ac:dyDescent="0.2">
      <c r="A49" s="116" t="s">
        <v>957</v>
      </c>
      <c r="B49" s="116" t="s">
        <v>37722</v>
      </c>
      <c r="C49" s="116" t="s">
        <v>216</v>
      </c>
      <c r="D49" s="116" t="s">
        <v>217</v>
      </c>
      <c r="E49" s="116" t="s">
        <v>10</v>
      </c>
      <c r="F49" s="116" t="s">
        <v>31076</v>
      </c>
      <c r="G49" s="116" t="s">
        <v>90</v>
      </c>
      <c r="H49" s="116">
        <v>1</v>
      </c>
      <c r="I49" s="116" t="s">
        <v>1</v>
      </c>
      <c r="J49" s="116" t="s">
        <v>36682</v>
      </c>
      <c r="K49" s="116" t="s">
        <v>30111</v>
      </c>
      <c r="L49" s="116" t="s">
        <v>30027</v>
      </c>
      <c r="M49" s="116" t="s">
        <v>31024</v>
      </c>
      <c r="N49" s="116" t="s">
        <v>12</v>
      </c>
      <c r="O49" s="116">
        <v>2128.328</v>
      </c>
      <c r="P49" s="116" t="str">
        <f t="shared" si="0"/>
        <v>02-186-09-57</v>
      </c>
      <c r="Q49" s="127" t="s">
        <v>37637</v>
      </c>
      <c r="R49" s="116">
        <v>2</v>
      </c>
    </row>
    <row r="50" spans="1:18" x14ac:dyDescent="0.2">
      <c r="A50" s="116" t="s">
        <v>957</v>
      </c>
      <c r="B50" s="116" t="s">
        <v>37722</v>
      </c>
      <c r="C50" s="116" t="s">
        <v>216</v>
      </c>
      <c r="D50" s="116" t="s">
        <v>217</v>
      </c>
      <c r="E50" s="116" t="s">
        <v>10</v>
      </c>
      <c r="F50" s="116" t="s">
        <v>31076</v>
      </c>
      <c r="G50" s="116" t="s">
        <v>90</v>
      </c>
      <c r="H50" s="116">
        <v>1</v>
      </c>
      <c r="I50" s="116" t="s">
        <v>1</v>
      </c>
      <c r="J50" s="116" t="s">
        <v>36682</v>
      </c>
      <c r="K50" s="116" t="s">
        <v>30111</v>
      </c>
      <c r="L50" s="116" t="s">
        <v>30027</v>
      </c>
      <c r="M50" s="116" t="s">
        <v>31024</v>
      </c>
      <c r="N50" s="116" t="s">
        <v>12</v>
      </c>
      <c r="O50" s="116">
        <v>2128.328</v>
      </c>
      <c r="P50" s="116" t="str">
        <f t="shared" si="0"/>
        <v>02-186-09-59</v>
      </c>
      <c r="Q50" s="127" t="s">
        <v>37633</v>
      </c>
      <c r="R50" s="116">
        <v>8</v>
      </c>
    </row>
    <row r="51" spans="1:18" x14ac:dyDescent="0.2">
      <c r="A51" s="116" t="s">
        <v>957</v>
      </c>
      <c r="B51" s="116" t="s">
        <v>37722</v>
      </c>
      <c r="C51" s="116" t="s">
        <v>216</v>
      </c>
      <c r="D51" s="116" t="s">
        <v>217</v>
      </c>
      <c r="E51" s="116" t="s">
        <v>10</v>
      </c>
      <c r="F51" s="116" t="s">
        <v>31076</v>
      </c>
      <c r="G51" s="116" t="s">
        <v>90</v>
      </c>
      <c r="H51" s="116">
        <v>1</v>
      </c>
      <c r="I51" s="116" t="s">
        <v>1</v>
      </c>
      <c r="J51" s="116" t="s">
        <v>36682</v>
      </c>
      <c r="K51" s="116" t="s">
        <v>30111</v>
      </c>
      <c r="L51" s="116" t="s">
        <v>30027</v>
      </c>
      <c r="M51" s="116" t="s">
        <v>31024</v>
      </c>
      <c r="N51" s="116" t="s">
        <v>12</v>
      </c>
      <c r="O51" s="116">
        <v>2128.328</v>
      </c>
      <c r="P51" s="116" t="str">
        <f t="shared" si="0"/>
        <v>02-186-09-61</v>
      </c>
      <c r="Q51" s="127" t="s">
        <v>37638</v>
      </c>
      <c r="R51" s="116">
        <v>5</v>
      </c>
    </row>
    <row r="52" spans="1:18" x14ac:dyDescent="0.2">
      <c r="A52" s="116" t="s">
        <v>37703</v>
      </c>
      <c r="B52" s="116" t="s">
        <v>37722</v>
      </c>
      <c r="C52" s="116" t="s">
        <v>216</v>
      </c>
      <c r="D52" s="116" t="s">
        <v>217</v>
      </c>
      <c r="E52" s="116" t="s">
        <v>10</v>
      </c>
      <c r="F52" s="116" t="s">
        <v>31076</v>
      </c>
      <c r="G52" s="116" t="s">
        <v>90</v>
      </c>
      <c r="H52" s="116">
        <v>6</v>
      </c>
      <c r="I52" s="116" t="s">
        <v>22</v>
      </c>
      <c r="J52" s="116" t="s">
        <v>36682</v>
      </c>
      <c r="K52" s="116" t="s">
        <v>30111</v>
      </c>
      <c r="L52" s="116" t="s">
        <v>30027</v>
      </c>
      <c r="M52" s="116" t="s">
        <v>37063</v>
      </c>
      <c r="N52" s="116" t="s">
        <v>12</v>
      </c>
      <c r="O52" s="116">
        <v>2128.328</v>
      </c>
      <c r="P52" s="116" t="str">
        <f t="shared" si="0"/>
        <v>02-186-14-57</v>
      </c>
      <c r="Q52" s="127" t="s">
        <v>37637</v>
      </c>
      <c r="R52" s="116">
        <v>2</v>
      </c>
    </row>
    <row r="53" spans="1:18" x14ac:dyDescent="0.2">
      <c r="A53" s="116" t="s">
        <v>37703</v>
      </c>
      <c r="B53" s="116" t="s">
        <v>37722</v>
      </c>
      <c r="C53" s="116" t="s">
        <v>216</v>
      </c>
      <c r="D53" s="116" t="s">
        <v>217</v>
      </c>
      <c r="E53" s="116" t="s">
        <v>10</v>
      </c>
      <c r="F53" s="116" t="s">
        <v>31076</v>
      </c>
      <c r="G53" s="116" t="s">
        <v>90</v>
      </c>
      <c r="H53" s="116">
        <v>6</v>
      </c>
      <c r="I53" s="116" t="s">
        <v>22</v>
      </c>
      <c r="J53" s="116" t="s">
        <v>36682</v>
      </c>
      <c r="K53" s="116" t="s">
        <v>30111</v>
      </c>
      <c r="L53" s="116" t="s">
        <v>30027</v>
      </c>
      <c r="M53" s="116" t="s">
        <v>37063</v>
      </c>
      <c r="N53" s="116" t="s">
        <v>12</v>
      </c>
      <c r="O53" s="116">
        <v>2128.328</v>
      </c>
      <c r="P53" s="116" t="str">
        <f t="shared" si="0"/>
        <v>02-186-14-59</v>
      </c>
      <c r="Q53" s="127" t="s">
        <v>37633</v>
      </c>
      <c r="R53" s="116">
        <v>6</v>
      </c>
    </row>
    <row r="54" spans="1:18" x14ac:dyDescent="0.2">
      <c r="A54" s="116" t="s">
        <v>37703</v>
      </c>
      <c r="B54" s="116" t="s">
        <v>37722</v>
      </c>
      <c r="C54" s="116" t="s">
        <v>216</v>
      </c>
      <c r="D54" s="116" t="s">
        <v>217</v>
      </c>
      <c r="E54" s="116" t="s">
        <v>10</v>
      </c>
      <c r="F54" s="116" t="s">
        <v>31076</v>
      </c>
      <c r="G54" s="116" t="s">
        <v>90</v>
      </c>
      <c r="H54" s="116">
        <v>6</v>
      </c>
      <c r="I54" s="116" t="s">
        <v>22</v>
      </c>
      <c r="J54" s="116" t="s">
        <v>36682</v>
      </c>
      <c r="K54" s="116" t="s">
        <v>30111</v>
      </c>
      <c r="L54" s="116" t="s">
        <v>30027</v>
      </c>
      <c r="M54" s="116" t="s">
        <v>37063</v>
      </c>
      <c r="N54" s="116" t="s">
        <v>12</v>
      </c>
      <c r="O54" s="116">
        <v>2128.328</v>
      </c>
      <c r="P54" s="116" t="str">
        <f t="shared" si="0"/>
        <v>02-186-14-61</v>
      </c>
      <c r="Q54" s="127" t="s">
        <v>37638</v>
      </c>
      <c r="R54" s="116">
        <v>3</v>
      </c>
    </row>
    <row r="55" spans="1:18" x14ac:dyDescent="0.2">
      <c r="A55" s="116" t="s">
        <v>955</v>
      </c>
      <c r="B55" s="116" t="s">
        <v>37722</v>
      </c>
      <c r="C55" s="116" t="s">
        <v>216</v>
      </c>
      <c r="D55" s="116" t="s">
        <v>217</v>
      </c>
      <c r="E55" s="116" t="s">
        <v>10</v>
      </c>
      <c r="F55" s="116" t="s">
        <v>31076</v>
      </c>
      <c r="G55" s="116" t="s">
        <v>90</v>
      </c>
      <c r="H55" s="116">
        <v>61</v>
      </c>
      <c r="I55" s="116" t="s">
        <v>58</v>
      </c>
      <c r="J55" s="116" t="s">
        <v>36682</v>
      </c>
      <c r="K55" s="116" t="s">
        <v>30111</v>
      </c>
      <c r="L55" s="116" t="s">
        <v>30027</v>
      </c>
      <c r="M55" s="116" t="s">
        <v>31024</v>
      </c>
      <c r="N55" s="116" t="s">
        <v>12</v>
      </c>
      <c r="O55" s="116">
        <v>2128.328</v>
      </c>
      <c r="P55" s="116" t="str">
        <f t="shared" si="0"/>
        <v>02-186-03-59</v>
      </c>
      <c r="Q55" s="127" t="s">
        <v>37633</v>
      </c>
      <c r="R55" s="116">
        <v>13</v>
      </c>
    </row>
    <row r="56" spans="1:18" x14ac:dyDescent="0.2">
      <c r="A56" s="116" t="s">
        <v>955</v>
      </c>
      <c r="B56" s="116" t="s">
        <v>37722</v>
      </c>
      <c r="C56" s="116" t="s">
        <v>216</v>
      </c>
      <c r="D56" s="116" t="s">
        <v>217</v>
      </c>
      <c r="E56" s="116" t="s">
        <v>10</v>
      </c>
      <c r="F56" s="116" t="s">
        <v>31076</v>
      </c>
      <c r="G56" s="116" t="s">
        <v>90</v>
      </c>
      <c r="H56" s="116">
        <v>61</v>
      </c>
      <c r="I56" s="116" t="s">
        <v>58</v>
      </c>
      <c r="J56" s="116" t="s">
        <v>36682</v>
      </c>
      <c r="K56" s="116" t="s">
        <v>30111</v>
      </c>
      <c r="L56" s="116" t="s">
        <v>30027</v>
      </c>
      <c r="M56" s="116" t="s">
        <v>31024</v>
      </c>
      <c r="N56" s="116" t="s">
        <v>12</v>
      </c>
      <c r="O56" s="116">
        <v>2128.328</v>
      </c>
      <c r="P56" s="116" t="str">
        <f t="shared" si="0"/>
        <v>02-186-03-61</v>
      </c>
      <c r="Q56" s="127" t="s">
        <v>37638</v>
      </c>
      <c r="R56" s="116">
        <v>6</v>
      </c>
    </row>
    <row r="57" spans="1:18" x14ac:dyDescent="0.2">
      <c r="A57" s="116" t="s">
        <v>1063</v>
      </c>
      <c r="B57" s="116" t="s">
        <v>37723</v>
      </c>
      <c r="C57" s="116" t="s">
        <v>31</v>
      </c>
      <c r="D57" s="116" t="s">
        <v>25592</v>
      </c>
      <c r="E57" s="116" t="s">
        <v>10</v>
      </c>
      <c r="F57" s="116" t="s">
        <v>91</v>
      </c>
      <c r="G57" s="116" t="s">
        <v>90</v>
      </c>
      <c r="H57" s="116">
        <v>6</v>
      </c>
      <c r="I57" s="116" t="s">
        <v>22</v>
      </c>
      <c r="J57" s="116" t="s">
        <v>36682</v>
      </c>
      <c r="K57" s="116" t="s">
        <v>30111</v>
      </c>
      <c r="L57" s="116" t="s">
        <v>30027</v>
      </c>
      <c r="M57" s="116" t="s">
        <v>31024</v>
      </c>
      <c r="N57" s="116" t="s">
        <v>31092</v>
      </c>
      <c r="O57" s="116">
        <v>1178.8879999999997</v>
      </c>
      <c r="P57" s="116" t="str">
        <f t="shared" si="0"/>
        <v>02-213-14-57</v>
      </c>
      <c r="Q57" s="127" t="s">
        <v>37637</v>
      </c>
      <c r="R57" s="116">
        <v>2</v>
      </c>
    </row>
    <row r="58" spans="1:18" x14ac:dyDescent="0.2">
      <c r="A58" s="116" t="s">
        <v>1063</v>
      </c>
      <c r="B58" s="116" t="s">
        <v>37723</v>
      </c>
      <c r="C58" s="116" t="s">
        <v>31</v>
      </c>
      <c r="D58" s="116" t="s">
        <v>25592</v>
      </c>
      <c r="E58" s="116" t="s">
        <v>10</v>
      </c>
      <c r="F58" s="116" t="s">
        <v>91</v>
      </c>
      <c r="G58" s="116" t="s">
        <v>90</v>
      </c>
      <c r="H58" s="116">
        <v>6</v>
      </c>
      <c r="I58" s="116" t="s">
        <v>22</v>
      </c>
      <c r="J58" s="116" t="s">
        <v>36682</v>
      </c>
      <c r="K58" s="116" t="s">
        <v>30111</v>
      </c>
      <c r="L58" s="116" t="s">
        <v>30027</v>
      </c>
      <c r="M58" s="116" t="s">
        <v>31024</v>
      </c>
      <c r="N58" s="116" t="s">
        <v>31092</v>
      </c>
      <c r="O58" s="116">
        <v>1178.8879999999997</v>
      </c>
      <c r="P58" s="116" t="str">
        <f t="shared" si="0"/>
        <v>02-213-14-59</v>
      </c>
      <c r="Q58" s="127" t="s">
        <v>37633</v>
      </c>
      <c r="R58" s="116">
        <v>7</v>
      </c>
    </row>
    <row r="59" spans="1:18" x14ac:dyDescent="0.2">
      <c r="A59" s="116" t="s">
        <v>1513</v>
      </c>
      <c r="B59" s="116" t="s">
        <v>37724</v>
      </c>
      <c r="C59" s="116" t="s">
        <v>8</v>
      </c>
      <c r="D59" s="116" t="s">
        <v>21</v>
      </c>
      <c r="E59" s="116" t="s">
        <v>10</v>
      </c>
      <c r="F59" s="116" t="s">
        <v>91</v>
      </c>
      <c r="G59" s="116" t="s">
        <v>90</v>
      </c>
      <c r="H59" s="116">
        <v>6</v>
      </c>
      <c r="I59" s="116" t="s">
        <v>22</v>
      </c>
      <c r="J59" s="116" t="s">
        <v>37730</v>
      </c>
      <c r="K59" s="116" t="s">
        <v>30111</v>
      </c>
      <c r="L59" s="116" t="s">
        <v>30027</v>
      </c>
      <c r="M59" s="116" t="s">
        <v>31024</v>
      </c>
      <c r="N59" s="116" t="s">
        <v>31092</v>
      </c>
      <c r="O59" s="116">
        <v>2128.328</v>
      </c>
      <c r="P59" s="116" t="str">
        <f t="shared" si="0"/>
        <v>02-361-14-57</v>
      </c>
      <c r="Q59" s="127" t="s">
        <v>37637</v>
      </c>
      <c r="R59" s="116">
        <v>8</v>
      </c>
    </row>
    <row r="60" spans="1:18" x14ac:dyDescent="0.2">
      <c r="A60" s="116" t="s">
        <v>1513</v>
      </c>
      <c r="B60" s="116" t="s">
        <v>37724</v>
      </c>
      <c r="C60" s="116" t="s">
        <v>8</v>
      </c>
      <c r="D60" s="116" t="s">
        <v>21</v>
      </c>
      <c r="E60" s="116" t="s">
        <v>10</v>
      </c>
      <c r="F60" s="116" t="s">
        <v>91</v>
      </c>
      <c r="G60" s="116" t="s">
        <v>90</v>
      </c>
      <c r="H60" s="116">
        <v>6</v>
      </c>
      <c r="I60" s="116" t="s">
        <v>22</v>
      </c>
      <c r="J60" s="116" t="s">
        <v>37730</v>
      </c>
      <c r="K60" s="116" t="s">
        <v>30111</v>
      </c>
      <c r="L60" s="116" t="s">
        <v>30027</v>
      </c>
      <c r="M60" s="116" t="s">
        <v>31024</v>
      </c>
      <c r="N60" s="116" t="s">
        <v>31092</v>
      </c>
      <c r="O60" s="116">
        <v>2128.328</v>
      </c>
      <c r="P60" s="116" t="str">
        <f t="shared" si="0"/>
        <v>02-361-14-59</v>
      </c>
      <c r="Q60" s="127" t="s">
        <v>37633</v>
      </c>
      <c r="R60" s="116">
        <v>8</v>
      </c>
    </row>
    <row r="61" spans="1:18" x14ac:dyDescent="0.2">
      <c r="A61" s="116" t="s">
        <v>1513</v>
      </c>
      <c r="B61" s="116" t="s">
        <v>37724</v>
      </c>
      <c r="C61" s="116" t="s">
        <v>8</v>
      </c>
      <c r="D61" s="116" t="s">
        <v>21</v>
      </c>
      <c r="E61" s="116" t="s">
        <v>10</v>
      </c>
      <c r="F61" s="116" t="s">
        <v>91</v>
      </c>
      <c r="G61" s="116" t="s">
        <v>90</v>
      </c>
      <c r="H61" s="116">
        <v>6</v>
      </c>
      <c r="I61" s="116" t="s">
        <v>22</v>
      </c>
      <c r="J61" s="116" t="s">
        <v>37730</v>
      </c>
      <c r="K61" s="116" t="s">
        <v>30111</v>
      </c>
      <c r="L61" s="116" t="s">
        <v>30027</v>
      </c>
      <c r="M61" s="116" t="s">
        <v>31024</v>
      </c>
      <c r="N61" s="116" t="s">
        <v>31092</v>
      </c>
      <c r="O61" s="116">
        <v>2128.328</v>
      </c>
      <c r="P61" s="116" t="str">
        <f t="shared" si="0"/>
        <v>02-361-14-61</v>
      </c>
      <c r="Q61" s="127" t="s">
        <v>37638</v>
      </c>
      <c r="R61" s="116">
        <v>6</v>
      </c>
    </row>
    <row r="62" spans="1:18" x14ac:dyDescent="0.2">
      <c r="A62" s="116" t="s">
        <v>937</v>
      </c>
      <c r="B62" s="116" t="s">
        <v>37725</v>
      </c>
      <c r="C62" s="116" t="s">
        <v>8</v>
      </c>
      <c r="D62" s="116" t="s">
        <v>21</v>
      </c>
      <c r="E62" s="116" t="s">
        <v>10</v>
      </c>
      <c r="F62" s="116" t="s">
        <v>31076</v>
      </c>
      <c r="G62" s="116" t="s">
        <v>90</v>
      </c>
      <c r="H62" s="116">
        <v>23</v>
      </c>
      <c r="I62" s="116" t="s">
        <v>27</v>
      </c>
      <c r="J62" s="116" t="s">
        <v>36682</v>
      </c>
      <c r="K62" s="116" t="s">
        <v>30111</v>
      </c>
      <c r="L62" s="116" t="s">
        <v>30027</v>
      </c>
      <c r="M62" s="116" t="s">
        <v>31024</v>
      </c>
      <c r="N62" s="116" t="s">
        <v>31092</v>
      </c>
      <c r="O62" s="116">
        <v>1811.8479999999997</v>
      </c>
      <c r="P62" s="116" t="str">
        <f t="shared" si="0"/>
        <v>02-181-06-57</v>
      </c>
      <c r="Q62" s="127" t="s">
        <v>37637</v>
      </c>
      <c r="R62" s="116">
        <v>3</v>
      </c>
    </row>
    <row r="63" spans="1:18" x14ac:dyDescent="0.2">
      <c r="A63" s="116" t="s">
        <v>937</v>
      </c>
      <c r="B63" s="116" t="s">
        <v>37725</v>
      </c>
      <c r="C63" s="116" t="s">
        <v>8</v>
      </c>
      <c r="D63" s="116" t="s">
        <v>21</v>
      </c>
      <c r="E63" s="116" t="s">
        <v>10</v>
      </c>
      <c r="F63" s="116" t="s">
        <v>31076</v>
      </c>
      <c r="G63" s="116" t="s">
        <v>90</v>
      </c>
      <c r="H63" s="116">
        <v>23</v>
      </c>
      <c r="I63" s="116" t="s">
        <v>27</v>
      </c>
      <c r="J63" s="116" t="s">
        <v>36682</v>
      </c>
      <c r="K63" s="116" t="s">
        <v>30111</v>
      </c>
      <c r="L63" s="116" t="s">
        <v>30027</v>
      </c>
      <c r="M63" s="116" t="s">
        <v>31024</v>
      </c>
      <c r="N63" s="116" t="s">
        <v>31092</v>
      </c>
      <c r="O63" s="116">
        <v>1811.8479999999997</v>
      </c>
      <c r="P63" s="116" t="str">
        <f t="shared" si="0"/>
        <v>02-181-06-59</v>
      </c>
      <c r="Q63" s="127" t="s">
        <v>37633</v>
      </c>
      <c r="R63" s="116">
        <v>5</v>
      </c>
    </row>
    <row r="64" spans="1:18" x14ac:dyDescent="0.2">
      <c r="A64" s="116" t="s">
        <v>937</v>
      </c>
      <c r="B64" s="116" t="s">
        <v>37725</v>
      </c>
      <c r="C64" s="116" t="s">
        <v>8</v>
      </c>
      <c r="D64" s="116" t="s">
        <v>21</v>
      </c>
      <c r="E64" s="116" t="s">
        <v>10</v>
      </c>
      <c r="F64" s="116" t="s">
        <v>31076</v>
      </c>
      <c r="G64" s="116" t="s">
        <v>90</v>
      </c>
      <c r="H64" s="116">
        <v>23</v>
      </c>
      <c r="I64" s="116" t="s">
        <v>27</v>
      </c>
      <c r="J64" s="116" t="s">
        <v>36682</v>
      </c>
      <c r="K64" s="116" t="s">
        <v>30111</v>
      </c>
      <c r="L64" s="116" t="s">
        <v>30027</v>
      </c>
      <c r="M64" s="116" t="s">
        <v>31024</v>
      </c>
      <c r="N64" s="116" t="s">
        <v>31092</v>
      </c>
      <c r="O64" s="116">
        <v>1811.8479999999997</v>
      </c>
      <c r="P64" s="116" t="str">
        <f t="shared" si="0"/>
        <v>02-181-06-61</v>
      </c>
      <c r="Q64" s="127" t="s">
        <v>37638</v>
      </c>
      <c r="R64" s="116">
        <v>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79" t="s">
        <v>36852</v>
      </c>
      <c r="B1" s="79" t="s">
        <v>257</v>
      </c>
    </row>
    <row r="2" spans="1:2" x14ac:dyDescent="0.2">
      <c r="A2" s="80" t="str">
        <f>Форма!G1</f>
        <v>Производитель</v>
      </c>
      <c r="B2" s="80" t="str">
        <f ca="1">Форма!$G$2</f>
        <v>STETSON</v>
      </c>
    </row>
    <row r="3" spans="1:2" x14ac:dyDescent="0.2">
      <c r="A3" s="80" t="str">
        <f>Форма!E1</f>
        <v>Коллекция</v>
      </c>
    </row>
    <row r="4" spans="1:2" x14ac:dyDescent="0.2">
      <c r="A4" s="80" t="str">
        <f>Форма!C1</f>
        <v>Группа</v>
      </c>
    </row>
    <row r="5" spans="1:2" x14ac:dyDescent="0.2">
      <c r="A5" s="80" t="str">
        <f>Форма!D1</f>
        <v>Форма</v>
      </c>
    </row>
    <row r="6" spans="1:2" x14ac:dyDescent="0.2">
      <c r="A6" s="80" t="str">
        <f>Форма!K1</f>
        <v>Материал</v>
      </c>
    </row>
    <row r="7" spans="1:2" x14ac:dyDescent="0.2">
      <c r="A7" s="80" t="str">
        <f>Форма!L1</f>
        <v>Пол</v>
      </c>
    </row>
    <row r="8" spans="1:2" x14ac:dyDescent="0.2">
      <c r="A8" s="80" t="str">
        <f>Форма!B1</f>
        <v>Модель</v>
      </c>
    </row>
    <row r="9" spans="1:2" x14ac:dyDescent="0.2">
      <c r="A9" s="80" t="str">
        <f>Форма!H1</f>
        <v>Цвет Поставщика</v>
      </c>
    </row>
    <row r="10" spans="1:2" x14ac:dyDescent="0.2">
      <c r="A10" s="80" t="str">
        <f>Форма!I1</f>
        <v>ЦветПолный</v>
      </c>
    </row>
    <row r="11" spans="1:2" x14ac:dyDescent="0.2">
      <c r="A11" s="80" t="str">
        <f>Форма!F1</f>
        <v>Сезон</v>
      </c>
    </row>
    <row r="12" spans="1:2" x14ac:dyDescent="0.2">
      <c r="A12" s="80" t="str">
        <f>Форма!J1</f>
        <v>Состав</v>
      </c>
    </row>
    <row r="13" spans="1:2" x14ac:dyDescent="0.2">
      <c r="A13" s="80" t="str">
        <f>Форма!P1</f>
        <v>Размер</v>
      </c>
    </row>
    <row r="14" spans="1:2" x14ac:dyDescent="0.2">
      <c r="A14" s="80" t="str">
        <f>Форма!M1</f>
        <v>Страна</v>
      </c>
    </row>
    <row r="15" spans="1:2" x14ac:dyDescent="0.2">
      <c r="A15" s="80" t="str">
        <f>Форма!Q1</f>
        <v>КОЛ</v>
      </c>
    </row>
    <row r="16" spans="1:2" x14ac:dyDescent="0.2">
      <c r="A16" s="80" t="str">
        <f>Форма!N1</f>
        <v>Цена</v>
      </c>
    </row>
    <row r="17" spans="1:1" x14ac:dyDescent="0.2">
      <c r="A17" s="80" t="str">
        <f>Форма!A1</f>
        <v>Артикул</v>
      </c>
    </row>
    <row r="18" spans="1:1" x14ac:dyDescent="0.2">
      <c r="A18" s="80" t="str">
        <f>Форма!R1</f>
        <v>Маркет</v>
      </c>
    </row>
    <row r="19" spans="1:1" x14ac:dyDescent="0.2">
      <c r="A19" s="80" t="str">
        <f>Форма!O1</f>
        <v>Фабрика</v>
      </c>
    </row>
    <row r="20" spans="1:1" x14ac:dyDescent="0.2">
      <c r="A20" s="80" t="str">
        <f>Форма!S1</f>
        <v>Наименование полное</v>
      </c>
    </row>
    <row r="21" spans="1:1" x14ac:dyDescent="0.2">
      <c r="A21" s="80" t="str">
        <f>Форма!T1</f>
        <v>Наименование</v>
      </c>
    </row>
    <row r="22" spans="1:1" x14ac:dyDescent="0.2">
      <c r="A22" s="80" t="str">
        <f>Форма!W1</f>
        <v>Цвет</v>
      </c>
    </row>
    <row r="23" spans="1:1" x14ac:dyDescent="0.2">
      <c r="A23" s="80" t="str">
        <f ca="1">Форма!X1</f>
        <v>Артикул 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3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2022-02-24T12:46:05Z</dcterms:modified>
</cp:coreProperties>
</file>