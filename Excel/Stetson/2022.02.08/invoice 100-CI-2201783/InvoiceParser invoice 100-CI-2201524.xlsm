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invoice 100-CI-2201524\"/>
    </mc:Choice>
  </mc:AlternateContent>
  <xr:revisionPtr revIDLastSave="0" documentId="13_ncr:1_{CDE659A9-AE66-4E4D-A748-537F09B9BE4D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" i="2"/>
  <c r="H495" i="1"/>
  <c r="H494" i="1"/>
  <c r="G494" i="1"/>
  <c r="H493" i="1"/>
  <c r="H491" i="1" s="1"/>
  <c r="G493" i="1"/>
  <c r="F493" i="1"/>
  <c r="H492" i="1"/>
  <c r="G492" i="1"/>
  <c r="G491" i="1" s="1"/>
  <c r="F492" i="1"/>
  <c r="E492" i="1"/>
  <c r="E491" i="1" s="1"/>
  <c r="I491" i="1"/>
  <c r="F491" i="1"/>
  <c r="D491" i="1"/>
  <c r="C491" i="1"/>
  <c r="H480" i="1"/>
  <c r="H479" i="1"/>
  <c r="G479" i="1"/>
  <c r="H478" i="1"/>
  <c r="G478" i="1"/>
  <c r="F478" i="1"/>
  <c r="H477" i="1"/>
  <c r="H476" i="1" s="1"/>
  <c r="G477" i="1"/>
  <c r="G476" i="1" s="1"/>
  <c r="F477" i="1"/>
  <c r="F476" i="1" s="1"/>
  <c r="E477" i="1"/>
  <c r="E476" i="1" s="1"/>
  <c r="I476" i="1"/>
  <c r="D476" i="1"/>
  <c r="C476" i="1"/>
  <c r="H465" i="1"/>
  <c r="H464" i="1"/>
  <c r="G464" i="1"/>
  <c r="H463" i="1"/>
  <c r="G463" i="1"/>
  <c r="G461" i="1" s="1"/>
  <c r="F463" i="1"/>
  <c r="H462" i="1"/>
  <c r="H461" i="1" s="1"/>
  <c r="G462" i="1"/>
  <c r="F462" i="1"/>
  <c r="F461" i="1" s="1"/>
  <c r="E462" i="1"/>
  <c r="E461" i="1" s="1"/>
  <c r="I461" i="1"/>
  <c r="D461" i="1"/>
  <c r="C461" i="1"/>
  <c r="H450" i="1"/>
  <c r="H449" i="1"/>
  <c r="G449" i="1"/>
  <c r="H448" i="1"/>
  <c r="G448" i="1"/>
  <c r="F448" i="1"/>
  <c r="H447" i="1"/>
  <c r="H446" i="1" s="1"/>
  <c r="G447" i="1"/>
  <c r="G446" i="1" s="1"/>
  <c r="F447" i="1"/>
  <c r="E447" i="1"/>
  <c r="E446" i="1" s="1"/>
  <c r="I446" i="1"/>
  <c r="F446" i="1"/>
  <c r="D446" i="1"/>
  <c r="C446" i="1"/>
  <c r="H443" i="1"/>
  <c r="H442" i="1"/>
  <c r="G442" i="1"/>
  <c r="H441" i="1"/>
  <c r="G441" i="1"/>
  <c r="F441" i="1"/>
  <c r="H440" i="1"/>
  <c r="H439" i="1" s="1"/>
  <c r="G440" i="1"/>
  <c r="G439" i="1" s="1"/>
  <c r="F440" i="1"/>
  <c r="E440" i="1"/>
  <c r="E439" i="1" s="1"/>
  <c r="I439" i="1"/>
  <c r="F439" i="1"/>
  <c r="D439" i="1"/>
  <c r="C439" i="1"/>
  <c r="H407" i="1"/>
  <c r="H406" i="1"/>
  <c r="G406" i="1"/>
  <c r="H405" i="1"/>
  <c r="G405" i="1"/>
  <c r="F405" i="1"/>
  <c r="F403" i="1" s="1"/>
  <c r="H404" i="1"/>
  <c r="H403" i="1" s="1"/>
  <c r="G404" i="1"/>
  <c r="F404" i="1"/>
  <c r="E404" i="1"/>
  <c r="E403" i="1" s="1"/>
  <c r="I403" i="1"/>
  <c r="G403" i="1"/>
  <c r="D403" i="1"/>
  <c r="C403" i="1"/>
  <c r="H400" i="1"/>
  <c r="H399" i="1"/>
  <c r="G399" i="1"/>
  <c r="H398" i="1"/>
  <c r="G398" i="1"/>
  <c r="G396" i="1" s="1"/>
  <c r="F398" i="1"/>
  <c r="H397" i="1"/>
  <c r="H396" i="1" s="1"/>
  <c r="G397" i="1"/>
  <c r="F397" i="1"/>
  <c r="E397" i="1"/>
  <c r="E396" i="1" s="1"/>
  <c r="I396" i="1"/>
  <c r="F396" i="1"/>
  <c r="D396" i="1"/>
  <c r="C396" i="1"/>
  <c r="H393" i="1"/>
  <c r="H392" i="1"/>
  <c r="G392" i="1"/>
  <c r="H391" i="1"/>
  <c r="G391" i="1"/>
  <c r="F391" i="1"/>
  <c r="F389" i="1" s="1"/>
  <c r="H390" i="1"/>
  <c r="H389" i="1" s="1"/>
  <c r="G390" i="1"/>
  <c r="G389" i="1" s="1"/>
  <c r="F390" i="1"/>
  <c r="E390" i="1"/>
  <c r="E389" i="1" s="1"/>
  <c r="I389" i="1"/>
  <c r="D389" i="1"/>
  <c r="C389" i="1"/>
  <c r="H386" i="1"/>
  <c r="H385" i="1"/>
  <c r="G385" i="1"/>
  <c r="H384" i="1"/>
  <c r="H382" i="1" s="1"/>
  <c r="G384" i="1"/>
  <c r="F384" i="1"/>
  <c r="H383" i="1"/>
  <c r="G383" i="1"/>
  <c r="G382" i="1" s="1"/>
  <c r="F383" i="1"/>
  <c r="F382" i="1" s="1"/>
  <c r="E383" i="1"/>
  <c r="E382" i="1" s="1"/>
  <c r="I382" i="1"/>
  <c r="D382" i="1"/>
  <c r="C382" i="1"/>
  <c r="H379" i="1"/>
  <c r="H378" i="1"/>
  <c r="G378" i="1"/>
  <c r="H377" i="1"/>
  <c r="G377" i="1"/>
  <c r="F377" i="1"/>
  <c r="F375" i="1" s="1"/>
  <c r="H376" i="1"/>
  <c r="H375" i="1" s="1"/>
  <c r="G376" i="1"/>
  <c r="F376" i="1"/>
  <c r="E376" i="1"/>
  <c r="E375" i="1" s="1"/>
  <c r="I375" i="1"/>
  <c r="G375" i="1"/>
  <c r="D375" i="1"/>
  <c r="C375" i="1"/>
  <c r="H372" i="1"/>
  <c r="H371" i="1"/>
  <c r="G371" i="1"/>
  <c r="H370" i="1"/>
  <c r="G370" i="1"/>
  <c r="F370" i="1"/>
  <c r="H369" i="1"/>
  <c r="H368" i="1" s="1"/>
  <c r="G369" i="1"/>
  <c r="G368" i="1" s="1"/>
  <c r="F369" i="1"/>
  <c r="E369" i="1"/>
  <c r="E368" i="1" s="1"/>
  <c r="I368" i="1"/>
  <c r="F368" i="1"/>
  <c r="D368" i="1"/>
  <c r="C368" i="1"/>
  <c r="H333" i="1"/>
  <c r="H332" i="1"/>
  <c r="G332" i="1"/>
  <c r="H331" i="1"/>
  <c r="H329" i="1" s="1"/>
  <c r="G331" i="1"/>
  <c r="F331" i="1"/>
  <c r="H330" i="1"/>
  <c r="G330" i="1"/>
  <c r="G329" i="1" s="1"/>
  <c r="F330" i="1"/>
  <c r="F329" i="1" s="1"/>
  <c r="E330" i="1"/>
  <c r="E329" i="1" s="1"/>
  <c r="I329" i="1"/>
  <c r="D329" i="1"/>
  <c r="C329" i="1"/>
  <c r="H326" i="1"/>
  <c r="H325" i="1"/>
  <c r="G325" i="1"/>
  <c r="H324" i="1"/>
  <c r="G324" i="1"/>
  <c r="F324" i="1"/>
  <c r="H323" i="1"/>
  <c r="H322" i="1" s="1"/>
  <c r="G323" i="1"/>
  <c r="G322" i="1" s="1"/>
  <c r="F323" i="1"/>
  <c r="E323" i="1"/>
  <c r="E322" i="1" s="1"/>
  <c r="I322" i="1"/>
  <c r="F322" i="1"/>
  <c r="D322" i="1"/>
  <c r="C322" i="1"/>
  <c r="H319" i="1"/>
  <c r="H318" i="1"/>
  <c r="G318" i="1"/>
  <c r="H317" i="1"/>
  <c r="H315" i="1" s="1"/>
  <c r="G317" i="1"/>
  <c r="F317" i="1"/>
  <c r="H316" i="1"/>
  <c r="G316" i="1"/>
  <c r="G315" i="1" s="1"/>
  <c r="F316" i="1"/>
  <c r="F315" i="1" s="1"/>
  <c r="E316" i="1"/>
  <c r="E315" i="1" s="1"/>
  <c r="I315" i="1"/>
  <c r="D315" i="1"/>
  <c r="C315" i="1"/>
  <c r="H306" i="1"/>
  <c r="H305" i="1"/>
  <c r="G305" i="1"/>
  <c r="H304" i="1"/>
  <c r="G304" i="1"/>
  <c r="F304" i="1"/>
  <c r="H303" i="1"/>
  <c r="H302" i="1" s="1"/>
  <c r="G303" i="1"/>
  <c r="G302" i="1" s="1"/>
  <c r="F303" i="1"/>
  <c r="E303" i="1"/>
  <c r="E302" i="1" s="1"/>
  <c r="I302" i="1"/>
  <c r="F302" i="1"/>
  <c r="D302" i="1"/>
  <c r="C302" i="1"/>
  <c r="H299" i="1"/>
  <c r="H298" i="1"/>
  <c r="G298" i="1"/>
  <c r="H297" i="1"/>
  <c r="G297" i="1"/>
  <c r="F297" i="1"/>
  <c r="H296" i="1"/>
  <c r="H295" i="1" s="1"/>
  <c r="G296" i="1"/>
  <c r="G295" i="1" s="1"/>
  <c r="F296" i="1"/>
  <c r="E296" i="1"/>
  <c r="E295" i="1" s="1"/>
  <c r="I295" i="1"/>
  <c r="F295" i="1"/>
  <c r="D295" i="1"/>
  <c r="C295" i="1"/>
  <c r="H267" i="1"/>
  <c r="H266" i="1"/>
  <c r="G266" i="1"/>
  <c r="H265" i="1"/>
  <c r="H263" i="1" s="1"/>
  <c r="G265" i="1"/>
  <c r="F265" i="1"/>
  <c r="H264" i="1"/>
  <c r="G264" i="1"/>
  <c r="G263" i="1" s="1"/>
  <c r="F264" i="1"/>
  <c r="F263" i="1" s="1"/>
  <c r="E264" i="1"/>
  <c r="E263" i="1" s="1"/>
  <c r="I263" i="1"/>
  <c r="D263" i="1"/>
  <c r="C263" i="1"/>
  <c r="H260" i="1"/>
  <c r="H259" i="1"/>
  <c r="G259" i="1"/>
  <c r="H258" i="1"/>
  <c r="G258" i="1"/>
  <c r="F258" i="1"/>
  <c r="F256" i="1" s="1"/>
  <c r="H257" i="1"/>
  <c r="H256" i="1" s="1"/>
  <c r="G257" i="1"/>
  <c r="G256" i="1" s="1"/>
  <c r="F257" i="1"/>
  <c r="E257" i="1"/>
  <c r="E256" i="1" s="1"/>
  <c r="I256" i="1"/>
  <c r="D256" i="1"/>
  <c r="C256" i="1"/>
  <c r="H246" i="1"/>
  <c r="H245" i="1"/>
  <c r="G245" i="1"/>
  <c r="H244" i="1"/>
  <c r="G244" i="1"/>
  <c r="F244" i="1"/>
  <c r="F242" i="1" s="1"/>
  <c r="H243" i="1"/>
  <c r="H242" i="1" s="1"/>
  <c r="G243" i="1"/>
  <c r="G242" i="1" s="1"/>
  <c r="F243" i="1"/>
  <c r="E243" i="1"/>
  <c r="E242" i="1" s="1"/>
  <c r="I242" i="1"/>
  <c r="D242" i="1"/>
  <c r="C242" i="1"/>
  <c r="H239" i="1"/>
  <c r="H235" i="1" s="1"/>
  <c r="H238" i="1"/>
  <c r="G238" i="1"/>
  <c r="H237" i="1"/>
  <c r="G237" i="1"/>
  <c r="F237" i="1"/>
  <c r="H236" i="1"/>
  <c r="G236" i="1"/>
  <c r="G235" i="1" s="1"/>
  <c r="F236" i="1"/>
  <c r="E236" i="1"/>
  <c r="E235" i="1" s="1"/>
  <c r="I235" i="1"/>
  <c r="F235" i="1"/>
  <c r="D235" i="1"/>
  <c r="C235" i="1"/>
  <c r="H232" i="1"/>
  <c r="H231" i="1"/>
  <c r="G231" i="1"/>
  <c r="H230" i="1"/>
  <c r="H228" i="1" s="1"/>
  <c r="G230" i="1"/>
  <c r="F230" i="1"/>
  <c r="H229" i="1"/>
  <c r="G229" i="1"/>
  <c r="G228" i="1" s="1"/>
  <c r="F229" i="1"/>
  <c r="F228" i="1" s="1"/>
  <c r="E229" i="1"/>
  <c r="E228" i="1" s="1"/>
  <c r="I228" i="1"/>
  <c r="D228" i="1"/>
  <c r="C228" i="1"/>
  <c r="H200" i="1"/>
  <c r="H199" i="1"/>
  <c r="G199" i="1"/>
  <c r="H198" i="1"/>
  <c r="G198" i="1"/>
  <c r="F198" i="1"/>
  <c r="H197" i="1"/>
  <c r="H196" i="1" s="1"/>
  <c r="G197" i="1"/>
  <c r="G196" i="1" s="1"/>
  <c r="F197" i="1"/>
  <c r="E197" i="1"/>
  <c r="E196" i="1" s="1"/>
  <c r="I196" i="1"/>
  <c r="F196" i="1"/>
  <c r="D196" i="1"/>
  <c r="C196" i="1"/>
  <c r="H193" i="1"/>
  <c r="H192" i="1"/>
  <c r="G192" i="1"/>
  <c r="H191" i="1"/>
  <c r="G191" i="1"/>
  <c r="F191" i="1"/>
  <c r="F189" i="1" s="1"/>
  <c r="H190" i="1"/>
  <c r="H189" i="1" s="1"/>
  <c r="G190" i="1"/>
  <c r="F190" i="1"/>
  <c r="E190" i="1"/>
  <c r="E189" i="1" s="1"/>
  <c r="I189" i="1"/>
  <c r="G189" i="1"/>
  <c r="D189" i="1"/>
  <c r="C189" i="1"/>
  <c r="H186" i="1"/>
  <c r="H185" i="1"/>
  <c r="G185" i="1"/>
  <c r="H184" i="1"/>
  <c r="H182" i="1" s="1"/>
  <c r="G184" i="1"/>
  <c r="F184" i="1"/>
  <c r="H183" i="1"/>
  <c r="G183" i="1"/>
  <c r="F183" i="1"/>
  <c r="F182" i="1" s="1"/>
  <c r="E183" i="1"/>
  <c r="E182" i="1" s="1"/>
  <c r="I182" i="1"/>
  <c r="G182" i="1"/>
  <c r="D182" i="1"/>
  <c r="C182" i="1"/>
  <c r="H177" i="1"/>
  <c r="H176" i="1"/>
  <c r="G176" i="1"/>
  <c r="H175" i="1"/>
  <c r="G175" i="1"/>
  <c r="F175" i="1"/>
  <c r="H174" i="1"/>
  <c r="H173" i="1" s="1"/>
  <c r="G174" i="1"/>
  <c r="G173" i="1" s="1"/>
  <c r="F174" i="1"/>
  <c r="E174" i="1"/>
  <c r="E173" i="1" s="1"/>
  <c r="I173" i="1"/>
  <c r="F173" i="1"/>
  <c r="D173" i="1"/>
  <c r="C173" i="1"/>
  <c r="H170" i="1"/>
  <c r="H169" i="1"/>
  <c r="G169" i="1"/>
  <c r="H168" i="1"/>
  <c r="H166" i="1" s="1"/>
  <c r="G168" i="1"/>
  <c r="G166" i="1" s="1"/>
  <c r="F168" i="1"/>
  <c r="H167" i="1"/>
  <c r="G167" i="1"/>
  <c r="F167" i="1"/>
  <c r="E167" i="1"/>
  <c r="E166" i="1" s="1"/>
  <c r="I166" i="1"/>
  <c r="F166" i="1"/>
  <c r="D166" i="1"/>
  <c r="C166" i="1"/>
  <c r="H163" i="1"/>
  <c r="H162" i="1"/>
  <c r="G162" i="1"/>
  <c r="H161" i="1"/>
  <c r="H159" i="1" s="1"/>
  <c r="G161" i="1"/>
  <c r="F161" i="1"/>
  <c r="H160" i="1"/>
  <c r="G160" i="1"/>
  <c r="F160" i="1"/>
  <c r="F159" i="1" s="1"/>
  <c r="E160" i="1"/>
  <c r="E159" i="1" s="1"/>
  <c r="I159" i="1"/>
  <c r="G159" i="1"/>
  <c r="D159" i="1"/>
  <c r="C159" i="1"/>
  <c r="H131" i="1"/>
  <c r="H130" i="1"/>
  <c r="G130" i="1"/>
  <c r="H129" i="1"/>
  <c r="G129" i="1"/>
  <c r="F129" i="1"/>
  <c r="H128" i="1"/>
  <c r="H127" i="1" s="1"/>
  <c r="G128" i="1"/>
  <c r="G127" i="1" s="1"/>
  <c r="F128" i="1"/>
  <c r="E128" i="1"/>
  <c r="E127" i="1" s="1"/>
  <c r="I127" i="1"/>
  <c r="F127" i="1"/>
  <c r="D127" i="1"/>
  <c r="C127" i="1"/>
  <c r="H124" i="1"/>
  <c r="H123" i="1"/>
  <c r="G123" i="1"/>
  <c r="H122" i="1"/>
  <c r="G122" i="1"/>
  <c r="F122" i="1"/>
  <c r="H121" i="1"/>
  <c r="H120" i="1" s="1"/>
  <c r="G121" i="1"/>
  <c r="F121" i="1"/>
  <c r="F120" i="1" s="1"/>
  <c r="E121" i="1"/>
  <c r="E120" i="1" s="1"/>
  <c r="I120" i="1"/>
  <c r="G120" i="1"/>
  <c r="D120" i="1"/>
  <c r="C120" i="1"/>
  <c r="H117" i="1"/>
  <c r="H116" i="1"/>
  <c r="G116" i="1"/>
  <c r="H115" i="1"/>
  <c r="H113" i="1" s="1"/>
  <c r="G115" i="1"/>
  <c r="F115" i="1"/>
  <c r="H114" i="1"/>
  <c r="G114" i="1"/>
  <c r="G113" i="1" s="1"/>
  <c r="F114" i="1"/>
  <c r="E114" i="1"/>
  <c r="E113" i="1" s="1"/>
  <c r="I113" i="1"/>
  <c r="F113" i="1"/>
  <c r="D113" i="1"/>
  <c r="C113" i="1"/>
  <c r="H103" i="1"/>
  <c r="H102" i="1"/>
  <c r="G102" i="1"/>
  <c r="H101" i="1"/>
  <c r="G101" i="1"/>
  <c r="F101" i="1"/>
  <c r="F99" i="1" s="1"/>
  <c r="H100" i="1"/>
  <c r="H99" i="1" s="1"/>
  <c r="G100" i="1"/>
  <c r="G99" i="1" s="1"/>
  <c r="F100" i="1"/>
  <c r="E100" i="1"/>
  <c r="E99" i="1" s="1"/>
  <c r="I99" i="1"/>
  <c r="D99" i="1"/>
  <c r="C99" i="1"/>
  <c r="H96" i="1"/>
  <c r="H95" i="1"/>
  <c r="G95" i="1"/>
  <c r="H94" i="1"/>
  <c r="G94" i="1"/>
  <c r="F94" i="1"/>
  <c r="H93" i="1"/>
  <c r="H92" i="1" s="1"/>
  <c r="G93" i="1"/>
  <c r="G92" i="1" s="1"/>
  <c r="F93" i="1"/>
  <c r="E93" i="1"/>
  <c r="E92" i="1" s="1"/>
  <c r="I92" i="1"/>
  <c r="F92" i="1"/>
  <c r="D92" i="1"/>
  <c r="C92" i="1"/>
  <c r="H64" i="1"/>
  <c r="H63" i="1"/>
  <c r="G63" i="1"/>
  <c r="H62" i="1"/>
  <c r="H60" i="1" s="1"/>
  <c r="G62" i="1"/>
  <c r="F62" i="1"/>
  <c r="H61" i="1"/>
  <c r="G61" i="1"/>
  <c r="G60" i="1" s="1"/>
  <c r="F61" i="1"/>
  <c r="E61" i="1"/>
  <c r="E60" i="1" s="1"/>
  <c r="I60" i="1"/>
  <c r="F60" i="1"/>
  <c r="D60" i="1"/>
  <c r="C60" i="1"/>
  <c r="H49" i="1"/>
  <c r="H48" i="1"/>
  <c r="G48" i="1"/>
  <c r="H47" i="1"/>
  <c r="G47" i="1"/>
  <c r="F47" i="1"/>
  <c r="H46" i="1"/>
  <c r="H45" i="1" s="1"/>
  <c r="G46" i="1"/>
  <c r="G45" i="1" s="1"/>
  <c r="F46" i="1"/>
  <c r="E46" i="1"/>
  <c r="E45" i="1" s="1"/>
  <c r="I45" i="1"/>
  <c r="F45" i="1"/>
  <c r="D45" i="1"/>
  <c r="C45" i="1"/>
  <c r="H40" i="1"/>
  <c r="H39" i="1"/>
  <c r="G39" i="1"/>
  <c r="H38" i="1"/>
  <c r="G38" i="1"/>
  <c r="F38" i="1"/>
  <c r="H37" i="1"/>
  <c r="G37" i="1"/>
  <c r="F37" i="1"/>
  <c r="E37" i="1"/>
  <c r="E36" i="1" s="1"/>
  <c r="I36" i="1"/>
  <c r="D36" i="1"/>
  <c r="C36" i="1"/>
  <c r="B492" i="1" a="1"/>
  <c r="B495" i="1" a="1"/>
  <c r="B491" i="1" a="1"/>
  <c r="B493" i="1" a="1"/>
  <c r="B494" i="1" a="1"/>
  <c r="B477" i="1" a="1"/>
  <c r="B480" i="1" a="1"/>
  <c r="B476" i="1" a="1"/>
  <c r="B478" i="1" a="1"/>
  <c r="B479" i="1" a="1"/>
  <c r="B462" i="1" a="1"/>
  <c r="B465" i="1" a="1"/>
  <c r="B463" i="1" a="1"/>
  <c r="B464" i="1" a="1"/>
  <c r="B461" i="1" a="1"/>
  <c r="B447" i="1" a="1"/>
  <c r="B450" i="1" a="1"/>
  <c r="B446" i="1" a="1"/>
  <c r="B448" i="1" a="1"/>
  <c r="B449" i="1" a="1"/>
  <c r="B440" i="1" a="1"/>
  <c r="B443" i="1" a="1"/>
  <c r="B439" i="1" a="1"/>
  <c r="B441" i="1" a="1"/>
  <c r="B442" i="1" a="1"/>
  <c r="B407" i="1" a="1"/>
  <c r="B403" i="1" a="1"/>
  <c r="B405" i="1" a="1"/>
  <c r="B404" i="1" a="1"/>
  <c r="B406" i="1" a="1"/>
  <c r="B397" i="1" a="1"/>
  <c r="B396" i="1" a="1"/>
  <c r="B400" i="1" a="1"/>
  <c r="B398" i="1" a="1"/>
  <c r="B399" i="1" a="1"/>
  <c r="B390" i="1" a="1"/>
  <c r="B393" i="1" a="1"/>
  <c r="B389" i="1" a="1"/>
  <c r="B391" i="1" a="1"/>
  <c r="B392" i="1" a="1"/>
  <c r="B383" i="1" a="1"/>
  <c r="B386" i="1" a="1"/>
  <c r="B382" i="1" a="1"/>
  <c r="B384" i="1" a="1"/>
  <c r="B385" i="1" a="1"/>
  <c r="B376" i="1" a="1"/>
  <c r="B377" i="1" a="1"/>
  <c r="B375" i="1" a="1"/>
  <c r="B379" i="1" a="1"/>
  <c r="B378" i="1" a="1"/>
  <c r="B370" i="1" a="1"/>
  <c r="B369" i="1" a="1"/>
  <c r="B372" i="1" a="1"/>
  <c r="B368" i="1" a="1"/>
  <c r="B371" i="1" a="1"/>
  <c r="B330" i="1" a="1"/>
  <c r="B333" i="1" a="1"/>
  <c r="B329" i="1" a="1"/>
  <c r="B331" i="1" a="1"/>
  <c r="B332" i="1" a="1"/>
  <c r="B323" i="1" a="1"/>
  <c r="B326" i="1" a="1"/>
  <c r="B322" i="1" a="1"/>
  <c r="B324" i="1" a="1"/>
  <c r="B325" i="1" a="1"/>
  <c r="B318" i="1" a="1"/>
  <c r="B316" i="1" a="1"/>
  <c r="B319" i="1" a="1"/>
  <c r="B315" i="1" a="1"/>
  <c r="B317" i="1" a="1"/>
  <c r="B303" i="1" a="1"/>
  <c r="B306" i="1" a="1"/>
  <c r="B302" i="1" a="1"/>
  <c r="B304" i="1" a="1"/>
  <c r="B305" i="1" a="1"/>
  <c r="B296" i="1" a="1"/>
  <c r="B299" i="1" a="1"/>
  <c r="B295" i="1" a="1"/>
  <c r="B297" i="1" a="1"/>
  <c r="B298" i="1" a="1"/>
  <c r="B263" i="1" a="1"/>
  <c r="B264" i="1" a="1"/>
  <c r="B267" i="1" a="1"/>
  <c r="B265" i="1" a="1"/>
  <c r="B266" i="1" a="1"/>
  <c r="B257" i="1" a="1"/>
  <c r="B256" i="1" a="1"/>
  <c r="B260" i="1" a="1"/>
  <c r="B258" i="1" a="1"/>
  <c r="B259" i="1" a="1"/>
  <c r="B244" i="1" a="1"/>
  <c r="B243" i="1" a="1"/>
  <c r="B246" i="1" a="1"/>
  <c r="B245" i="1" a="1"/>
  <c r="B242" i="1" a="1"/>
  <c r="B236" i="1" a="1"/>
  <c r="B239" i="1" a="1"/>
  <c r="B235" i="1" a="1"/>
  <c r="B237" i="1" a="1"/>
  <c r="B238" i="1" a="1"/>
  <c r="B229" i="1" a="1"/>
  <c r="B228" i="1" a="1"/>
  <c r="B232" i="1" a="1"/>
  <c r="B230" i="1" a="1"/>
  <c r="B231" i="1" a="1"/>
  <c r="B196" i="1" a="1"/>
  <c r="B197" i="1" a="1"/>
  <c r="B200" i="1" a="1"/>
  <c r="B198" i="1" a="1"/>
  <c r="B199" i="1" a="1"/>
  <c r="B193" i="1" a="1"/>
  <c r="B189" i="1" a="1"/>
  <c r="B191" i="1" a="1"/>
  <c r="B192" i="1" a="1"/>
  <c r="B190" i="1" a="1"/>
  <c r="B183" i="1" a="1"/>
  <c r="B186" i="1" a="1"/>
  <c r="B182" i="1" a="1"/>
  <c r="B184" i="1" a="1"/>
  <c r="B185" i="1" a="1"/>
  <c r="B174" i="1" a="1"/>
  <c r="B177" i="1" a="1"/>
  <c r="B173" i="1" a="1"/>
  <c r="B175" i="1" a="1"/>
  <c r="B176" i="1" a="1"/>
  <c r="B167" i="1" a="1"/>
  <c r="B170" i="1" a="1"/>
  <c r="B168" i="1" a="1"/>
  <c r="B166" i="1" a="1"/>
  <c r="B169" i="1" a="1"/>
  <c r="B160" i="1" a="1"/>
  <c r="B163" i="1" a="1"/>
  <c r="B159" i="1" a="1"/>
  <c r="B161" i="1" a="1"/>
  <c r="B162" i="1" a="1"/>
  <c r="B128" i="1" a="1"/>
  <c r="B127" i="1" a="1"/>
  <c r="B131" i="1" a="1"/>
  <c r="B129" i="1" a="1"/>
  <c r="B130" i="1" a="1"/>
  <c r="B121" i="1" a="1"/>
  <c r="B120" i="1" a="1"/>
  <c r="B124" i="1" a="1"/>
  <c r="B122" i="1" a="1"/>
  <c r="B123" i="1" a="1"/>
  <c r="B114" i="1" a="1"/>
  <c r="B117" i="1" a="1"/>
  <c r="B113" i="1" a="1"/>
  <c r="B115" i="1" a="1"/>
  <c r="B116" i="1" a="1"/>
  <c r="B103" i="1" a="1"/>
  <c r="B99" i="1" a="1"/>
  <c r="B100" i="1" a="1"/>
  <c r="B101" i="1" a="1"/>
  <c r="B102" i="1" a="1"/>
  <c r="B92" i="1" a="1"/>
  <c r="B93" i="1" a="1"/>
  <c r="B96" i="1" a="1"/>
  <c r="B94" i="1" a="1"/>
  <c r="B95" i="1" a="1"/>
  <c r="B61" i="1" a="1"/>
  <c r="B60" i="1" a="1"/>
  <c r="B64" i="1" a="1"/>
  <c r="B62" i="1" a="1"/>
  <c r="B63" i="1" a="1"/>
  <c r="B46" i="1" a="1"/>
  <c r="B45" i="1" a="1"/>
  <c r="B49" i="1" a="1"/>
  <c r="B47" i="1" a="1"/>
  <c r="B48" i="1" a="1"/>
  <c r="B39" i="1" a="1"/>
  <c r="B37" i="1" a="1"/>
  <c r="B40" i="1" a="1"/>
  <c r="B38" i="1" a="1"/>
  <c r="B36" i="1" a="1"/>
  <c r="B494" i="1" l="1"/>
  <c r="B493" i="1"/>
  <c r="B491" i="1"/>
  <c r="B495" i="1"/>
  <c r="B492" i="1"/>
  <c r="B479" i="1"/>
  <c r="B478" i="1"/>
  <c r="B476" i="1"/>
  <c r="B480" i="1"/>
  <c r="B477" i="1"/>
  <c r="B461" i="1"/>
  <c r="B464" i="1"/>
  <c r="B463" i="1"/>
  <c r="B465" i="1"/>
  <c r="B462" i="1"/>
  <c r="B449" i="1"/>
  <c r="B448" i="1"/>
  <c r="B446" i="1"/>
  <c r="B450" i="1"/>
  <c r="B447" i="1"/>
  <c r="B442" i="1"/>
  <c r="B441" i="1"/>
  <c r="B439" i="1"/>
  <c r="B443" i="1"/>
  <c r="B440" i="1"/>
  <c r="B406" i="1"/>
  <c r="B404" i="1"/>
  <c r="B405" i="1"/>
  <c r="B403" i="1"/>
  <c r="B407" i="1"/>
  <c r="B399" i="1"/>
  <c r="B398" i="1"/>
  <c r="B400" i="1"/>
  <c r="B396" i="1"/>
  <c r="B397" i="1"/>
  <c r="B392" i="1"/>
  <c r="B391" i="1"/>
  <c r="B389" i="1"/>
  <c r="B393" i="1"/>
  <c r="B390" i="1"/>
  <c r="B385" i="1"/>
  <c r="B384" i="1"/>
  <c r="B382" i="1"/>
  <c r="B386" i="1"/>
  <c r="B383" i="1"/>
  <c r="B378" i="1"/>
  <c r="B379" i="1"/>
  <c r="B375" i="1"/>
  <c r="B377" i="1"/>
  <c r="B376" i="1"/>
  <c r="B371" i="1"/>
  <c r="B368" i="1"/>
  <c r="B372" i="1"/>
  <c r="B369" i="1"/>
  <c r="B370" i="1"/>
  <c r="B332" i="1"/>
  <c r="B331" i="1"/>
  <c r="B329" i="1"/>
  <c r="B333" i="1"/>
  <c r="B330" i="1"/>
  <c r="B325" i="1"/>
  <c r="B324" i="1"/>
  <c r="B322" i="1"/>
  <c r="B326" i="1"/>
  <c r="B323" i="1"/>
  <c r="B317" i="1"/>
  <c r="B315" i="1"/>
  <c r="B319" i="1"/>
  <c r="B316" i="1"/>
  <c r="B318" i="1"/>
  <c r="B305" i="1"/>
  <c r="B304" i="1"/>
  <c r="B302" i="1"/>
  <c r="B306" i="1"/>
  <c r="B303" i="1"/>
  <c r="B298" i="1"/>
  <c r="B297" i="1"/>
  <c r="B295" i="1"/>
  <c r="B299" i="1"/>
  <c r="B296" i="1"/>
  <c r="B266" i="1"/>
  <c r="B265" i="1"/>
  <c r="B267" i="1"/>
  <c r="B264" i="1"/>
  <c r="B263" i="1"/>
  <c r="B259" i="1"/>
  <c r="B258" i="1"/>
  <c r="B260" i="1"/>
  <c r="B256" i="1"/>
  <c r="B257" i="1"/>
  <c r="B242" i="1"/>
  <c r="B245" i="1"/>
  <c r="B246" i="1"/>
  <c r="B243" i="1"/>
  <c r="B244" i="1"/>
  <c r="B238" i="1"/>
  <c r="B237" i="1"/>
  <c r="B235" i="1"/>
  <c r="B239" i="1"/>
  <c r="B236" i="1"/>
  <c r="B231" i="1"/>
  <c r="B230" i="1"/>
  <c r="B232" i="1"/>
  <c r="B228" i="1"/>
  <c r="B229" i="1"/>
  <c r="B199" i="1"/>
  <c r="B198" i="1"/>
  <c r="B200" i="1"/>
  <c r="B197" i="1"/>
  <c r="B196" i="1"/>
  <c r="B190" i="1"/>
  <c r="B192" i="1"/>
  <c r="B191" i="1"/>
  <c r="B189" i="1"/>
  <c r="B193" i="1"/>
  <c r="B185" i="1"/>
  <c r="B184" i="1"/>
  <c r="B182" i="1"/>
  <c r="B186" i="1"/>
  <c r="B183" i="1"/>
  <c r="B176" i="1"/>
  <c r="B175" i="1"/>
  <c r="B173" i="1"/>
  <c r="B177" i="1"/>
  <c r="B174" i="1"/>
  <c r="B169" i="1"/>
  <c r="B166" i="1"/>
  <c r="B168" i="1"/>
  <c r="B170" i="1"/>
  <c r="B167" i="1"/>
  <c r="B162" i="1"/>
  <c r="B161" i="1"/>
  <c r="B159" i="1"/>
  <c r="B163" i="1"/>
  <c r="B160" i="1"/>
  <c r="B130" i="1"/>
  <c r="B129" i="1"/>
  <c r="B131" i="1"/>
  <c r="B127" i="1"/>
  <c r="B128" i="1"/>
  <c r="B123" i="1"/>
  <c r="B122" i="1"/>
  <c r="B124" i="1"/>
  <c r="B120" i="1"/>
  <c r="B121" i="1"/>
  <c r="B116" i="1"/>
  <c r="B115" i="1"/>
  <c r="B113" i="1"/>
  <c r="B117" i="1"/>
  <c r="B114" i="1"/>
  <c r="B102" i="1"/>
  <c r="B101" i="1"/>
  <c r="B100" i="1"/>
  <c r="B99" i="1"/>
  <c r="B103" i="1"/>
  <c r="B95" i="1"/>
  <c r="B94" i="1"/>
  <c r="B96" i="1"/>
  <c r="B93" i="1"/>
  <c r="B92" i="1"/>
  <c r="B63" i="1"/>
  <c r="B62" i="1"/>
  <c r="B64" i="1"/>
  <c r="B60" i="1"/>
  <c r="B61" i="1"/>
  <c r="B48" i="1"/>
  <c r="B47" i="1"/>
  <c r="B49" i="1"/>
  <c r="B45" i="1"/>
  <c r="B46" i="1"/>
  <c r="G36" i="1"/>
  <c r="F36" i="1"/>
  <c r="H36" i="1"/>
  <c r="B39" i="1"/>
  <c r="B36" i="1"/>
  <c r="A1" i="2" s="1" a="1"/>
  <c r="B38" i="1"/>
  <c r="B40" i="1"/>
  <c r="B37" i="1"/>
  <c r="A1" i="2" l="1"/>
  <c r="M9" i="2"/>
  <c r="D26" i="2"/>
  <c r="H35" i="2"/>
  <c r="J7" i="2"/>
  <c r="M15" i="2"/>
  <c r="D25" i="2"/>
  <c r="H34" i="2"/>
  <c r="J6" i="2"/>
  <c r="M14" i="2"/>
  <c r="J29" i="2"/>
  <c r="D31" i="2"/>
  <c r="C4" i="2"/>
  <c r="J12" i="2"/>
  <c r="M20" i="2"/>
  <c r="J37" i="2"/>
  <c r="D30" i="2"/>
  <c r="H3" i="2"/>
  <c r="J11" i="2"/>
  <c r="M19" i="2"/>
  <c r="H17" i="2"/>
  <c r="M13" i="2"/>
  <c r="D21" i="2"/>
  <c r="H30" i="2"/>
  <c r="M10" i="2"/>
  <c r="D12" i="2"/>
  <c r="H21" i="2"/>
  <c r="L29" i="2"/>
  <c r="F2" i="2"/>
  <c r="D11" i="2"/>
  <c r="H20" i="2"/>
  <c r="L28" i="2"/>
  <c r="D2" i="2"/>
  <c r="D18" i="2"/>
  <c r="H27" i="2"/>
  <c r="L35" i="2"/>
  <c r="M7" i="2"/>
  <c r="D17" i="2"/>
  <c r="H26" i="2"/>
  <c r="L34" i="2"/>
  <c r="M6" i="2"/>
  <c r="L33" i="2"/>
  <c r="D23" i="2"/>
  <c r="H32" i="2"/>
  <c r="J4" i="2"/>
  <c r="M12" i="2"/>
  <c r="J13" i="2"/>
  <c r="D22" i="2"/>
  <c r="H31" i="2"/>
  <c r="L3" i="2"/>
  <c r="M11" i="2"/>
  <c r="H9" i="2"/>
  <c r="M5" i="2"/>
  <c r="D13" i="2"/>
  <c r="H22" i="2"/>
  <c r="L30" i="2"/>
  <c r="F32" i="2"/>
  <c r="D4" i="2"/>
  <c r="H13" i="2"/>
  <c r="L21" i="2"/>
  <c r="F31" i="2"/>
  <c r="D3" i="2"/>
  <c r="H12" i="2"/>
  <c r="L20" i="2"/>
  <c r="F33" i="2"/>
  <c r="L12" i="2"/>
  <c r="C3" i="2"/>
  <c r="L19" i="2"/>
  <c r="L18" i="2"/>
  <c r="F35" i="2"/>
  <c r="H16" i="2"/>
  <c r="F20" i="2"/>
  <c r="F34" i="2"/>
  <c r="H15" i="2"/>
  <c r="F12" i="2"/>
  <c r="C34" i="2"/>
  <c r="L14" i="2"/>
  <c r="C25" i="2"/>
  <c r="L5" i="2"/>
  <c r="C24" i="2"/>
  <c r="L4" i="2"/>
  <c r="F4" i="2"/>
  <c r="C35" i="2"/>
  <c r="L25" i="2"/>
  <c r="J34" i="2"/>
  <c r="M33" i="2"/>
  <c r="M32" i="2"/>
  <c r="M18" i="2"/>
  <c r="D10" i="2"/>
  <c r="H19" i="2"/>
  <c r="L27" i="2"/>
  <c r="F37" i="2"/>
  <c r="D9" i="2"/>
  <c r="H18" i="2"/>
  <c r="L26" i="2"/>
  <c r="M29" i="2"/>
  <c r="D15" i="2"/>
  <c r="H24" i="2"/>
  <c r="L32" i="2"/>
  <c r="M4" i="2"/>
  <c r="L9" i="2"/>
  <c r="D14" i="2"/>
  <c r="H23" i="2"/>
  <c r="L31" i="2"/>
  <c r="F36" i="2"/>
  <c r="J21" i="2"/>
  <c r="D5" i="2"/>
  <c r="H14" i="2"/>
  <c r="L22" i="2"/>
  <c r="F24" i="2"/>
  <c r="C33" i="2"/>
  <c r="H5" i="2"/>
  <c r="L13" i="2"/>
  <c r="F23" i="2"/>
  <c r="C32" i="2"/>
  <c r="H4" i="2"/>
  <c r="F30" i="2"/>
  <c r="H11" i="2"/>
  <c r="F29" i="2"/>
  <c r="H10" i="2"/>
  <c r="F28" i="2"/>
  <c r="D7" i="2"/>
  <c r="L24" i="2"/>
  <c r="D6" i="2"/>
  <c r="L23" i="2"/>
  <c r="J5" i="2"/>
  <c r="H6" i="2"/>
  <c r="F16" i="2"/>
  <c r="J33" i="2"/>
  <c r="F15" i="2"/>
  <c r="J32" i="2"/>
  <c r="F22" i="2"/>
  <c r="C31" i="2"/>
  <c r="L11" i="2"/>
  <c r="C30" i="2"/>
  <c r="L10" i="2"/>
  <c r="F27" i="2"/>
  <c r="C36" i="2"/>
  <c r="H8" i="2"/>
  <c r="D32" i="2"/>
  <c r="F26" i="2"/>
  <c r="H7" i="2"/>
  <c r="D24" i="2"/>
  <c r="F17" i="2"/>
  <c r="L6" i="2"/>
  <c r="C17" i="2"/>
  <c r="F7" i="2"/>
  <c r="J24" i="2"/>
  <c r="D34" i="2"/>
  <c r="H33" i="2"/>
  <c r="M28" i="2"/>
  <c r="C11" i="2"/>
  <c r="C5" i="2"/>
  <c r="J10" i="2"/>
  <c r="L37" i="2"/>
  <c r="M8" i="2"/>
  <c r="F25" i="2"/>
  <c r="F21" i="2"/>
  <c r="L15" i="2"/>
  <c r="C26" i="2"/>
  <c r="J25" i="2"/>
  <c r="C16" i="2"/>
  <c r="J3" i="2"/>
  <c r="L16" i="2"/>
  <c r="F8" i="2"/>
  <c r="C7" i="2"/>
  <c r="M23" i="2"/>
  <c r="D33" i="2"/>
  <c r="C6" i="2"/>
  <c r="M22" i="2"/>
  <c r="F3" i="2"/>
  <c r="J20" i="2"/>
  <c r="M27" i="2"/>
  <c r="M21" i="2"/>
  <c r="D20" i="2"/>
  <c r="D19" i="2"/>
  <c r="H28" i="2"/>
  <c r="F14" i="2"/>
  <c r="C23" i="2"/>
  <c r="J31" i="2"/>
  <c r="M3" i="2"/>
  <c r="F13" i="2"/>
  <c r="C22" i="2"/>
  <c r="J30" i="2"/>
  <c r="D16" i="2"/>
  <c r="F19" i="2"/>
  <c r="C28" i="2"/>
  <c r="J36" i="2"/>
  <c r="L8" i="2"/>
  <c r="D8" i="2"/>
  <c r="F18" i="2"/>
  <c r="C27" i="2"/>
  <c r="J35" i="2"/>
  <c r="L7" i="2"/>
  <c r="C37" i="2"/>
  <c r="L17" i="2"/>
  <c r="F9" i="2"/>
  <c r="C18" i="2"/>
  <c r="J26" i="2"/>
  <c r="M34" i="2"/>
  <c r="D36" i="2"/>
  <c r="C9" i="2"/>
  <c r="J17" i="2"/>
  <c r="M25" i="2"/>
  <c r="D35" i="2"/>
  <c r="C8" i="2"/>
  <c r="J16" i="2"/>
  <c r="M24" i="2"/>
  <c r="J28" i="2"/>
  <c r="C21" i="2"/>
  <c r="M26" i="2"/>
  <c r="J9" i="2"/>
  <c r="D27" i="2"/>
  <c r="H36" i="2"/>
  <c r="M16" i="2"/>
  <c r="L36" i="2"/>
  <c r="H29" i="2"/>
  <c r="D29" i="2"/>
  <c r="J19" i="2"/>
  <c r="H25" i="2"/>
  <c r="C12" i="2"/>
  <c r="J14" i="2"/>
  <c r="J15" i="2"/>
  <c r="J8" i="2"/>
  <c r="M17" i="2"/>
  <c r="H37" i="2"/>
  <c r="D28" i="2"/>
  <c r="J18" i="2"/>
  <c r="C10" i="2"/>
  <c r="D37" i="2"/>
  <c r="M37" i="2"/>
  <c r="M35" i="2"/>
  <c r="J27" i="2"/>
  <c r="C19" i="2"/>
  <c r="F10" i="2"/>
  <c r="C13" i="2"/>
  <c r="M36" i="2"/>
  <c r="C20" i="2"/>
  <c r="F11" i="2"/>
  <c r="C29" i="2"/>
  <c r="M30" i="2"/>
  <c r="J22" i="2"/>
  <c r="C14" i="2"/>
  <c r="F5" i="2"/>
  <c r="M31" i="2"/>
  <c r="J23" i="2"/>
  <c r="C15" i="2"/>
  <c r="F6" i="2"/>
  <c r="N5" i="2" l="1"/>
  <c r="N4" i="2"/>
  <c r="N7" i="2"/>
  <c r="N21" i="2"/>
  <c r="N19" i="2"/>
  <c r="N32" i="2"/>
  <c r="N30" i="2"/>
  <c r="N22" i="2"/>
  <c r="N34" i="2"/>
  <c r="N3" i="2"/>
  <c r="N20" i="2"/>
  <c r="N31" i="2"/>
  <c r="N10" i="2"/>
  <c r="N12" i="2"/>
  <c r="N33" i="2"/>
  <c r="N11" i="2"/>
  <c r="N17" i="2"/>
  <c r="N23" i="2"/>
  <c r="N15" i="2"/>
  <c r="N28" i="2"/>
  <c r="N16" i="2"/>
  <c r="N24" i="2"/>
  <c r="N6" i="2"/>
  <c r="N29" i="2"/>
  <c r="N36" i="2"/>
  <c r="N13" i="2"/>
  <c r="N25" i="2"/>
  <c r="N14" i="2"/>
  <c r="N26" i="2"/>
  <c r="N27" i="2"/>
  <c r="N8" i="2"/>
  <c r="N18" i="2"/>
  <c r="N35" i="2"/>
  <c r="N37" i="2"/>
  <c r="N9" i="2"/>
  <c r="H2" i="2"/>
  <c r="L2" i="2"/>
  <c r="C2" i="2"/>
  <c r="M2" i="2"/>
  <c r="J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<sst xmlns="http://schemas.openxmlformats.org/spreadsheetml/2006/main" count="595" uniqueCount="206">
  <si>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</si>
  <si>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</si>
  <si>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</si>
  <si>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</si>
  <si>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</si>
  <si>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</si>
  <si>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</si>
  <si>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100-CI-2201524</t>
  </si>
  <si>
    <t>Date: 08.02.2022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</si>
  <si>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</si>
  <si>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</si>
  <si>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</si>
  <si>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</si>
  <si>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</si>
  <si>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</si>
  <si>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</si>
  <si>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</si>
  <si>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</si>
  <si>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</si>
  <si>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</si>
  <si>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</si>
  <si>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</si>
  <si>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</si>
  <si>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</si>
  <si>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</si>
  <si>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</si>
  <si>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</si>
  <si>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</si>
  <si>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</si>
  <si>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</si>
  <si>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</si>
  <si>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Shipping Order: 100-SO2202795 from 08.02.2022</t>
  </si>
  <si>
    <t>Delivery recipient:</t>
  </si>
  <si>
    <t>1 2138402 71 sonstige 3 Pc(s) 109,00 EUR</t>
  </si>
  <si>
    <t>Fedora Panama bleached 5 Per Pc(s)</t>
  </si>
  <si>
    <t>59/L</t>
  </si>
  <si>
    <t>61/XL</t>
  </si>
  <si>
    <t>Country of manufacture: Italy --- Customs tariff code: 65040000 --- Net weight: 0,10 kg</t>
  </si>
  <si>
    <t>Line value 327,00 EUR</t>
  </si>
  <si>
    <t>Recommended Retail Price = 279,00 EUR Total line value 261,60 EUR</t>
  </si>
  <si>
    <t>10 2478505 7 beige 19 Pc(s) 29,90 EUR</t>
  </si>
  <si>
    <t>Traveller Seagrass Per Pc(s)</t>
  </si>
  <si>
    <t>55/S</t>
  </si>
  <si>
    <t>57/M</t>
  </si>
  <si>
    <t>63/XXL</t>
  </si>
  <si>
    <t>Country of manufacture: China --- Customs tariff code: 65040000 --- Net weight: 0,13 kg</t>
  </si>
  <si>
    <t>Line value 568,10 EUR</t>
  </si>
  <si>
    <t>Recommended Retail Price = 79,00 EUR Total line value 454,48 EUR</t>
  </si>
  <si>
    <t>11 7751190 82 sonstige 110 Pc(s) 14,90 EUR</t>
  </si>
  <si>
    <t>Trucker Cap On Vacation Per Pc(s)</t>
  </si>
  <si>
    <t>Country of manufacture: China --- Customs tariff code: 65050030 --- Net weight: 0,10 kg</t>
  </si>
  <si>
    <t>Line value 1.639,00 EUR</t>
  </si>
  <si>
    <t>Recommended Retail Price = 39,00 EUR Total line value 1.311,20 EUR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</si>
  <si>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</si>
  <si>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</si>
  <si>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</si>
  <si>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</si>
  <si>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</si>
  <si>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</si>
  <si>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</si>
  <si>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</si>
  <si>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</si>
  <si>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</si>
  <si>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</si>
  <si>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</si>
  <si>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</si>
  <si>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</si>
  <si>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Invoice: 100-CI-2201524</t>
  </si>
  <si>
    <t>Cust. no. invoice rec.: 935224 Page 2 of 8</t>
  </si>
  <si>
    <t>12 7751192 22 sonstige 50 Pc(s) 14,90 EUR</t>
  </si>
  <si>
    <t>Trucker Cap Air Land Sea Per Pc(s)</t>
  </si>
  <si>
    <t>Line value 745,00 EUR</t>
  </si>
  <si>
    <t>Recommended Retail Price = 39,00 EUR Total line value 596,00 EUR</t>
  </si>
  <si>
    <t>13 7751192 83 sonstige 75 Pc(s) 14,90 EUR</t>
  </si>
  <si>
    <t>Line value 1.117,50 EUR</t>
  </si>
  <si>
    <t>Recommended Retail Price = 39,00 EUR Total line value 894,00 EUR</t>
  </si>
  <si>
    <t>14 7751193 52 sonstige 115 Pc(s) 14,90 EUR</t>
  </si>
  <si>
    <t>Trucker Cap Air and Sea Per Pc(s)</t>
  </si>
  <si>
    <t>Line value 1.713,50 EUR</t>
  </si>
  <si>
    <t>Recommended Retail Price = 39,00 EUR Total line value 1.370,80 EUR</t>
  </si>
  <si>
    <t>15 7751195 26 sonstige 140 Pc(s) 14,90 EUR</t>
  </si>
  <si>
    <t>Trucker Cap Tiki Lounge Per Pc(s)</t>
  </si>
  <si>
    <t>Line value 2.086,00 EUR</t>
  </si>
  <si>
    <t>Recommended Retail Price = 39,00 EUR Total line value 1.668,80 EUR</t>
  </si>
  <si>
    <t>16 7756115 27 sonstige 140 Pc(s) 14,90 EUR</t>
  </si>
  <si>
    <t>Trucker Cap Malibu Per Pc(s)</t>
  </si>
  <si>
    <t>17 7751101 53 sonstige 100 Pc(s) 14,90 EUR</t>
  </si>
  <si>
    <t>Trucker Cap Bear Per Pc(s)</t>
  </si>
  <si>
    <t>Line value 1.490,00 EUR</t>
  </si>
  <si>
    <t>Recommended Retail Price = 39,00 EUR Total line value 1.192,00 EUR</t>
  </si>
  <si>
    <t>Cust. no. invoice rec.: 935224 Page 3 of 8</t>
  </si>
  <si>
    <t>18 7751103 17 sonstige 100 Pc(s) 14,90 EUR</t>
  </si>
  <si>
    <t>Trucker Cap American Heritage Per Pc(s)</t>
  </si>
  <si>
    <t>19 7751103 87 sonstige 100 Pc(s) 14,90 EUR</t>
  </si>
  <si>
    <t>2 2458402 71 sonstige 2 Pc(s) 109,00 EUR</t>
  </si>
  <si>
    <t>Traveller Panama bleached 5 Per Pc(s)</t>
  </si>
  <si>
    <t>Line value 218,00 EUR</t>
  </si>
  <si>
    <t>Recommended Retail Price = 279,00 EUR Total line value 174,40 EUR</t>
  </si>
  <si>
    <t>20 7751103 27 sonstige 70 Pc(s) 14,90 EUR</t>
  </si>
  <si>
    <t>Line value 1.043,00 EUR</t>
  </si>
  <si>
    <t>Recommended Retail Price = 39,00 EUR Total line value 834,40 EUR</t>
  </si>
  <si>
    <t>21 7751107 28 sonstige 130 Pc(s) 14,90 EUR</t>
  </si>
  <si>
    <t>Trucker Cap Gasoline Per Pc(s)</t>
  </si>
  <si>
    <t>Line value 1.937,00 EUR</t>
  </si>
  <si>
    <t>Recommended Retail Price = 39,00 EUR Total line value 1.549,60 EUR</t>
  </si>
  <si>
    <t>22 7751152 25 sonstige 130 Pc(s) 14,90 EUR</t>
  </si>
  <si>
    <t>Trucker Cap Great Plains Per Pc(s)</t>
  </si>
  <si>
    <t>Cust. no. invoice rec.: 935224 Page 4 of 8</t>
  </si>
  <si>
    <t>23 7751154 29 sonstige 130 Pc(s) 14,90 EUR</t>
  </si>
  <si>
    <t>Trucker Cap Dirt Track Racing Per Pc(s)</t>
  </si>
  <si>
    <t>24 7751155 57 sonstige 140 Pc(s) 14,90 EUR</t>
  </si>
  <si>
    <t>Trucker Cap Forest Patrol Per Pc(s)</t>
  </si>
  <si>
    <t>25 7751171 5 oliv 20 Pc(s) 14,90 EUR</t>
  </si>
  <si>
    <t>Trucker Cap American Heritage Classic Per Pc(s)</t>
  </si>
  <si>
    <t>Line value 298,00 EUR</t>
  </si>
  <si>
    <t>Recommended Retail Price = 39,00 EUR Total line value 238,40 EUR</t>
  </si>
  <si>
    <t>26 7751171 1 black 110 Pc(s) 14,90 EUR</t>
  </si>
  <si>
    <t>27 7751171 7 beige 50 Pc(s) 14,90 EUR</t>
  </si>
  <si>
    <t>28 7751171 8 rot 65 Pc(s) 14,90 EUR</t>
  </si>
  <si>
    <t>Line value 968,50 EUR</t>
  </si>
  <si>
    <t>Recommended Retail Price = 39,00 EUR Total line value 774,80 EUR</t>
  </si>
  <si>
    <t>Cust. no. invoice rec.: 935224 Page 5 of 8</t>
  </si>
  <si>
    <t>29 7751176 65 sonstige 20 Pc(s) 14,90 EUR</t>
  </si>
  <si>
    <t>Trucker Cap Stronger Bison Per Pc(s)</t>
  </si>
  <si>
    <t>3 2138504 7 beige 9 Pc(s) 57,00 EUR</t>
  </si>
  <si>
    <t>Fedora Hemp Per Pc(s)</t>
  </si>
  <si>
    <t>Country of manufacture: Italy --- Customs tariff code: 65040000 --- Net weight: 0,09 kg</t>
  </si>
  <si>
    <t>Line value 513,00 EUR</t>
  </si>
  <si>
    <t>Recommended Retail Price = 149,00 EUR Total line value 410,40 EUR</t>
  </si>
  <si>
    <t>30 7751178 84 sonstige 55 Pc(s) 14,90 EUR</t>
  </si>
  <si>
    <t>Trucker Cap College Football Per Pc(s)</t>
  </si>
  <si>
    <t>Line value 819,50 EUR</t>
  </si>
  <si>
    <t>Recommended Retail Price = 39,00 EUR Total line value 655,60 EUR</t>
  </si>
  <si>
    <t>31 7751185 22 sonstige 90 Pc(s) 14,90 EUR</t>
  </si>
  <si>
    <t>Trucker Cap Gaslamp Per Pc(s)</t>
  </si>
  <si>
    <t>Line value 1.341,00 EUR</t>
  </si>
  <si>
    <t>Recommended Retail Price = 39,00 EUR Total line value 1.072,80 EUR</t>
  </si>
  <si>
    <t>32 7751186 67 sonstige 130 Pc(s) 14,90 EUR</t>
  </si>
  <si>
    <t>Trucker Cap Camper Per Pc(s)</t>
  </si>
  <si>
    <t>33 7751189 89 sonstige 130 Pc(s) 14,90 EUR</t>
  </si>
  <si>
    <t>Trucker Cap American Heritage Master Per Pc(s)</t>
  </si>
  <si>
    <t>Cust. no. invoice rec.: 935224 Page 6 of 8</t>
  </si>
  <si>
    <t>34 7756105 68 sonstige 25 Pc(s) 14,90 EUR</t>
  </si>
  <si>
    <t>Trucker Cap On the Road Per Pc(s)</t>
  </si>
  <si>
    <t>Line value 372,50 EUR</t>
  </si>
  <si>
    <t>Recommended Retail Price = 39,00 EUR Total line value 298,00 EUR</t>
  </si>
  <si>
    <t>35 7721110 3 grey / silver 10 Pc(s) 14,90 EUR</t>
  </si>
  <si>
    <t>Baseball Cap Cotton Per Pc(s)</t>
  </si>
  <si>
    <t>Line value 149,00 EUR</t>
  </si>
  <si>
    <t>Recommended Retail Price = 39,00 EUR Total line value 119,20 EUR</t>
  </si>
  <si>
    <t>36 6611105 2 navy / gun metal 1 Pc(s) 12,90 EUR</t>
  </si>
  <si>
    <t>Texas Cotton Per Pc(s)</t>
  </si>
  <si>
    <t>Country of manufacture: China --- Customs tariff code: 65050030 --- Net weight: 0,11 kg</t>
  </si>
  <si>
    <t>Line value 12,90 EUR</t>
  </si>
  <si>
    <t>Recommended Retail Price = 35,00 EUR Total line value 10,32 EUR</t>
  </si>
  <si>
    <t>37 6611105 23 sonstige 2 Pc(s) 12,90 EUR</t>
  </si>
  <si>
    <t>Line value 25,80 EUR</t>
  </si>
  <si>
    <t>Recommended Retail Price = 35,00 EUR Total line value 20,64 EUR</t>
  </si>
  <si>
    <t>38 7431101 1 black 1 Pc(s) 14,90 EUR</t>
  </si>
  <si>
    <t>Army Cap Cotton Per Pc(s)</t>
  </si>
  <si>
    <t>Country of manufacture: China --- Customs tariff code: 65050030 --- Net weight: 0,09 kg</t>
  </si>
  <si>
    <t>Line value 14,90 EUR</t>
  </si>
  <si>
    <t>Recommended Retail Price = 39,00 EUR Total line value 11,92 EUR</t>
  </si>
  <si>
    <t>4 2128503 71 sonstige 8 Pc(s) 33,90 EUR</t>
  </si>
  <si>
    <t>Fedora Toyo Per Pc(s)</t>
  </si>
  <si>
    <t>Country of manufacture: China --- Customs tariff code: 65040000 --- Net weight: 0,08 kg</t>
  </si>
  <si>
    <t>Line value 271,20 EUR</t>
  </si>
  <si>
    <t>Recommended Retail Price = 89,00 EUR Total line value 216,96 EUR</t>
  </si>
  <si>
    <t>Cust. no. invoice rec.: 935224 Page 7 of 8</t>
  </si>
  <si>
    <t>5 1238551 77 sonstige 2 Pc(s) 22,90 EUR</t>
  </si>
  <si>
    <t>Trilby Toyo Per Pc(s)</t>
  </si>
  <si>
    <t>Line value 45,80 EUR</t>
  </si>
  <si>
    <t>Recommended Retail Price = 59,00 EUR Total line value 36,64 EUR</t>
  </si>
  <si>
    <t>6 1698509 77 sonstige 21 Pc(s) 22,90 EUR</t>
  </si>
  <si>
    <t>Pork Pie Toyo Per Pc(s)</t>
  </si>
  <si>
    <t>Country of manufacture: China --- Customs tariff code: 65040000 --- Net weight: 0,09 kg</t>
  </si>
  <si>
    <t>Line value 480,90 EUR</t>
  </si>
  <si>
    <t>Recommended Retail Price = 59,00 EUR Total line value 384,72 EUR</t>
  </si>
  <si>
    <t>7 1698509 67 sonstige 21 Pc(s) 22,90 EUR</t>
  </si>
  <si>
    <t>8 2938510 67 sonstige 16 Pc(s) 37,90 EUR</t>
  </si>
  <si>
    <t>Boater Palm Per Pc(s)</t>
  </si>
  <si>
    <t>Country of manufacture: China --- Customs tariff code: 65040000 --- Net weight: 0,12 kg</t>
  </si>
  <si>
    <t>Line value 606,40 EUR</t>
  </si>
  <si>
    <t>Recommended Retail Price = 99,00 EUR Total line value 485,12 EUR</t>
  </si>
  <si>
    <t>9 2928501 7 beige 6 Pc(s) 29,90 EUR</t>
  </si>
  <si>
    <t>Pith Helmet Toyo Per Pc(s)</t>
  </si>
  <si>
    <t>Country of manufacture: China --- Customs tariff code: 65040000 --- Net weight: 0,25 kg</t>
  </si>
  <si>
    <t>Line value 179,40 EUR</t>
  </si>
  <si>
    <t>Recommended Retail Price = 79,00 EUR Total line value 143,52 EUR</t>
  </si>
  <si>
    <t>Total Quantity: 2.346 Pc(s)</t>
  </si>
  <si>
    <t>Total: 29.636,64 EUR</t>
  </si>
  <si>
    <t>Tax free intracommunity delivery 0,00 EUR</t>
  </si>
  <si>
    <t>Total Value: 29.636,64 EUR</t>
  </si>
  <si>
    <t>There is a tax free intra-Community supply acc. § 4 No. 1b in conjunction with § 6a UStG</t>
  </si>
  <si>
    <t>Cust. no. invoice rec.: 935224 Page 8 of 8</t>
  </si>
  <si>
    <t>Valuation Date: 08.02.2022</t>
  </si>
  <si>
    <t>Payment term: 10 days 4% cash discount, 28 days net - Prepayment</t>
  </si>
  <si>
    <t>Cash discount 10 Days 4 % until 18.02.2022 = 1.185,47 EUR Payment amount: 28.451,17 EUR</t>
  </si>
  <si>
    <t>28 Days net without until 08.03.2022 Payment amount: 29.636,64 EUR</t>
  </si>
  <si>
    <t>cash discounts</t>
  </si>
  <si>
    <t>Thank you for your order. We ask you to clear the invoice in advance. The goods will be send after incoming payments.</t>
  </si>
  <si>
    <t>Please always indicate your customer number 935224 and invoice number CI-2201524 when transferring the invoice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</si>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</sst>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36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552"/>
  <sheetViews>
    <sheetView topLeftCell="A16" workbookViewId="0">
      <selection activeCell="G28" sqref="G28"/>
    </sheetView>
  </sheetViews>
  <sheetFormatPr defaultRowHeight="15" x14ac:dyDescent="0.25"/>
  <cols>
    <col min="1" max="1" width="108.42578125" bestFit="1" customWidth="1"/>
    <col min="2" max="2" width="10.85546875" bestFit="1" customWidth="1"/>
    <col min="9" max="9" width="10.42578125" style="4" bestFit="1" customWidth="1"/>
  </cols>
  <sheetData>
    <row r="1" spans="1:9" x14ac:dyDescent="0.25">
      <c r="A1" t="s">
        <v>3</v>
      </c>
      <c r="B1" s="8"/>
      <c r="C1" s="8"/>
      <c r="D1" s="8"/>
      <c r="E1" s="8"/>
      <c r="F1" s="8"/>
      <c r="G1" s="8"/>
      <c r="H1" s="8"/>
      <c r="I1" s="9"/>
    </row>
    <row r="2" spans="1:9" x14ac:dyDescent="0.25">
      <c r="A2" t="s">
        <v>4</v>
      </c>
      <c r="B2" s="6"/>
      <c r="C2" s="6"/>
      <c r="D2" s="6"/>
      <c r="E2" s="6"/>
      <c r="F2" s="6"/>
      <c r="G2" s="6"/>
      <c r="H2" s="6"/>
      <c r="I2" s="7"/>
    </row>
    <row r="3" spans="1:9" x14ac:dyDescent="0.25">
      <c r="A3" t="s">
        <v>5</v>
      </c>
      <c r="B3" s="6"/>
      <c r="C3" s="6"/>
      <c r="D3" s="6"/>
      <c r="E3" s="6"/>
      <c r="F3" s="6"/>
      <c r="G3" s="6"/>
      <c r="H3" s="6"/>
      <c r="I3" s="7"/>
    </row>
    <row r="4" spans="1:9" x14ac:dyDescent="0.25">
      <c r="A4" t="s">
        <v>6</v>
      </c>
      <c r="B4" s="6"/>
      <c r="C4" s="6"/>
      <c r="D4" s="6"/>
      <c r="E4" s="6"/>
      <c r="F4" s="6"/>
      <c r="G4" s="6"/>
      <c r="H4" s="6"/>
      <c r="I4" s="7"/>
    </row>
    <row r="5" spans="1:9" x14ac:dyDescent="0.25">
      <c r="A5" t="s">
        <v>7</v>
      </c>
      <c r="B5" s="6"/>
      <c r="C5" s="6"/>
      <c r="D5" s="6"/>
      <c r="E5" s="6"/>
      <c r="F5" s="6"/>
      <c r="G5" s="6"/>
      <c r="H5" s="6"/>
      <c r="I5" s="7"/>
    </row>
    <row r="6" spans="1:9" x14ac:dyDescent="0.25">
      <c r="A6" t="s">
        <v>8</v>
      </c>
      <c r="B6" s="6"/>
      <c r="C6" s="6"/>
      <c r="D6" s="6"/>
      <c r="E6" s="6"/>
      <c r="F6" s="6"/>
      <c r="G6" s="6"/>
      <c r="H6" s="6"/>
      <c r="I6" s="7"/>
    </row>
    <row r="7" spans="1:9" x14ac:dyDescent="0.25">
      <c r="A7" s="6" t="s">
        <v>9</v>
      </c>
      <c r="B7" s="6"/>
      <c r="C7" s="6"/>
      <c r="D7" s="6"/>
      <c r="E7" s="6"/>
      <c r="F7" s="6"/>
      <c r="G7" s="6"/>
      <c r="H7" s="6"/>
      <c r="I7" s="7"/>
    </row>
    <row r="8" spans="1:9" x14ac:dyDescent="0.25">
      <c r="A8" s="6" t="s">
        <v>10</v>
      </c>
      <c r="B8" s="6"/>
      <c r="C8" s="6"/>
      <c r="D8" s="6"/>
      <c r="E8" s="6"/>
      <c r="F8" s="6"/>
      <c r="G8" s="6"/>
      <c r="H8" s="6"/>
      <c r="I8" s="7"/>
    </row>
    <row r="9" spans="1:9" x14ac:dyDescent="0.25">
      <c r="A9" s="6" t="s">
        <v>11</v>
      </c>
      <c r="B9" s="6"/>
      <c r="C9" s="6"/>
      <c r="D9" s="6"/>
      <c r="E9" s="6"/>
      <c r="F9" s="6"/>
      <c r="G9" s="6"/>
      <c r="H9" s="6"/>
      <c r="I9" s="7"/>
    </row>
    <row r="10" spans="1:9" x14ac:dyDescent="0.25">
      <c r="A10" s="6" t="s">
        <v>12</v>
      </c>
      <c r="B10" s="8"/>
      <c r="C10" s="8"/>
      <c r="D10" s="8"/>
      <c r="E10" s="8"/>
      <c r="F10" s="8"/>
      <c r="G10" s="8"/>
      <c r="H10" s="8"/>
      <c r="I10" s="9"/>
    </row>
    <row r="11" spans="1:9" x14ac:dyDescent="0.25">
      <c r="A11" s="6">
        <v>935224</v>
      </c>
      <c r="B11" s="6"/>
      <c r="C11" s="6"/>
      <c r="D11" s="6"/>
      <c r="E11" s="6"/>
      <c r="F11" s="6"/>
      <c r="G11" s="6"/>
      <c r="H11" s="6"/>
      <c r="I11" s="7"/>
    </row>
    <row r="12" spans="1:9" x14ac:dyDescent="0.25">
      <c r="A12" s="6" t="s">
        <v>13</v>
      </c>
      <c r="B12" s="6"/>
      <c r="C12" s="6"/>
      <c r="D12" s="6"/>
      <c r="E12" s="6"/>
      <c r="F12" s="6"/>
      <c r="G12" s="6"/>
      <c r="H12" s="6"/>
      <c r="I12" s="7"/>
    </row>
    <row r="13" spans="1:9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7"/>
    </row>
    <row r="14" spans="1:9" x14ac:dyDescent="0.25">
      <c r="A14" s="6" t="s">
        <v>14</v>
      </c>
      <c r="B14" s="6"/>
      <c r="C14" s="6"/>
      <c r="D14" s="6"/>
      <c r="E14" s="6"/>
      <c r="F14" s="6"/>
      <c r="G14" s="6"/>
      <c r="H14" s="6"/>
      <c r="I14" s="7"/>
    </row>
    <row r="15" spans="1:9" x14ac:dyDescent="0.25">
      <c r="A15" s="6" t="s">
        <v>15</v>
      </c>
      <c r="B15" s="6"/>
      <c r="C15" s="6"/>
      <c r="D15" s="6"/>
      <c r="E15" s="6"/>
      <c r="F15" s="6"/>
      <c r="G15" s="6"/>
      <c r="H15" s="6"/>
      <c r="I15" s="7"/>
    </row>
    <row r="16" spans="1:9" x14ac:dyDescent="0.25">
      <c r="A16" s="6" t="s">
        <v>16</v>
      </c>
      <c r="B16" s="6"/>
      <c r="C16" s="6"/>
      <c r="D16" s="6"/>
      <c r="E16" s="6"/>
      <c r="F16" s="6"/>
      <c r="G16" s="6"/>
      <c r="H16" s="6"/>
      <c r="I16" s="7"/>
    </row>
    <row r="17" spans="1:9" x14ac:dyDescent="0.25">
      <c r="A17" s="6" t="s">
        <v>17</v>
      </c>
      <c r="B17" s="6"/>
      <c r="C17" s="6"/>
      <c r="D17" s="6"/>
      <c r="E17" s="6"/>
      <c r="F17" s="6"/>
      <c r="G17" s="6"/>
      <c r="H17" s="6"/>
      <c r="I17" s="7"/>
    </row>
    <row r="18" spans="1:9" x14ac:dyDescent="0.25">
      <c r="A18" s="6" t="s">
        <v>18</v>
      </c>
      <c r="B18" s="6"/>
      <c r="C18" s="6"/>
      <c r="D18" s="6"/>
      <c r="E18" s="6"/>
      <c r="F18" s="6"/>
      <c r="G18" s="6"/>
      <c r="H18" s="6"/>
      <c r="I18" s="7"/>
    </row>
    <row r="19" spans="1:9" x14ac:dyDescent="0.25">
      <c r="A19" s="6" t="s">
        <v>19</v>
      </c>
      <c r="B19" s="6"/>
      <c r="C19" s="6"/>
      <c r="D19" s="6"/>
      <c r="E19" s="6"/>
      <c r="F19" s="6"/>
      <c r="G19" s="6"/>
      <c r="H19" s="6"/>
      <c r="I19" s="7"/>
    </row>
    <row r="20" spans="1:9" x14ac:dyDescent="0.25">
      <c r="A20" s="6" t="s">
        <v>20</v>
      </c>
      <c r="B20" s="6"/>
      <c r="C20" s="6"/>
      <c r="D20" s="6"/>
      <c r="E20" s="6"/>
      <c r="F20" s="6"/>
      <c r="G20" s="6"/>
      <c r="H20" s="6"/>
      <c r="I20" s="7"/>
    </row>
    <row r="21" spans="1:9" x14ac:dyDescent="0.25">
      <c r="A21" s="6" t="s">
        <v>21</v>
      </c>
      <c r="B21" s="6"/>
      <c r="C21" s="6"/>
      <c r="D21" s="6"/>
      <c r="E21" s="6"/>
      <c r="F21" s="6"/>
      <c r="G21" s="6"/>
      <c r="H21" s="6"/>
      <c r="I21" s="7"/>
    </row>
    <row r="22" spans="1:9" x14ac:dyDescent="0.25">
      <c r="A22" s="6" t="s">
        <v>22</v>
      </c>
      <c r="B22" s="6"/>
      <c r="C22" s="6"/>
      <c r="D22" s="6"/>
      <c r="E22" s="6"/>
      <c r="F22" s="6"/>
      <c r="G22" s="6"/>
      <c r="H22" s="6"/>
      <c r="I22" s="7"/>
    </row>
    <row r="23" spans="1:9" x14ac:dyDescent="0.25">
      <c r="A23" s="6" t="s">
        <v>23</v>
      </c>
      <c r="B23" s="6"/>
      <c r="C23" s="6"/>
      <c r="D23" s="6"/>
      <c r="E23" s="6"/>
      <c r="F23" s="6"/>
      <c r="G23" s="6"/>
      <c r="H23" s="6"/>
      <c r="I23" s="7"/>
    </row>
    <row r="24" spans="1:9" x14ac:dyDescent="0.25">
      <c r="A24" s="6" t="s">
        <v>24</v>
      </c>
      <c r="B24" s="6"/>
      <c r="C24" s="6"/>
      <c r="D24" s="6"/>
      <c r="E24" s="6"/>
      <c r="F24" s="6"/>
      <c r="G24" s="6"/>
      <c r="H24" s="6"/>
      <c r="I24" s="7"/>
    </row>
    <row r="25" spans="1:9" x14ac:dyDescent="0.25">
      <c r="A25" s="6" t="s">
        <v>25</v>
      </c>
      <c r="B25" s="8"/>
      <c r="C25" s="8"/>
      <c r="D25" s="8"/>
      <c r="E25" s="8"/>
      <c r="F25" s="8"/>
      <c r="G25" s="8"/>
      <c r="H25" s="8"/>
      <c r="I25" s="9"/>
    </row>
    <row r="26" spans="1:9" x14ac:dyDescent="0.25">
      <c r="A26" s="6" t="s">
        <v>26</v>
      </c>
      <c r="B26" s="6"/>
      <c r="C26" s="6"/>
      <c r="D26" s="6"/>
      <c r="E26" s="6"/>
      <c r="F26" s="6"/>
      <c r="G26" s="6"/>
      <c r="H26" s="6"/>
      <c r="I26" s="7"/>
    </row>
    <row r="27" spans="1:9" x14ac:dyDescent="0.25">
      <c r="A27" s="6" t="s">
        <v>27</v>
      </c>
      <c r="B27" s="6"/>
      <c r="C27" s="6"/>
      <c r="D27" s="6"/>
      <c r="E27" s="6"/>
      <c r="F27" s="6"/>
      <c r="G27" s="6"/>
      <c r="H27" s="6"/>
      <c r="I27" s="7"/>
    </row>
    <row r="28" spans="1:9" x14ac:dyDescent="0.25">
      <c r="A28" s="6" t="s">
        <v>28</v>
      </c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6" t="s">
        <v>29</v>
      </c>
      <c r="B29" s="6"/>
      <c r="C29" s="6"/>
      <c r="D29" s="6"/>
      <c r="E29" s="6"/>
      <c r="F29" s="6"/>
      <c r="G29" s="6"/>
      <c r="H29" s="6"/>
      <c r="I29" s="7"/>
    </row>
    <row r="30" spans="1:9" x14ac:dyDescent="0.25">
      <c r="A30" s="6" t="s">
        <v>30</v>
      </c>
      <c r="B30" s="6"/>
      <c r="C30" s="6"/>
      <c r="D30" s="6"/>
      <c r="E30" s="6"/>
      <c r="F30" s="6"/>
      <c r="G30" s="6"/>
      <c r="H30" s="6"/>
      <c r="I30" s="7"/>
    </row>
    <row r="31" spans="1:9" x14ac:dyDescent="0.25">
      <c r="A31" s="6" t="s">
        <v>31</v>
      </c>
      <c r="B31" s="6"/>
      <c r="C31" s="6"/>
      <c r="D31" s="6"/>
      <c r="E31" s="6"/>
      <c r="F31" s="6"/>
      <c r="G31" s="6"/>
      <c r="H31" s="6"/>
      <c r="I31" s="7"/>
    </row>
    <row r="32" spans="1:9" x14ac:dyDescent="0.25">
      <c r="A32" s="6" t="s">
        <v>32</v>
      </c>
      <c r="B32" s="6"/>
      <c r="C32" s="6"/>
      <c r="D32" s="6"/>
      <c r="E32" s="6"/>
      <c r="F32" s="6"/>
      <c r="G32" s="6"/>
      <c r="H32" s="6"/>
      <c r="I32" s="7"/>
    </row>
    <row r="33" spans="1:10" x14ac:dyDescent="0.25">
      <c r="A33" s="6" t="s">
        <v>4</v>
      </c>
      <c r="B33" s="6"/>
      <c r="C33" s="6"/>
      <c r="D33" s="6"/>
      <c r="E33" s="6"/>
      <c r="F33" s="6"/>
      <c r="G33" s="6"/>
      <c r="H33" s="6"/>
      <c r="I33" s="7"/>
    </row>
    <row r="34" spans="1:10" x14ac:dyDescent="0.25">
      <c r="A34" s="6" t="s">
        <v>5</v>
      </c>
      <c r="B34" s="6"/>
      <c r="C34" s="6"/>
      <c r="D34" s="6"/>
      <c r="E34" s="6"/>
      <c r="F34" s="6"/>
      <c r="G34" s="6"/>
      <c r="H34" s="6"/>
      <c r="I34" s="7"/>
    </row>
    <row r="35" spans="1:10" x14ac:dyDescent="0.25">
      <c r="A35" s="6" t="s">
        <v>6</v>
      </c>
      <c r="B35" s="1" t="s">
        <v>1</v>
      </c>
      <c r="C35" s="1" t="s">
        <v>0</v>
      </c>
      <c r="D35" s="1">
        <v>55</v>
      </c>
      <c r="E35" s="1">
        <v>57</v>
      </c>
      <c r="F35" s="1">
        <v>59</v>
      </c>
      <c r="G35" s="1">
        <v>61</v>
      </c>
      <c r="H35" s="1">
        <v>63</v>
      </c>
      <c r="I35" s="3" t="s">
        <v>2</v>
      </c>
    </row>
    <row r="36" spans="1:10" x14ac:dyDescent="0.25">
      <c r="A36" s="6" t="s">
        <v>33</v>
      </c>
      <c r="B36" t="str" cm="1">
        <f t="array" ref="B36">БУКВЫ(MID($A36,3,11))</f>
        <v>213840271</v>
      </c>
      <c r="C36" t="str">
        <f>_xlfn.LET(_xlpm.Searching,"OSFA",_xlpm.inStr,IFERROR(FIND(_xlpm.Searching,$A38)&gt;=1,FALSE),IF(AND(_xlpm.inStr,LEN(A38)&lt;=6),A39,""))</f>
        <v/>
      </c>
      <c r="D36" t="str">
        <f>_xlfn.LET(_xlpm.Searching,"55",_xlpm.inStr,IFERROR(FIND(_xlpm.Searching,$A38)&gt;=1,FALSE),IF(AND(_xlpm.inStr,LEN(A38)&lt;=6),A39,""))</f>
        <v/>
      </c>
      <c r="E36" t="str">
        <f>_xlfn.LET(_xlpm.Searching,"57",_xlpm.inStr,IFERROR(FIND(_xlpm.Searching,$A38)&gt;=1,FALSE),IF(AND(_xlpm.inStr,LEN(A38)&lt;=6),$A39,""))&amp;E37</f>
        <v/>
      </c>
      <c r="F36" t="str">
        <f>_xlfn.LET(_xlpm.Searching,"59",_xlpm.inStr,IFERROR(FIND(_xlpm.Searching,$A38)&gt;=1,FALSE),IF(AND(_xlpm.inStr,LEN(A38)&lt;=6),$A39,""))&amp;F37&amp;F38</f>
        <v>2</v>
      </c>
      <c r="G36" t="str">
        <f>_xlfn.LET(_xlpm.Searching,"61",_xlpm.inStr,IFERROR(FIND(_xlpm.Searching,$A38)&gt;=1,FALSE),IF(AND(_xlpm.inStr,LEN(A38)&lt;=6),$A39,""))&amp;G37&amp;G38&amp;G39</f>
        <v>1</v>
      </c>
      <c r="H36" t="str">
        <f>_xlfn.LET(_xlpm.Searching,"63",_xlpm.inStr,IFERROR(FIND(_xlpm.Searching,$A38)&gt;=1,FALSE),IF(AND(_xlpm.inStr,LEN(A38)&lt;=6),$A39,""))&amp;H37&amp;H38&amp;H39&amp;H40</f>
        <v/>
      </c>
      <c r="I36" s="4">
        <f>MID(TRIM(RIGHT(A36,10)),1,LEN(TRIM(RIGHT(A36,10)))-3)*0.8</f>
        <v>87.2</v>
      </c>
    </row>
    <row r="37" spans="1:10" x14ac:dyDescent="0.25">
      <c r="A37" s="6" t="s">
        <v>34</v>
      </c>
      <c r="B37" t="str" cm="1">
        <f t="array" ref="B37">БУКВЫ(MID($A36,3,11))</f>
        <v>213840271</v>
      </c>
      <c r="C37" s="2"/>
      <c r="D37" s="2"/>
      <c r="E37" t="str">
        <f>_xlfn.LET(_xlpm.Searching,"57",_xlpm.inStr,IFERROR(FIND(_xlpm.Searching,$A40)&gt;=1,FALSE),IF(AND(_xlpm.inStr,LEN(A40)&lt;=6),$A41,""))</f>
        <v/>
      </c>
      <c r="F37" t="str">
        <f>_xlfn.LET(_xlpm.Searching,"59",_xlpm.inStr,IFERROR(FIND(_xlpm.Searching,$A40)&gt;=1,FALSE),IF(AND(_xlpm.inStr,LEN(A40)&lt;=6),$A41,""))</f>
        <v/>
      </c>
      <c r="G37">
        <f>_xlfn.LET(_xlpm.Searching,"61",_xlpm.inStr,IFERROR(FIND(_xlpm.Searching,$A40)&gt;=1,FALSE),IF(AND(_xlpm.inStr,LEN(A40)&lt;=6),$A41,""))</f>
        <v>1</v>
      </c>
      <c r="H37" t="str">
        <f>_xlfn.LET(_xlpm.Searching,"63",_xlpm.inStr,IFERROR(FIND(_xlpm.Searching,$A40)&gt;=1,FALSE),IF(AND(_xlpm.inStr,LEN(A40)&lt;=6),$A41,""))</f>
        <v/>
      </c>
    </row>
    <row r="38" spans="1:10" x14ac:dyDescent="0.25">
      <c r="A38" s="6" t="s">
        <v>35</v>
      </c>
      <c r="B38" t="str" cm="1">
        <f t="array" ref="B38">БУКВЫ(MID($A36,3,11))</f>
        <v>213840271</v>
      </c>
      <c r="C38" s="2"/>
      <c r="D38" s="2"/>
      <c r="E38" s="2"/>
      <c r="F38" t="str">
        <f>_xlfn.LET(_xlpm.Searching,"59",_xlpm.inStr,IFERROR(FIND(_xlpm.Searching,$A42)&gt;=1,FALSE),IF(AND(_xlpm.inStr,LEN(A42)&lt;=6),$A43,""))</f>
        <v/>
      </c>
      <c r="G38" t="str">
        <f>_xlfn.LET(_xlpm.Searching,"61",_xlpm.inStr,IFERROR(FIND(_xlpm.Searching,$A42)&gt;=1,FALSE),IF(AND(_xlpm.inStr,LEN(A42)&lt;=6),$A43,""))</f>
        <v/>
      </c>
      <c r="H38" t="str">
        <f>_xlfn.LET(_xlpm.Searching,"63",_xlpm.inStr,IFERROR(FIND(_xlpm.Searching,$A42)&gt;=1,FALSE),IF(AND(_xlpm.inStr,LEN(A42)&lt;=6),$A43,""))</f>
        <v/>
      </c>
    </row>
    <row r="39" spans="1:10" x14ac:dyDescent="0.25">
      <c r="A39" s="6">
        <v>2</v>
      </c>
      <c r="B39" t="str" cm="1">
        <f t="array" ref="B39">БУКВЫ(MID($A36,3,11))</f>
        <v>213840271</v>
      </c>
      <c r="C39" s="2"/>
      <c r="D39" s="2"/>
      <c r="E39" s="2"/>
      <c r="F39" s="2"/>
      <c r="G39" t="str">
        <f>_xlfn.LET(_xlpm.Searching,"61",_xlpm.inStr,IFERROR(FIND(_xlpm.Searching,$A44)&gt;=1,FALSE),IF(AND(_xlpm.inStr,LEN(A44)&lt;=6),$A45,""))</f>
        <v/>
      </c>
      <c r="H39" t="str">
        <f>_xlfn.LET(_xlpm.Searching,"63",_xlpm.inStr,IFERROR(FIND(_xlpm.Searching,$A44)&gt;=1,FALSE),IF(AND(_xlpm.inStr,LEN(A44)&lt;=6),$A45,""))</f>
        <v/>
      </c>
    </row>
    <row r="40" spans="1:10" x14ac:dyDescent="0.25">
      <c r="A40" s="6" t="s">
        <v>36</v>
      </c>
      <c r="B40" t="str" cm="1">
        <f t="array" ref="B40">БУКВЫ(MID($A36,3,11))</f>
        <v>213840271</v>
      </c>
      <c r="C40" s="2"/>
      <c r="D40" s="2"/>
      <c r="E40" s="2"/>
      <c r="F40" s="2"/>
      <c r="G40" s="2"/>
      <c r="H40" t="str">
        <f>_xlfn.LET(_xlpm.Searching,"63",_xlpm.inStr,IFERROR(FIND(_xlpm.Searching,$A46)&gt;=1,FALSE),IF(AND(_xlpm.inStr,LEN(A46)&lt;=6),$A47,""))</f>
        <v/>
      </c>
    </row>
    <row r="41" spans="1:10" x14ac:dyDescent="0.25">
      <c r="A41" s="6">
        <v>1</v>
      </c>
      <c r="B41" s="6"/>
      <c r="C41" s="6"/>
      <c r="D41" s="6"/>
      <c r="E41" s="6"/>
      <c r="F41" s="6"/>
      <c r="G41" s="6"/>
      <c r="H41" s="6"/>
      <c r="I41" s="7"/>
    </row>
    <row r="42" spans="1:10" x14ac:dyDescent="0.25">
      <c r="A42" s="6" t="s">
        <v>37</v>
      </c>
      <c r="B42" s="6"/>
      <c r="C42" s="6"/>
      <c r="D42" s="6"/>
      <c r="E42" s="6"/>
      <c r="F42" s="6"/>
      <c r="G42" s="6"/>
      <c r="H42" s="6"/>
      <c r="I42" s="7"/>
    </row>
    <row r="43" spans="1:10" x14ac:dyDescent="0.25">
      <c r="A43" s="6" t="s">
        <v>38</v>
      </c>
      <c r="B43" s="6"/>
      <c r="C43" s="6"/>
      <c r="D43" s="6"/>
      <c r="E43" s="6"/>
      <c r="F43" s="6"/>
      <c r="G43" s="6"/>
      <c r="H43" s="6"/>
      <c r="I43" s="7"/>
    </row>
    <row r="44" spans="1:10" x14ac:dyDescent="0.25">
      <c r="A44" s="6" t="s">
        <v>39</v>
      </c>
      <c r="B44" s="1" t="s">
        <v>1</v>
      </c>
      <c r="C44" s="1" t="s">
        <v>0</v>
      </c>
      <c r="D44" s="1">
        <v>55</v>
      </c>
      <c r="E44" s="1">
        <v>57</v>
      </c>
      <c r="F44" s="1">
        <v>59</v>
      </c>
      <c r="G44" s="1">
        <v>61</v>
      </c>
      <c r="H44" s="1">
        <v>63</v>
      </c>
      <c r="I44" s="3" t="s">
        <v>2</v>
      </c>
      <c r="J44" s="6"/>
    </row>
    <row r="45" spans="1:10" x14ac:dyDescent="0.25">
      <c r="A45" s="6" t="s">
        <v>40</v>
      </c>
      <c r="B45" t="str" cm="1">
        <f t="array" ref="B45">БУКВЫ(MID($A45,3,11))</f>
        <v>24785057</v>
      </c>
      <c r="C45" t="str">
        <f>_xlfn.LET(_xlpm.Searching,"OSFA",_xlpm.inStr,IFERROR(FIND(_xlpm.Searching,$A47)&gt;=1,FALSE),IF(AND(_xlpm.inStr,LEN(A47)&lt;=6),A48,""))</f>
        <v/>
      </c>
      <c r="D45">
        <f>_xlfn.LET(_xlpm.Searching,"55",_xlpm.inStr,IFERROR(FIND(_xlpm.Searching,$A47)&gt;=1,FALSE),IF(AND(_xlpm.inStr,LEN(A47)&lt;=6),A48,""))</f>
        <v>2</v>
      </c>
      <c r="E45" t="str">
        <f>_xlfn.LET(_xlpm.Searching,"57",_xlpm.inStr,IFERROR(FIND(_xlpm.Searching,$A47)&gt;=1,FALSE),IF(AND(_xlpm.inStr,LEN(A47)&lt;=6),$A48,""))&amp;E46</f>
        <v>3</v>
      </c>
      <c r="F45" t="str">
        <f>_xlfn.LET(_xlpm.Searching,"59",_xlpm.inStr,IFERROR(FIND(_xlpm.Searching,$A47)&gt;=1,FALSE),IF(AND(_xlpm.inStr,LEN(A47)&lt;=6),$A48,""))&amp;F46&amp;F47</f>
        <v>4</v>
      </c>
      <c r="G45" t="str">
        <f>_xlfn.LET(_xlpm.Searching,"61",_xlpm.inStr,IFERROR(FIND(_xlpm.Searching,$A47)&gt;=1,FALSE),IF(AND(_xlpm.inStr,LEN(A47)&lt;=6),$A48,""))&amp;G46&amp;G47&amp;G48</f>
        <v>5</v>
      </c>
      <c r="H45" t="str">
        <f>_xlfn.LET(_xlpm.Searching,"63",_xlpm.inStr,IFERROR(FIND(_xlpm.Searching,$A47)&gt;=1,FALSE),IF(AND(_xlpm.inStr,LEN(A47)&lt;=6),$A48,""))&amp;H46&amp;H47&amp;H48&amp;H49</f>
        <v>5</v>
      </c>
      <c r="I45" s="4">
        <f>MID(TRIM(RIGHT(A45,10)),1,LEN(TRIM(RIGHT(A45,10)))-3)*0.8</f>
        <v>23.92</v>
      </c>
      <c r="J45" s="6"/>
    </row>
    <row r="46" spans="1:10" x14ac:dyDescent="0.25">
      <c r="A46" s="6" t="s">
        <v>41</v>
      </c>
      <c r="B46" t="str" cm="1">
        <f t="array" ref="B46">БУКВЫ(MID($A45,3,11))</f>
        <v>24785057</v>
      </c>
      <c r="C46" s="2"/>
      <c r="D46" s="2"/>
      <c r="E46">
        <f>_xlfn.LET(_xlpm.Searching,"57",_xlpm.inStr,IFERROR(FIND(_xlpm.Searching,$A49)&gt;=1,FALSE),IF(AND(_xlpm.inStr,LEN(A49)&lt;=6),$A50,""))</f>
        <v>3</v>
      </c>
      <c r="F46" t="str">
        <f>_xlfn.LET(_xlpm.Searching,"59",_xlpm.inStr,IFERROR(FIND(_xlpm.Searching,$A49)&gt;=1,FALSE),IF(AND(_xlpm.inStr,LEN(A49)&lt;=6),$A50,""))</f>
        <v/>
      </c>
      <c r="G46" t="str">
        <f>_xlfn.LET(_xlpm.Searching,"61",_xlpm.inStr,IFERROR(FIND(_xlpm.Searching,$A49)&gt;=1,FALSE),IF(AND(_xlpm.inStr,LEN(A49)&lt;=6),$A50,""))</f>
        <v/>
      </c>
      <c r="H46" t="str">
        <f>_xlfn.LET(_xlpm.Searching,"63",_xlpm.inStr,IFERROR(FIND(_xlpm.Searching,$A49)&gt;=1,FALSE),IF(AND(_xlpm.inStr,LEN(A49)&lt;=6),$A50,""))</f>
        <v/>
      </c>
      <c r="J46" s="6"/>
    </row>
    <row r="47" spans="1:10" x14ac:dyDescent="0.25">
      <c r="A47" s="6" t="s">
        <v>42</v>
      </c>
      <c r="B47" t="str" cm="1">
        <f t="array" ref="B47">БУКВЫ(MID($A45,3,11))</f>
        <v>24785057</v>
      </c>
      <c r="C47" s="2"/>
      <c r="D47" s="2"/>
      <c r="E47" s="2"/>
      <c r="F47">
        <f>_xlfn.LET(_xlpm.Searching,"59",_xlpm.inStr,IFERROR(FIND(_xlpm.Searching,$A51)&gt;=1,FALSE),IF(AND(_xlpm.inStr,LEN(A51)&lt;=6),$A52,""))</f>
        <v>4</v>
      </c>
      <c r="G47" t="str">
        <f>_xlfn.LET(_xlpm.Searching,"61",_xlpm.inStr,IFERROR(FIND(_xlpm.Searching,$A51)&gt;=1,FALSE),IF(AND(_xlpm.inStr,LEN(A51)&lt;=6),$A52,""))</f>
        <v/>
      </c>
      <c r="H47" t="str">
        <f>_xlfn.LET(_xlpm.Searching,"63",_xlpm.inStr,IFERROR(FIND(_xlpm.Searching,$A51)&gt;=1,FALSE),IF(AND(_xlpm.inStr,LEN(A51)&lt;=6),$A52,""))</f>
        <v/>
      </c>
      <c r="J47" s="6"/>
    </row>
    <row r="48" spans="1:10" x14ac:dyDescent="0.25">
      <c r="A48" s="6">
        <v>2</v>
      </c>
      <c r="B48" t="str" cm="1">
        <f t="array" ref="B48">БУКВЫ(MID($A45,3,11))</f>
        <v>24785057</v>
      </c>
      <c r="C48" s="2"/>
      <c r="D48" s="2"/>
      <c r="E48" s="2"/>
      <c r="F48" s="2"/>
      <c r="G48">
        <f>_xlfn.LET(_xlpm.Searching,"61",_xlpm.inStr,IFERROR(FIND(_xlpm.Searching,$A53)&gt;=1,FALSE),IF(AND(_xlpm.inStr,LEN(A53)&lt;=6),$A54,""))</f>
        <v>5</v>
      </c>
      <c r="H48" t="str">
        <f>_xlfn.LET(_xlpm.Searching,"63",_xlpm.inStr,IFERROR(FIND(_xlpm.Searching,$A53)&gt;=1,FALSE),IF(AND(_xlpm.inStr,LEN(A53)&lt;=6),$A54,""))</f>
        <v/>
      </c>
      <c r="J48" s="6"/>
    </row>
    <row r="49" spans="1:10" x14ac:dyDescent="0.25">
      <c r="A49" s="6" t="s">
        <v>43</v>
      </c>
      <c r="B49" t="str" cm="1">
        <f t="array" ref="B49">БУКВЫ(MID($A45,3,11))</f>
        <v>24785057</v>
      </c>
      <c r="C49" s="2"/>
      <c r="D49" s="2"/>
      <c r="E49" s="2"/>
      <c r="F49" s="2"/>
      <c r="G49" s="2"/>
      <c r="H49">
        <f>_xlfn.LET(_xlpm.Searching,"63",_xlpm.inStr,IFERROR(FIND(_xlpm.Searching,$A55)&gt;=1,FALSE),IF(AND(_xlpm.inStr,LEN(A55)&lt;=6),$A56,""))</f>
        <v>5</v>
      </c>
      <c r="J49" s="6"/>
    </row>
    <row r="50" spans="1:10" x14ac:dyDescent="0.25">
      <c r="A50" s="6">
        <v>3</v>
      </c>
      <c r="B50" s="6"/>
      <c r="C50" s="6"/>
      <c r="D50" s="6"/>
      <c r="E50" s="6"/>
      <c r="F50" s="6"/>
      <c r="G50" s="6"/>
      <c r="H50" s="6"/>
      <c r="I50" s="7"/>
      <c r="J50" s="6"/>
    </row>
    <row r="51" spans="1:10" x14ac:dyDescent="0.25">
      <c r="A51" s="6" t="s">
        <v>35</v>
      </c>
      <c r="B51" s="6"/>
      <c r="C51" s="6"/>
      <c r="D51" s="6"/>
      <c r="E51" s="6"/>
      <c r="F51" s="6"/>
      <c r="G51" s="6"/>
      <c r="H51" s="6"/>
      <c r="I51" s="7"/>
      <c r="J51" s="6"/>
    </row>
    <row r="52" spans="1:10" x14ac:dyDescent="0.25">
      <c r="A52" s="6">
        <v>4</v>
      </c>
      <c r="B52" s="6"/>
      <c r="C52" s="6"/>
      <c r="D52" s="6"/>
      <c r="E52" s="6"/>
      <c r="F52" s="6"/>
      <c r="G52" s="6"/>
      <c r="H52" s="6"/>
      <c r="I52" s="7"/>
      <c r="J52" s="6"/>
    </row>
    <row r="53" spans="1:10" x14ac:dyDescent="0.25">
      <c r="A53" s="6" t="s">
        <v>36</v>
      </c>
      <c r="B53" s="8"/>
      <c r="C53" s="8"/>
      <c r="D53" s="8"/>
      <c r="E53" s="8"/>
      <c r="F53" s="8"/>
      <c r="G53" s="8"/>
      <c r="H53" s="8"/>
      <c r="I53" s="9"/>
      <c r="J53" s="6"/>
    </row>
    <row r="54" spans="1:10" x14ac:dyDescent="0.25">
      <c r="A54" s="6">
        <v>5</v>
      </c>
      <c r="B54" s="6"/>
      <c r="C54" s="6"/>
      <c r="D54" s="6"/>
      <c r="E54" s="6"/>
      <c r="F54" s="6"/>
      <c r="G54" s="6"/>
      <c r="H54" s="6"/>
      <c r="I54" s="7"/>
      <c r="J54" s="6"/>
    </row>
    <row r="55" spans="1:10" x14ac:dyDescent="0.25">
      <c r="A55" s="6" t="s">
        <v>44</v>
      </c>
      <c r="B55" s="6"/>
      <c r="C55" s="6"/>
      <c r="D55" s="6"/>
      <c r="E55" s="6"/>
      <c r="F55" s="6"/>
      <c r="G55" s="6"/>
      <c r="H55" s="6"/>
      <c r="I55" s="7"/>
      <c r="J55" s="6"/>
    </row>
    <row r="56" spans="1:10" x14ac:dyDescent="0.25">
      <c r="A56" s="6">
        <v>5</v>
      </c>
      <c r="B56" s="6"/>
      <c r="C56" s="6"/>
      <c r="D56" s="6"/>
      <c r="E56" s="6"/>
      <c r="F56" s="6"/>
      <c r="G56" s="6"/>
      <c r="H56" s="6"/>
      <c r="I56" s="7"/>
      <c r="J56" s="6"/>
    </row>
    <row r="57" spans="1:10" x14ac:dyDescent="0.25">
      <c r="A57" s="6" t="s">
        <v>45</v>
      </c>
      <c r="B57" s="6"/>
      <c r="C57" s="6"/>
      <c r="D57" s="6"/>
      <c r="E57" s="6"/>
      <c r="F57" s="6"/>
      <c r="G57" s="6"/>
      <c r="H57" s="6"/>
      <c r="I57" s="7"/>
      <c r="J57" s="6"/>
    </row>
    <row r="58" spans="1:10" x14ac:dyDescent="0.25">
      <c r="A58" s="6" t="s">
        <v>46</v>
      </c>
      <c r="B58" s="6"/>
      <c r="C58" s="6"/>
      <c r="D58" s="6"/>
      <c r="E58" s="6"/>
      <c r="F58" s="6"/>
      <c r="G58" s="6"/>
      <c r="H58" s="6"/>
      <c r="I58" s="7"/>
      <c r="J58" s="6"/>
    </row>
    <row r="59" spans="1:10" x14ac:dyDescent="0.25">
      <c r="A59" s="6" t="s">
        <v>47</v>
      </c>
      <c r="B59" s="1" t="s">
        <v>1</v>
      </c>
      <c r="C59" s="1" t="s">
        <v>0</v>
      </c>
      <c r="D59" s="1">
        <v>55</v>
      </c>
      <c r="E59" s="1">
        <v>57</v>
      </c>
      <c r="F59" s="1">
        <v>59</v>
      </c>
      <c r="G59" s="1">
        <v>61</v>
      </c>
      <c r="H59" s="1">
        <v>63</v>
      </c>
      <c r="I59" s="3" t="s">
        <v>2</v>
      </c>
      <c r="J59" s="6"/>
    </row>
    <row r="60" spans="1:10" x14ac:dyDescent="0.25">
      <c r="A60" s="6" t="s">
        <v>48</v>
      </c>
      <c r="B60" t="str" cm="1">
        <f t="array" ref="B60">БУКВЫ(MID($A60,3,11))</f>
        <v>775119082</v>
      </c>
      <c r="C60">
        <f>_xlfn.LET(_xlpm.Searching,"OSFA",_xlpm.inStr,IFERROR(FIND(_xlpm.Searching,$A62)&gt;=1,FALSE),IF(AND(_xlpm.inStr,LEN(A62)&lt;=6),A63,""))</f>
        <v>110</v>
      </c>
      <c r="D60" t="str">
        <f>_xlfn.LET(_xlpm.Searching,"55",_xlpm.inStr,IFERROR(FIND(_xlpm.Searching,$A62)&gt;=1,FALSE),IF(AND(_xlpm.inStr,LEN(A62)&lt;=6),A63,""))</f>
        <v/>
      </c>
      <c r="E60" t="str">
        <f>_xlfn.LET(_xlpm.Searching,"57",_xlpm.inStr,IFERROR(FIND(_xlpm.Searching,$A62)&gt;=1,FALSE),IF(AND(_xlpm.inStr,LEN(A62)&lt;=6),$A63,""))&amp;E61</f>
        <v/>
      </c>
      <c r="F60" t="str">
        <f>_xlfn.LET(_xlpm.Searching,"59",_xlpm.inStr,IFERROR(FIND(_xlpm.Searching,$A62)&gt;=1,FALSE),IF(AND(_xlpm.inStr,LEN(A62)&lt;=6),$A63,""))&amp;F61&amp;F62</f>
        <v/>
      </c>
      <c r="G60" t="str">
        <f>_xlfn.LET(_xlpm.Searching,"61",_xlpm.inStr,IFERROR(FIND(_xlpm.Searching,$A62)&gt;=1,FALSE),IF(AND(_xlpm.inStr,LEN(A62)&lt;=6),$A63,""))&amp;G61&amp;G62&amp;G63</f>
        <v/>
      </c>
      <c r="H60" t="str">
        <f>_xlfn.LET(_xlpm.Searching,"63",_xlpm.inStr,IFERROR(FIND(_xlpm.Searching,$A62)&gt;=1,FALSE),IF(AND(_xlpm.inStr,LEN(A62)&lt;=6),$A63,""))&amp;H61&amp;H62&amp;H63&amp;H64</f>
        <v/>
      </c>
      <c r="I60" s="4">
        <f>MID(TRIM(RIGHT(A60,10)),1,LEN(TRIM(RIGHT(A60,10)))-3)*0.8</f>
        <v>11.920000000000002</v>
      </c>
      <c r="J60" s="6"/>
    </row>
    <row r="61" spans="1:10" x14ac:dyDescent="0.25">
      <c r="A61" s="6" t="s">
        <v>49</v>
      </c>
      <c r="B61" t="str" cm="1">
        <f t="array" ref="B61">БУКВЫ(MID($A60,3,11))</f>
        <v>775119082</v>
      </c>
      <c r="C61" s="2"/>
      <c r="D61" s="2"/>
      <c r="E61" t="str">
        <f>_xlfn.LET(_xlpm.Searching,"57",_xlpm.inStr,IFERROR(FIND(_xlpm.Searching,$A64)&gt;=1,FALSE),IF(AND(_xlpm.inStr,LEN(A64)&lt;=6),$A65,""))</f>
        <v/>
      </c>
      <c r="F61" t="str">
        <f>_xlfn.LET(_xlpm.Searching,"59",_xlpm.inStr,IFERROR(FIND(_xlpm.Searching,$A64)&gt;=1,FALSE),IF(AND(_xlpm.inStr,LEN(A64)&lt;=6),$A65,""))</f>
        <v/>
      </c>
      <c r="G61" t="str">
        <f>_xlfn.LET(_xlpm.Searching,"61",_xlpm.inStr,IFERROR(FIND(_xlpm.Searching,$A64)&gt;=1,FALSE),IF(AND(_xlpm.inStr,LEN(A64)&lt;=6),$A65,""))</f>
        <v/>
      </c>
      <c r="H61" t="str">
        <f>_xlfn.LET(_xlpm.Searching,"63",_xlpm.inStr,IFERROR(FIND(_xlpm.Searching,$A64)&gt;=1,FALSE),IF(AND(_xlpm.inStr,LEN(A64)&lt;=6),$A65,""))</f>
        <v/>
      </c>
      <c r="J61" s="6"/>
    </row>
    <row r="62" spans="1:10" x14ac:dyDescent="0.25">
      <c r="A62" s="6" t="s">
        <v>0</v>
      </c>
      <c r="B62" t="str" cm="1">
        <f t="array" ref="B62">БУКВЫ(MID($A60,3,11))</f>
        <v>775119082</v>
      </c>
      <c r="C62" s="2"/>
      <c r="D62" s="2"/>
      <c r="E62" s="2"/>
      <c r="F62" t="str">
        <f>_xlfn.LET(_xlpm.Searching,"59",_xlpm.inStr,IFERROR(FIND(_xlpm.Searching,$A66)&gt;=1,FALSE),IF(AND(_xlpm.inStr,LEN(A66)&lt;=6),$A67,""))</f>
        <v/>
      </c>
      <c r="G62" t="str">
        <f>_xlfn.LET(_xlpm.Searching,"61",_xlpm.inStr,IFERROR(FIND(_xlpm.Searching,$A66)&gt;=1,FALSE),IF(AND(_xlpm.inStr,LEN(A66)&lt;=6),$A67,""))</f>
        <v/>
      </c>
      <c r="H62" t="str">
        <f>_xlfn.LET(_xlpm.Searching,"63",_xlpm.inStr,IFERROR(FIND(_xlpm.Searching,$A66)&gt;=1,FALSE),IF(AND(_xlpm.inStr,LEN(A66)&lt;=6),$A67,""))</f>
        <v/>
      </c>
      <c r="J62" s="6"/>
    </row>
    <row r="63" spans="1:10" x14ac:dyDescent="0.25">
      <c r="A63" s="6">
        <v>110</v>
      </c>
      <c r="B63" t="str" cm="1">
        <f t="array" ref="B63">БУКВЫ(MID($A60,3,11))</f>
        <v>775119082</v>
      </c>
      <c r="C63" s="2"/>
      <c r="D63" s="2"/>
      <c r="E63" s="2"/>
      <c r="F63" s="2"/>
      <c r="G63" t="str">
        <f>_xlfn.LET(_xlpm.Searching,"61",_xlpm.inStr,IFERROR(FIND(_xlpm.Searching,$A68)&gt;=1,FALSE),IF(AND(_xlpm.inStr,LEN(A68)&lt;=6),$A69,""))</f>
        <v/>
      </c>
      <c r="H63" t="str">
        <f>_xlfn.LET(_xlpm.Searching,"63",_xlpm.inStr,IFERROR(FIND(_xlpm.Searching,$A68)&gt;=1,FALSE),IF(AND(_xlpm.inStr,LEN(A68)&lt;=6),$A69,""))</f>
        <v/>
      </c>
      <c r="J63" s="6"/>
    </row>
    <row r="64" spans="1:10" x14ac:dyDescent="0.25">
      <c r="A64" s="6" t="s">
        <v>50</v>
      </c>
      <c r="B64" t="str" cm="1">
        <f t="array" ref="B64">БУКВЫ(MID($A60,3,11))</f>
        <v>775119082</v>
      </c>
      <c r="C64" s="2"/>
      <c r="D64" s="2"/>
      <c r="E64" s="2"/>
      <c r="F64" s="2"/>
      <c r="G64" s="2"/>
      <c r="H64" t="str">
        <f>_xlfn.LET(_xlpm.Searching,"63",_xlpm.inStr,IFERROR(FIND(_xlpm.Searching,$A70)&gt;=1,FALSE),IF(AND(_xlpm.inStr,LEN(A70)&lt;=6),$A71,""))</f>
        <v/>
      </c>
      <c r="J64" s="6"/>
    </row>
    <row r="65" spans="1:10" x14ac:dyDescent="0.25">
      <c r="A65" s="6" t="s">
        <v>51</v>
      </c>
      <c r="B65" s="6"/>
      <c r="C65" s="6"/>
      <c r="D65" s="6"/>
      <c r="E65" s="6"/>
      <c r="F65" s="6"/>
      <c r="G65" s="6"/>
      <c r="H65" s="6"/>
      <c r="I65" s="7"/>
      <c r="J65" s="6"/>
    </row>
    <row r="66" spans="1:10" x14ac:dyDescent="0.25">
      <c r="A66" s="6" t="s">
        <v>52</v>
      </c>
      <c r="B66" s="6"/>
      <c r="C66" s="6"/>
      <c r="D66" s="6"/>
      <c r="E66" s="6"/>
      <c r="F66" s="6"/>
      <c r="G66" s="6"/>
      <c r="H66" s="6"/>
      <c r="I66" s="7"/>
      <c r="J66" s="6"/>
    </row>
    <row r="67" spans="1:10" x14ac:dyDescent="0.25">
      <c r="A67" s="6" t="s">
        <v>20</v>
      </c>
      <c r="B67" s="6"/>
      <c r="C67" s="6"/>
      <c r="D67" s="6"/>
      <c r="E67" s="6"/>
      <c r="F67" s="6"/>
      <c r="G67" s="6"/>
      <c r="H67" s="6"/>
      <c r="I67" s="7"/>
      <c r="J67" s="6"/>
    </row>
    <row r="68" spans="1:10" x14ac:dyDescent="0.25">
      <c r="A68" s="6" t="s">
        <v>53</v>
      </c>
      <c r="B68" s="6"/>
      <c r="C68" s="6"/>
      <c r="D68" s="6"/>
      <c r="E68" s="6"/>
      <c r="F68" s="6"/>
      <c r="G68" s="6"/>
      <c r="H68" s="6"/>
      <c r="I68" s="7"/>
      <c r="J68" s="6"/>
    </row>
    <row r="69" spans="1:10" x14ac:dyDescent="0.25">
      <c r="A69" s="6" t="s">
        <v>54</v>
      </c>
      <c r="B69" s="6"/>
      <c r="C69" s="6"/>
      <c r="D69" s="6"/>
      <c r="E69" s="6"/>
      <c r="F69" s="6"/>
      <c r="G69" s="6"/>
      <c r="H69" s="6"/>
      <c r="I69" s="7"/>
      <c r="J69" s="6"/>
    </row>
    <row r="70" spans="1:10" x14ac:dyDescent="0.25">
      <c r="A70" s="6" t="s">
        <v>55</v>
      </c>
      <c r="B70" s="6"/>
      <c r="C70" s="6"/>
      <c r="D70" s="6"/>
      <c r="E70" s="6"/>
      <c r="F70" s="6"/>
      <c r="G70" s="6"/>
      <c r="H70" s="6"/>
      <c r="I70" s="7"/>
      <c r="J70" s="6"/>
    </row>
    <row r="71" spans="1:10" x14ac:dyDescent="0.25">
      <c r="A71" s="6" t="s">
        <v>56</v>
      </c>
      <c r="B71" s="8"/>
      <c r="C71" s="8"/>
      <c r="D71" s="8"/>
      <c r="E71" s="8"/>
      <c r="F71" s="8"/>
      <c r="G71" s="8"/>
      <c r="H71" s="8"/>
      <c r="I71" s="9"/>
      <c r="J71" s="6"/>
    </row>
    <row r="72" spans="1:10" x14ac:dyDescent="0.25">
      <c r="A72" s="6" t="s">
        <v>57</v>
      </c>
      <c r="B72" s="6"/>
      <c r="C72" s="6"/>
      <c r="D72" s="6"/>
      <c r="E72" s="6"/>
      <c r="F72" s="6"/>
      <c r="G72" s="6"/>
      <c r="H72" s="6"/>
      <c r="I72" s="7"/>
      <c r="J72" s="6"/>
    </row>
    <row r="73" spans="1:10" x14ac:dyDescent="0.25">
      <c r="A73" s="6" t="s">
        <v>58</v>
      </c>
      <c r="B73" s="6"/>
      <c r="C73" s="6"/>
      <c r="D73" s="6"/>
      <c r="E73" s="6"/>
      <c r="F73" s="6"/>
      <c r="G73" s="6"/>
      <c r="H73" s="6"/>
      <c r="I73" s="7"/>
      <c r="J73" s="6"/>
    </row>
    <row r="74" spans="1:10" x14ac:dyDescent="0.25">
      <c r="A74" s="6" t="s">
        <v>59</v>
      </c>
      <c r="B74" s="6"/>
      <c r="C74" s="6"/>
      <c r="D74" s="6"/>
      <c r="E74" s="6"/>
      <c r="F74" s="6"/>
      <c r="G74" s="6"/>
      <c r="H74" s="6"/>
      <c r="I74" s="7"/>
      <c r="J74" s="6"/>
    </row>
    <row r="75" spans="1:10" x14ac:dyDescent="0.25">
      <c r="A75" s="6" t="s">
        <v>60</v>
      </c>
      <c r="B75" s="6"/>
      <c r="C75" s="6"/>
      <c r="D75" s="6"/>
      <c r="E75" s="6"/>
      <c r="F75" s="6"/>
      <c r="G75" s="6"/>
      <c r="H75" s="6"/>
      <c r="I75" s="7"/>
      <c r="J75" s="6"/>
    </row>
    <row r="76" spans="1:10" x14ac:dyDescent="0.25">
      <c r="A76" s="6" t="s">
        <v>61</v>
      </c>
      <c r="B76" s="6"/>
      <c r="C76" s="6"/>
      <c r="D76" s="6"/>
      <c r="E76" s="6"/>
      <c r="F76" s="6"/>
      <c r="G76" s="6"/>
      <c r="H76" s="6"/>
      <c r="I76" s="7"/>
      <c r="J76" s="6"/>
    </row>
    <row r="77" spans="1:10" x14ac:dyDescent="0.25">
      <c r="A77" s="6" t="s">
        <v>62</v>
      </c>
      <c r="B77" s="6"/>
      <c r="C77" s="6"/>
      <c r="D77" s="6"/>
      <c r="E77" s="6"/>
      <c r="F77" s="6"/>
      <c r="G77" s="6"/>
      <c r="H77" s="6"/>
      <c r="I77" s="7"/>
      <c r="J77" s="6"/>
    </row>
    <row r="78" spans="1:10" x14ac:dyDescent="0.25">
      <c r="A78" s="6" t="s">
        <v>63</v>
      </c>
      <c r="B78" s="8"/>
      <c r="C78" s="8"/>
      <c r="D78" s="8"/>
      <c r="E78" s="8"/>
      <c r="F78" s="8"/>
      <c r="G78" s="8"/>
      <c r="H78" s="8"/>
      <c r="I78" s="9"/>
      <c r="J78" s="6"/>
    </row>
    <row r="79" spans="1:10" x14ac:dyDescent="0.25">
      <c r="A79" s="6" t="s">
        <v>64</v>
      </c>
      <c r="B79" s="6"/>
      <c r="C79" s="6"/>
      <c r="D79" s="6"/>
      <c r="E79" s="6"/>
      <c r="F79" s="6"/>
      <c r="G79" s="6"/>
      <c r="H79" s="6"/>
      <c r="I79" s="7"/>
      <c r="J79" s="6"/>
    </row>
    <row r="80" spans="1:10" x14ac:dyDescent="0.25">
      <c r="A80" s="6" t="s">
        <v>65</v>
      </c>
      <c r="B80" s="6"/>
      <c r="C80" s="6"/>
      <c r="D80" s="6"/>
      <c r="E80" s="6"/>
      <c r="F80" s="6"/>
      <c r="G80" s="6"/>
      <c r="H80" s="6"/>
      <c r="I80" s="7"/>
      <c r="J80" s="6"/>
    </row>
    <row r="81" spans="1:10" x14ac:dyDescent="0.25">
      <c r="A81" s="6" t="s">
        <v>66</v>
      </c>
      <c r="B81" s="6"/>
      <c r="C81" s="6"/>
      <c r="D81" s="6"/>
      <c r="E81" s="6"/>
      <c r="F81" s="6"/>
      <c r="G81" s="6"/>
      <c r="H81" s="6"/>
      <c r="I81" s="7"/>
      <c r="J81" s="6"/>
    </row>
    <row r="82" spans="1:10" x14ac:dyDescent="0.25">
      <c r="A82" s="6" t="s">
        <v>8</v>
      </c>
      <c r="B82" s="6"/>
      <c r="C82" s="6"/>
      <c r="D82" s="6"/>
      <c r="E82" s="6"/>
      <c r="F82" s="6"/>
      <c r="G82" s="6"/>
      <c r="H82" s="6"/>
      <c r="I82" s="7"/>
      <c r="J82" s="6"/>
    </row>
    <row r="83" spans="1:10" x14ac:dyDescent="0.25">
      <c r="A83" s="6" t="s">
        <v>67</v>
      </c>
      <c r="B83" s="6"/>
      <c r="C83" s="6"/>
      <c r="D83" s="6"/>
      <c r="E83" s="6"/>
      <c r="F83" s="6"/>
      <c r="G83" s="6"/>
      <c r="H83" s="6"/>
      <c r="I83" s="7"/>
      <c r="J83" s="6"/>
    </row>
    <row r="84" spans="1:10" x14ac:dyDescent="0.25">
      <c r="A84" s="6" t="s">
        <v>68</v>
      </c>
      <c r="B84" s="6"/>
      <c r="C84" s="6"/>
      <c r="D84" s="6"/>
      <c r="E84" s="6"/>
      <c r="F84" s="6"/>
      <c r="G84" s="6"/>
      <c r="H84" s="6"/>
      <c r="I84" s="7"/>
      <c r="J84" s="6"/>
    </row>
    <row r="85" spans="1:10" x14ac:dyDescent="0.25">
      <c r="A85" s="6" t="s">
        <v>23</v>
      </c>
      <c r="B85" s="8"/>
      <c r="C85" s="8"/>
      <c r="D85" s="8"/>
      <c r="E85" s="8"/>
      <c r="F85" s="8"/>
      <c r="G85" s="8"/>
      <c r="H85" s="8"/>
      <c r="I85" s="9"/>
      <c r="J85" s="6"/>
    </row>
    <row r="86" spans="1:10" x14ac:dyDescent="0.25">
      <c r="A86" s="6" t="s">
        <v>24</v>
      </c>
      <c r="B86" s="6"/>
      <c r="C86" s="6"/>
      <c r="D86" s="6"/>
      <c r="E86" s="6"/>
      <c r="F86" s="6"/>
      <c r="G86" s="6"/>
      <c r="H86" s="6"/>
      <c r="I86" s="7"/>
      <c r="J86" s="6"/>
    </row>
    <row r="87" spans="1:10" x14ac:dyDescent="0.25">
      <c r="A87" s="6" t="s">
        <v>25</v>
      </c>
      <c r="B87" s="6"/>
      <c r="C87" s="6"/>
      <c r="D87" s="6"/>
      <c r="E87" s="6"/>
      <c r="F87" s="6"/>
      <c r="G87" s="6"/>
      <c r="H87" s="6"/>
      <c r="I87" s="7"/>
      <c r="J87" s="6"/>
    </row>
    <row r="88" spans="1:10" x14ac:dyDescent="0.25">
      <c r="A88" s="6" t="s">
        <v>26</v>
      </c>
      <c r="B88" s="6"/>
      <c r="C88" s="6"/>
      <c r="D88" s="6"/>
      <c r="E88" s="6"/>
      <c r="F88" s="6"/>
      <c r="G88" s="6"/>
      <c r="H88" s="6"/>
      <c r="I88" s="7"/>
      <c r="J88" s="6"/>
    </row>
    <row r="89" spans="1:10" x14ac:dyDescent="0.25">
      <c r="A89" s="6" t="s">
        <v>27</v>
      </c>
      <c r="B89" s="6"/>
      <c r="C89" s="6"/>
      <c r="D89" s="6"/>
      <c r="E89" s="6"/>
      <c r="F89" s="6"/>
      <c r="G89" s="6"/>
      <c r="H89" s="6"/>
      <c r="I89" s="7"/>
      <c r="J89" s="6"/>
    </row>
    <row r="90" spans="1:10" x14ac:dyDescent="0.25">
      <c r="A90" s="6" t="s">
        <v>28</v>
      </c>
      <c r="B90" s="6"/>
      <c r="C90" s="6"/>
      <c r="D90" s="6"/>
      <c r="E90" s="6"/>
      <c r="F90" s="6"/>
      <c r="G90" s="6"/>
      <c r="H90" s="6"/>
      <c r="I90" s="7"/>
      <c r="J90" s="6"/>
    </row>
    <row r="91" spans="1:10" x14ac:dyDescent="0.25">
      <c r="A91" s="6" t="s">
        <v>29</v>
      </c>
      <c r="B91" s="1" t="s">
        <v>1</v>
      </c>
      <c r="C91" s="1" t="s">
        <v>0</v>
      </c>
      <c r="D91" s="1">
        <v>55</v>
      </c>
      <c r="E91" s="1">
        <v>57</v>
      </c>
      <c r="F91" s="1">
        <v>59</v>
      </c>
      <c r="G91" s="1">
        <v>61</v>
      </c>
      <c r="H91" s="1">
        <v>63</v>
      </c>
      <c r="I91" s="3" t="s">
        <v>2</v>
      </c>
      <c r="J91" s="6"/>
    </row>
    <row r="92" spans="1:10" x14ac:dyDescent="0.25">
      <c r="A92" s="6" t="s">
        <v>69</v>
      </c>
      <c r="B92" t="str" cm="1">
        <f t="array" ref="B92">БУКВЫ(MID($A92,3,11))</f>
        <v>775119222</v>
      </c>
      <c r="C92">
        <f>_xlfn.LET(_xlpm.Searching,"OSFA",_xlpm.inStr,IFERROR(FIND(_xlpm.Searching,$A94)&gt;=1,FALSE),IF(AND(_xlpm.inStr,LEN(A94)&lt;=6),A95,""))</f>
        <v>50</v>
      </c>
      <c r="D92" t="str">
        <f>_xlfn.LET(_xlpm.Searching,"55",_xlpm.inStr,IFERROR(FIND(_xlpm.Searching,$A94)&gt;=1,FALSE),IF(AND(_xlpm.inStr,LEN(A94)&lt;=6),A95,""))</f>
        <v/>
      </c>
      <c r="E92" t="str">
        <f>_xlfn.LET(_xlpm.Searching,"57",_xlpm.inStr,IFERROR(FIND(_xlpm.Searching,$A94)&gt;=1,FALSE),IF(AND(_xlpm.inStr,LEN(A94)&lt;=6),$A95,""))&amp;E93</f>
        <v/>
      </c>
      <c r="F92" t="str">
        <f>_xlfn.LET(_xlpm.Searching,"59",_xlpm.inStr,IFERROR(FIND(_xlpm.Searching,$A94)&gt;=1,FALSE),IF(AND(_xlpm.inStr,LEN(A94)&lt;=6),$A95,""))&amp;F93&amp;F94</f>
        <v/>
      </c>
      <c r="G92" t="str">
        <f>_xlfn.LET(_xlpm.Searching,"61",_xlpm.inStr,IFERROR(FIND(_xlpm.Searching,$A94)&gt;=1,FALSE),IF(AND(_xlpm.inStr,LEN(A94)&lt;=6),$A95,""))&amp;G93&amp;G94&amp;G95</f>
        <v/>
      </c>
      <c r="H92" t="str">
        <f>_xlfn.LET(_xlpm.Searching,"63",_xlpm.inStr,IFERROR(FIND(_xlpm.Searching,$A94)&gt;=1,FALSE),IF(AND(_xlpm.inStr,LEN(A94)&lt;=6),$A95,""))&amp;H93&amp;H94&amp;H95&amp;H96</f>
        <v/>
      </c>
      <c r="I92" s="4">
        <f>MID(TRIM(RIGHT(A92,10)),1,LEN(TRIM(RIGHT(A92,10)))-3)*0.8</f>
        <v>11.920000000000002</v>
      </c>
      <c r="J92" s="6"/>
    </row>
    <row r="93" spans="1:10" x14ac:dyDescent="0.25">
      <c r="A93" s="6" t="s">
        <v>70</v>
      </c>
      <c r="B93" t="str" cm="1">
        <f t="array" ref="B93">БУКВЫ(MID($A92,3,11))</f>
        <v>775119222</v>
      </c>
      <c r="C93" s="2"/>
      <c r="D93" s="2"/>
      <c r="E93" t="str">
        <f>_xlfn.LET(_xlpm.Searching,"57",_xlpm.inStr,IFERROR(FIND(_xlpm.Searching,$A96)&gt;=1,FALSE),IF(AND(_xlpm.inStr,LEN(A96)&lt;=6),$A97,""))</f>
        <v/>
      </c>
      <c r="F93" t="str">
        <f>_xlfn.LET(_xlpm.Searching,"59",_xlpm.inStr,IFERROR(FIND(_xlpm.Searching,$A96)&gt;=1,FALSE),IF(AND(_xlpm.inStr,LEN(A96)&lt;=6),$A97,""))</f>
        <v/>
      </c>
      <c r="G93" t="str">
        <f>_xlfn.LET(_xlpm.Searching,"61",_xlpm.inStr,IFERROR(FIND(_xlpm.Searching,$A96)&gt;=1,FALSE),IF(AND(_xlpm.inStr,LEN(A96)&lt;=6),$A97,""))</f>
        <v/>
      </c>
      <c r="H93" t="str">
        <f>_xlfn.LET(_xlpm.Searching,"63",_xlpm.inStr,IFERROR(FIND(_xlpm.Searching,$A96)&gt;=1,FALSE),IF(AND(_xlpm.inStr,LEN(A96)&lt;=6),$A97,""))</f>
        <v/>
      </c>
      <c r="J93" s="6"/>
    </row>
    <row r="94" spans="1:10" x14ac:dyDescent="0.25">
      <c r="A94" s="6" t="s">
        <v>0</v>
      </c>
      <c r="B94" t="str" cm="1">
        <f t="array" ref="B94">БУКВЫ(MID($A92,3,11))</f>
        <v>775119222</v>
      </c>
      <c r="C94" s="2"/>
      <c r="D94" s="2"/>
      <c r="E94" s="2"/>
      <c r="F94" t="str">
        <f>_xlfn.LET(_xlpm.Searching,"59",_xlpm.inStr,IFERROR(FIND(_xlpm.Searching,$A98)&gt;=1,FALSE),IF(AND(_xlpm.inStr,LEN(A98)&lt;=6),$A99,""))</f>
        <v/>
      </c>
      <c r="G94" t="str">
        <f>_xlfn.LET(_xlpm.Searching,"61",_xlpm.inStr,IFERROR(FIND(_xlpm.Searching,$A98)&gt;=1,FALSE),IF(AND(_xlpm.inStr,LEN(A98)&lt;=6),$A99,""))</f>
        <v/>
      </c>
      <c r="H94" t="str">
        <f>_xlfn.LET(_xlpm.Searching,"63",_xlpm.inStr,IFERROR(FIND(_xlpm.Searching,$A98)&gt;=1,FALSE),IF(AND(_xlpm.inStr,LEN(A98)&lt;=6),$A99,""))</f>
        <v/>
      </c>
      <c r="J94" s="6"/>
    </row>
    <row r="95" spans="1:10" x14ac:dyDescent="0.25">
      <c r="A95" s="6">
        <v>50</v>
      </c>
      <c r="B95" t="str" cm="1">
        <f t="array" ref="B95">БУКВЫ(MID($A92,3,11))</f>
        <v>775119222</v>
      </c>
      <c r="C95" s="2"/>
      <c r="D95" s="2"/>
      <c r="E95" s="2"/>
      <c r="F95" s="2"/>
      <c r="G95" t="str">
        <f>_xlfn.LET(_xlpm.Searching,"61",_xlpm.inStr,IFERROR(FIND(_xlpm.Searching,$A100)&gt;=1,FALSE),IF(AND(_xlpm.inStr,LEN(A100)&lt;=6),$A101,""))</f>
        <v/>
      </c>
      <c r="H95" t="str">
        <f>_xlfn.LET(_xlpm.Searching,"63",_xlpm.inStr,IFERROR(FIND(_xlpm.Searching,$A100)&gt;=1,FALSE),IF(AND(_xlpm.inStr,LEN(A100)&lt;=6),$A101,""))</f>
        <v/>
      </c>
      <c r="J95" s="6"/>
    </row>
    <row r="96" spans="1:10" x14ac:dyDescent="0.25">
      <c r="A96" s="6" t="s">
        <v>50</v>
      </c>
      <c r="B96" t="str" cm="1">
        <f t="array" ref="B96">БУКВЫ(MID($A92,3,11))</f>
        <v>775119222</v>
      </c>
      <c r="C96" s="2"/>
      <c r="D96" s="2"/>
      <c r="E96" s="2"/>
      <c r="F96" s="2"/>
      <c r="G96" s="2"/>
      <c r="H96" t="str">
        <f>_xlfn.LET(_xlpm.Searching,"63",_xlpm.inStr,IFERROR(FIND(_xlpm.Searching,$A102)&gt;=1,FALSE),IF(AND(_xlpm.inStr,LEN(A102)&lt;=6),$A103,""))</f>
        <v/>
      </c>
      <c r="J96" s="6"/>
    </row>
    <row r="97" spans="1:10" x14ac:dyDescent="0.25">
      <c r="A97" s="6" t="s">
        <v>71</v>
      </c>
      <c r="B97" s="6"/>
      <c r="C97" s="6"/>
      <c r="D97" s="6"/>
      <c r="E97" s="6"/>
      <c r="F97" s="6"/>
      <c r="G97" s="6"/>
      <c r="H97" s="6"/>
      <c r="I97" s="7"/>
      <c r="J97" s="6"/>
    </row>
    <row r="98" spans="1:10" x14ac:dyDescent="0.25">
      <c r="A98" s="6" t="s">
        <v>72</v>
      </c>
      <c r="B98" s="1" t="s">
        <v>1</v>
      </c>
      <c r="C98" s="1" t="s">
        <v>0</v>
      </c>
      <c r="D98" s="1">
        <v>55</v>
      </c>
      <c r="E98" s="1">
        <v>57</v>
      </c>
      <c r="F98" s="1">
        <v>59</v>
      </c>
      <c r="G98" s="1">
        <v>61</v>
      </c>
      <c r="H98" s="1">
        <v>63</v>
      </c>
      <c r="I98" s="3" t="s">
        <v>2</v>
      </c>
      <c r="J98" s="6"/>
    </row>
    <row r="99" spans="1:10" x14ac:dyDescent="0.25">
      <c r="A99" s="6" t="s">
        <v>73</v>
      </c>
      <c r="B99" t="str" cm="1">
        <f t="array" ref="B99">БУКВЫ(MID($A99,3,11))</f>
        <v>775119283</v>
      </c>
      <c r="C99">
        <f>_xlfn.LET(_xlpm.Searching,"OSFA",_xlpm.inStr,IFERROR(FIND(_xlpm.Searching,$A101)&gt;=1,FALSE),IF(AND(_xlpm.inStr,LEN(A101)&lt;=6),A102,""))</f>
        <v>75</v>
      </c>
      <c r="D99" t="str">
        <f>_xlfn.LET(_xlpm.Searching,"55",_xlpm.inStr,IFERROR(FIND(_xlpm.Searching,$A101)&gt;=1,FALSE),IF(AND(_xlpm.inStr,LEN(A101)&lt;=6),A102,""))</f>
        <v/>
      </c>
      <c r="E99" t="str">
        <f>_xlfn.LET(_xlpm.Searching,"57",_xlpm.inStr,IFERROR(FIND(_xlpm.Searching,$A101)&gt;=1,FALSE),IF(AND(_xlpm.inStr,LEN(A101)&lt;=6),$A102,""))&amp;E100</f>
        <v/>
      </c>
      <c r="F99" t="str">
        <f>_xlfn.LET(_xlpm.Searching,"59",_xlpm.inStr,IFERROR(FIND(_xlpm.Searching,$A101)&gt;=1,FALSE),IF(AND(_xlpm.inStr,LEN(A101)&lt;=6),$A102,""))&amp;F100&amp;F101</f>
        <v/>
      </c>
      <c r="G99" t="str">
        <f>_xlfn.LET(_xlpm.Searching,"61",_xlpm.inStr,IFERROR(FIND(_xlpm.Searching,$A101)&gt;=1,FALSE),IF(AND(_xlpm.inStr,LEN(A101)&lt;=6),$A102,""))&amp;G100&amp;G101&amp;G102</f>
        <v/>
      </c>
      <c r="H99" t="str">
        <f>_xlfn.LET(_xlpm.Searching,"63",_xlpm.inStr,IFERROR(FIND(_xlpm.Searching,$A101)&gt;=1,FALSE),IF(AND(_xlpm.inStr,LEN(A101)&lt;=6),$A102,""))&amp;H100&amp;H101&amp;H102&amp;H103</f>
        <v/>
      </c>
      <c r="I99" s="4">
        <f>MID(TRIM(RIGHT(A99,10)),1,LEN(TRIM(RIGHT(A99,10)))-3)*0.8</f>
        <v>11.920000000000002</v>
      </c>
      <c r="J99" s="6"/>
    </row>
    <row r="100" spans="1:10" x14ac:dyDescent="0.25">
      <c r="A100" s="6" t="s">
        <v>70</v>
      </c>
      <c r="B100" t="str" cm="1">
        <f t="array" ref="B100">БУКВЫ(MID($A99,3,11))</f>
        <v>775119283</v>
      </c>
      <c r="C100" s="2"/>
      <c r="D100" s="2"/>
      <c r="E100" t="str">
        <f>_xlfn.LET(_xlpm.Searching,"57",_xlpm.inStr,IFERROR(FIND(_xlpm.Searching,$A103)&gt;=1,FALSE),IF(AND(_xlpm.inStr,LEN(A103)&lt;=6),$A104,""))</f>
        <v/>
      </c>
      <c r="F100" t="str">
        <f>_xlfn.LET(_xlpm.Searching,"59",_xlpm.inStr,IFERROR(FIND(_xlpm.Searching,$A103)&gt;=1,FALSE),IF(AND(_xlpm.inStr,LEN(A103)&lt;=6),$A104,""))</f>
        <v/>
      </c>
      <c r="G100" t="str">
        <f>_xlfn.LET(_xlpm.Searching,"61",_xlpm.inStr,IFERROR(FIND(_xlpm.Searching,$A103)&gt;=1,FALSE),IF(AND(_xlpm.inStr,LEN(A103)&lt;=6),$A104,""))</f>
        <v/>
      </c>
      <c r="H100" t="str">
        <f>_xlfn.LET(_xlpm.Searching,"63",_xlpm.inStr,IFERROR(FIND(_xlpm.Searching,$A103)&gt;=1,FALSE),IF(AND(_xlpm.inStr,LEN(A103)&lt;=6),$A104,""))</f>
        <v/>
      </c>
      <c r="J100" s="6"/>
    </row>
    <row r="101" spans="1:10" x14ac:dyDescent="0.25">
      <c r="A101" s="6" t="s">
        <v>0</v>
      </c>
      <c r="B101" t="str" cm="1">
        <f t="array" ref="B101">БУКВЫ(MID($A99,3,11))</f>
        <v>775119283</v>
      </c>
      <c r="C101" s="2"/>
      <c r="D101" s="2"/>
      <c r="E101" s="2"/>
      <c r="F101" t="str">
        <f>_xlfn.LET(_xlpm.Searching,"59",_xlpm.inStr,IFERROR(FIND(_xlpm.Searching,$A105)&gt;=1,FALSE),IF(AND(_xlpm.inStr,LEN(A105)&lt;=6),$A106,""))</f>
        <v/>
      </c>
      <c r="G101" t="str">
        <f>_xlfn.LET(_xlpm.Searching,"61",_xlpm.inStr,IFERROR(FIND(_xlpm.Searching,$A105)&gt;=1,FALSE),IF(AND(_xlpm.inStr,LEN(A105)&lt;=6),$A106,""))</f>
        <v/>
      </c>
      <c r="H101" t="str">
        <f>_xlfn.LET(_xlpm.Searching,"63",_xlpm.inStr,IFERROR(FIND(_xlpm.Searching,$A105)&gt;=1,FALSE),IF(AND(_xlpm.inStr,LEN(A105)&lt;=6),$A106,""))</f>
        <v/>
      </c>
      <c r="J101" s="6"/>
    </row>
    <row r="102" spans="1:10" x14ac:dyDescent="0.25">
      <c r="A102" s="6">
        <v>75</v>
      </c>
      <c r="B102" t="str" cm="1">
        <f t="array" ref="B102">БУКВЫ(MID($A99,3,11))</f>
        <v>775119283</v>
      </c>
      <c r="C102" s="2"/>
      <c r="D102" s="2"/>
      <c r="E102" s="2"/>
      <c r="F102" s="2"/>
      <c r="G102" t="str">
        <f>_xlfn.LET(_xlpm.Searching,"61",_xlpm.inStr,IFERROR(FIND(_xlpm.Searching,$A107)&gt;=1,FALSE),IF(AND(_xlpm.inStr,LEN(A107)&lt;=6),$A108,""))</f>
        <v/>
      </c>
      <c r="H102" t="str">
        <f>_xlfn.LET(_xlpm.Searching,"63",_xlpm.inStr,IFERROR(FIND(_xlpm.Searching,$A107)&gt;=1,FALSE),IF(AND(_xlpm.inStr,LEN(A107)&lt;=6),$A108,""))</f>
        <v/>
      </c>
      <c r="J102" s="6"/>
    </row>
    <row r="103" spans="1:10" x14ac:dyDescent="0.25">
      <c r="A103" s="6" t="s">
        <v>50</v>
      </c>
      <c r="B103" t="str" cm="1">
        <f t="array" ref="B103">БУКВЫ(MID($A99,3,11))</f>
        <v>775119283</v>
      </c>
      <c r="C103" s="2"/>
      <c r="D103" s="2"/>
      <c r="E103" s="2"/>
      <c r="F103" s="2"/>
      <c r="G103" s="2"/>
      <c r="H103" t="str">
        <f>_xlfn.LET(_xlpm.Searching,"63",_xlpm.inStr,IFERROR(FIND(_xlpm.Searching,$A109)&gt;=1,FALSE),IF(AND(_xlpm.inStr,LEN(A109)&lt;=6),$A110,""))</f>
        <v/>
      </c>
      <c r="J103" s="6"/>
    </row>
    <row r="104" spans="1:10" x14ac:dyDescent="0.25">
      <c r="A104" s="6" t="s">
        <v>74</v>
      </c>
      <c r="B104" s="6"/>
      <c r="C104" s="6"/>
      <c r="D104" s="6"/>
      <c r="E104" s="6"/>
      <c r="F104" s="6"/>
      <c r="G104" s="6"/>
      <c r="H104" s="6"/>
      <c r="I104" s="7"/>
      <c r="J104" s="6"/>
    </row>
    <row r="105" spans="1:10" x14ac:dyDescent="0.25">
      <c r="A105" s="6" t="s">
        <v>75</v>
      </c>
      <c r="B105" s="6"/>
      <c r="C105" s="6"/>
      <c r="D105" s="6"/>
      <c r="E105" s="6"/>
      <c r="F105" s="6"/>
      <c r="G105" s="6"/>
      <c r="H105" s="6"/>
      <c r="I105" s="7"/>
      <c r="J105" s="6"/>
    </row>
    <row r="106" spans="1:10" x14ac:dyDescent="0.25">
      <c r="A106" s="6" t="s">
        <v>76</v>
      </c>
      <c r="B106" s="6"/>
      <c r="C106" s="6"/>
      <c r="D106" s="6"/>
      <c r="E106" s="6"/>
      <c r="F106" s="6"/>
      <c r="G106" s="6"/>
      <c r="H106" s="6"/>
      <c r="I106" s="7"/>
      <c r="J106" s="6"/>
    </row>
    <row r="107" spans="1:10" x14ac:dyDescent="0.25">
      <c r="A107" s="6" t="s">
        <v>77</v>
      </c>
      <c r="B107" s="6"/>
      <c r="C107" s="6"/>
      <c r="D107" s="6"/>
      <c r="E107" s="6"/>
      <c r="F107" s="6"/>
      <c r="G107" s="6"/>
      <c r="H107" s="6"/>
      <c r="I107" s="7"/>
      <c r="J107" s="6"/>
    </row>
    <row r="108" spans="1:10" x14ac:dyDescent="0.25">
      <c r="A108" s="6" t="s">
        <v>0</v>
      </c>
      <c r="B108" s="6"/>
      <c r="C108" s="6"/>
      <c r="D108" s="6"/>
      <c r="E108" s="6"/>
      <c r="F108" s="6"/>
      <c r="G108" s="6"/>
      <c r="H108" s="6"/>
      <c r="I108" s="7"/>
      <c r="J108" s="6"/>
    </row>
    <row r="109" spans="1:10" x14ac:dyDescent="0.25">
      <c r="A109" s="6">
        <v>115</v>
      </c>
      <c r="B109" s="6"/>
      <c r="C109" s="6"/>
      <c r="D109" s="6"/>
      <c r="E109" s="6"/>
      <c r="F109" s="6"/>
      <c r="G109" s="6"/>
      <c r="H109" s="6"/>
      <c r="I109" s="7"/>
      <c r="J109" s="6"/>
    </row>
    <row r="110" spans="1:10" x14ac:dyDescent="0.25">
      <c r="A110" s="6" t="s">
        <v>50</v>
      </c>
      <c r="B110" s="6"/>
      <c r="C110" s="6"/>
      <c r="D110" s="6"/>
      <c r="E110" s="6"/>
      <c r="F110" s="6"/>
      <c r="G110" s="6"/>
      <c r="H110" s="6"/>
      <c r="I110" s="7"/>
      <c r="J110" s="6"/>
    </row>
    <row r="111" spans="1:10" x14ac:dyDescent="0.25">
      <c r="A111" s="6" t="s">
        <v>78</v>
      </c>
      <c r="B111" s="6"/>
      <c r="C111" s="6"/>
      <c r="D111" s="6"/>
      <c r="E111" s="6"/>
      <c r="F111" s="6"/>
      <c r="G111" s="6"/>
      <c r="H111" s="6"/>
      <c r="I111" s="7"/>
      <c r="J111" s="6"/>
    </row>
    <row r="112" spans="1:10" x14ac:dyDescent="0.25">
      <c r="A112" s="6" t="s">
        <v>79</v>
      </c>
      <c r="B112" s="1" t="s">
        <v>1</v>
      </c>
      <c r="C112" s="1" t="s">
        <v>0</v>
      </c>
      <c r="D112" s="1">
        <v>55</v>
      </c>
      <c r="E112" s="1">
        <v>57</v>
      </c>
      <c r="F112" s="1">
        <v>59</v>
      </c>
      <c r="G112" s="1">
        <v>61</v>
      </c>
      <c r="H112" s="1">
        <v>63</v>
      </c>
      <c r="I112" s="3" t="s">
        <v>2</v>
      </c>
      <c r="J112" s="6"/>
    </row>
    <row r="113" spans="1:10" x14ac:dyDescent="0.25">
      <c r="A113" s="6" t="s">
        <v>80</v>
      </c>
      <c r="B113" t="str" cm="1">
        <f t="array" ref="B113">БУКВЫ(MID($A113,3,11))</f>
        <v>775119526</v>
      </c>
      <c r="C113">
        <f>_xlfn.LET(_xlpm.Searching,"OSFA",_xlpm.inStr,IFERROR(FIND(_xlpm.Searching,$A115)&gt;=1,FALSE),IF(AND(_xlpm.inStr,LEN(A115)&lt;=6),A116,""))</f>
        <v>140</v>
      </c>
      <c r="D113" t="str">
        <f>_xlfn.LET(_xlpm.Searching,"55",_xlpm.inStr,IFERROR(FIND(_xlpm.Searching,$A115)&gt;=1,FALSE),IF(AND(_xlpm.inStr,LEN(A115)&lt;=6),A116,""))</f>
        <v/>
      </c>
      <c r="E113" t="str">
        <f>_xlfn.LET(_xlpm.Searching,"57",_xlpm.inStr,IFERROR(FIND(_xlpm.Searching,$A115)&gt;=1,FALSE),IF(AND(_xlpm.inStr,LEN(A115)&lt;=6),$A116,""))&amp;E114</f>
        <v/>
      </c>
      <c r="F113" t="str">
        <f>_xlfn.LET(_xlpm.Searching,"59",_xlpm.inStr,IFERROR(FIND(_xlpm.Searching,$A115)&gt;=1,FALSE),IF(AND(_xlpm.inStr,LEN(A115)&lt;=6),$A116,""))&amp;F114&amp;F115</f>
        <v/>
      </c>
      <c r="G113" t="str">
        <f>_xlfn.LET(_xlpm.Searching,"61",_xlpm.inStr,IFERROR(FIND(_xlpm.Searching,$A115)&gt;=1,FALSE),IF(AND(_xlpm.inStr,LEN(A115)&lt;=6),$A116,""))&amp;G114&amp;G115&amp;G116</f>
        <v/>
      </c>
      <c r="H113" t="str">
        <f>_xlfn.LET(_xlpm.Searching,"63",_xlpm.inStr,IFERROR(FIND(_xlpm.Searching,$A115)&gt;=1,FALSE),IF(AND(_xlpm.inStr,LEN(A115)&lt;=6),$A116,""))&amp;H114&amp;H115&amp;H116&amp;H117</f>
        <v/>
      </c>
      <c r="I113" s="4">
        <f>MID(TRIM(RIGHT(A113,10)),1,LEN(TRIM(RIGHT(A113,10)))-3)*0.8</f>
        <v>11.920000000000002</v>
      </c>
      <c r="J113" s="6"/>
    </row>
    <row r="114" spans="1:10" x14ac:dyDescent="0.25">
      <c r="A114" s="6" t="s">
        <v>81</v>
      </c>
      <c r="B114" t="str" cm="1">
        <f t="array" ref="B114">БУКВЫ(MID($A113,3,11))</f>
        <v>775119526</v>
      </c>
      <c r="C114" s="2"/>
      <c r="D114" s="2"/>
      <c r="E114" t="str">
        <f>_xlfn.LET(_xlpm.Searching,"57",_xlpm.inStr,IFERROR(FIND(_xlpm.Searching,$A117)&gt;=1,FALSE),IF(AND(_xlpm.inStr,LEN(A117)&lt;=6),$A118,""))</f>
        <v/>
      </c>
      <c r="F114" t="str">
        <f>_xlfn.LET(_xlpm.Searching,"59",_xlpm.inStr,IFERROR(FIND(_xlpm.Searching,$A117)&gt;=1,FALSE),IF(AND(_xlpm.inStr,LEN(A117)&lt;=6),$A118,""))</f>
        <v/>
      </c>
      <c r="G114" t="str">
        <f>_xlfn.LET(_xlpm.Searching,"61",_xlpm.inStr,IFERROR(FIND(_xlpm.Searching,$A117)&gt;=1,FALSE),IF(AND(_xlpm.inStr,LEN(A117)&lt;=6),$A118,""))</f>
        <v/>
      </c>
      <c r="H114" t="str">
        <f>_xlfn.LET(_xlpm.Searching,"63",_xlpm.inStr,IFERROR(FIND(_xlpm.Searching,$A117)&gt;=1,FALSE),IF(AND(_xlpm.inStr,LEN(A117)&lt;=6),$A118,""))</f>
        <v/>
      </c>
      <c r="J114" s="6"/>
    </row>
    <row r="115" spans="1:10" x14ac:dyDescent="0.25">
      <c r="A115" s="6" t="s">
        <v>0</v>
      </c>
      <c r="B115" t="str" cm="1">
        <f t="array" ref="B115">БУКВЫ(MID($A113,3,11))</f>
        <v>775119526</v>
      </c>
      <c r="C115" s="2"/>
      <c r="D115" s="2"/>
      <c r="E115" s="2"/>
      <c r="F115" t="str">
        <f>_xlfn.LET(_xlpm.Searching,"59",_xlpm.inStr,IFERROR(FIND(_xlpm.Searching,$A119)&gt;=1,FALSE),IF(AND(_xlpm.inStr,LEN(A119)&lt;=6),$A120,""))</f>
        <v/>
      </c>
      <c r="G115" t="str">
        <f>_xlfn.LET(_xlpm.Searching,"61",_xlpm.inStr,IFERROR(FIND(_xlpm.Searching,$A119)&gt;=1,FALSE),IF(AND(_xlpm.inStr,LEN(A119)&lt;=6),$A120,""))</f>
        <v/>
      </c>
      <c r="H115" t="str">
        <f>_xlfn.LET(_xlpm.Searching,"63",_xlpm.inStr,IFERROR(FIND(_xlpm.Searching,$A119)&gt;=1,FALSE),IF(AND(_xlpm.inStr,LEN(A119)&lt;=6),$A120,""))</f>
        <v/>
      </c>
      <c r="J115" s="6"/>
    </row>
    <row r="116" spans="1:10" x14ac:dyDescent="0.25">
      <c r="A116" s="6">
        <v>140</v>
      </c>
      <c r="B116" t="str" cm="1">
        <f t="array" ref="B116">БУКВЫ(MID($A113,3,11))</f>
        <v>775119526</v>
      </c>
      <c r="C116" s="2"/>
      <c r="D116" s="2"/>
      <c r="E116" s="2"/>
      <c r="F116" s="2"/>
      <c r="G116" t="str">
        <f>_xlfn.LET(_xlpm.Searching,"61",_xlpm.inStr,IFERROR(FIND(_xlpm.Searching,$A121)&gt;=1,FALSE),IF(AND(_xlpm.inStr,LEN(A121)&lt;=6),$A122,""))</f>
        <v/>
      </c>
      <c r="H116" t="str">
        <f>_xlfn.LET(_xlpm.Searching,"63",_xlpm.inStr,IFERROR(FIND(_xlpm.Searching,$A121)&gt;=1,FALSE),IF(AND(_xlpm.inStr,LEN(A121)&lt;=6),$A122,""))</f>
        <v/>
      </c>
      <c r="J116" s="6"/>
    </row>
    <row r="117" spans="1:10" x14ac:dyDescent="0.25">
      <c r="A117" s="6" t="s">
        <v>50</v>
      </c>
      <c r="B117" t="str" cm="1">
        <f t="array" ref="B117">БУКВЫ(MID($A113,3,11))</f>
        <v>775119526</v>
      </c>
      <c r="C117" s="2"/>
      <c r="D117" s="2"/>
      <c r="E117" s="2"/>
      <c r="F117" s="2"/>
      <c r="G117" s="2"/>
      <c r="H117" t="str">
        <f>_xlfn.LET(_xlpm.Searching,"63",_xlpm.inStr,IFERROR(FIND(_xlpm.Searching,$A123)&gt;=1,FALSE),IF(AND(_xlpm.inStr,LEN(A123)&lt;=6),$A124,""))</f>
        <v/>
      </c>
      <c r="J117" s="6"/>
    </row>
    <row r="118" spans="1:10" x14ac:dyDescent="0.25">
      <c r="A118" s="6" t="s">
        <v>82</v>
      </c>
      <c r="B118" s="6"/>
      <c r="C118" s="6"/>
      <c r="D118" s="6"/>
      <c r="E118" s="6"/>
      <c r="F118" s="6"/>
      <c r="G118" s="6"/>
      <c r="H118" s="6"/>
      <c r="I118" s="7"/>
      <c r="J118" s="6"/>
    </row>
    <row r="119" spans="1:10" x14ac:dyDescent="0.25">
      <c r="A119" s="6" t="s">
        <v>83</v>
      </c>
      <c r="B119" s="1" t="s">
        <v>1</v>
      </c>
      <c r="C119" s="1" t="s">
        <v>0</v>
      </c>
      <c r="D119" s="1">
        <v>55</v>
      </c>
      <c r="E119" s="1">
        <v>57</v>
      </c>
      <c r="F119" s="1">
        <v>59</v>
      </c>
      <c r="G119" s="1">
        <v>61</v>
      </c>
      <c r="H119" s="1">
        <v>63</v>
      </c>
      <c r="I119" s="3" t="s">
        <v>2</v>
      </c>
      <c r="J119" s="6"/>
    </row>
    <row r="120" spans="1:10" x14ac:dyDescent="0.25">
      <c r="A120" s="6" t="s">
        <v>84</v>
      </c>
      <c r="B120" t="str" cm="1">
        <f t="array" ref="B120">БУКВЫ(MID($A120,3,11))</f>
        <v>775611527</v>
      </c>
      <c r="C120">
        <f>_xlfn.LET(_xlpm.Searching,"OSFA",_xlpm.inStr,IFERROR(FIND(_xlpm.Searching,$A122)&gt;=1,FALSE),IF(AND(_xlpm.inStr,LEN(A122)&lt;=6),A123,""))</f>
        <v>140</v>
      </c>
      <c r="D120" t="str">
        <f>_xlfn.LET(_xlpm.Searching,"55",_xlpm.inStr,IFERROR(FIND(_xlpm.Searching,$A122)&gt;=1,FALSE),IF(AND(_xlpm.inStr,LEN(A122)&lt;=6),A123,""))</f>
        <v/>
      </c>
      <c r="E120" t="str">
        <f>_xlfn.LET(_xlpm.Searching,"57",_xlpm.inStr,IFERROR(FIND(_xlpm.Searching,$A122)&gt;=1,FALSE),IF(AND(_xlpm.inStr,LEN(A122)&lt;=6),$A123,""))&amp;E121</f>
        <v/>
      </c>
      <c r="F120" t="str">
        <f>_xlfn.LET(_xlpm.Searching,"59",_xlpm.inStr,IFERROR(FIND(_xlpm.Searching,$A122)&gt;=1,FALSE),IF(AND(_xlpm.inStr,LEN(A122)&lt;=6),$A123,""))&amp;F121&amp;F122</f>
        <v/>
      </c>
      <c r="G120" t="str">
        <f>_xlfn.LET(_xlpm.Searching,"61",_xlpm.inStr,IFERROR(FIND(_xlpm.Searching,$A122)&gt;=1,FALSE),IF(AND(_xlpm.inStr,LEN(A122)&lt;=6),$A123,""))&amp;G121&amp;G122&amp;G123</f>
        <v/>
      </c>
      <c r="H120" t="str">
        <f>_xlfn.LET(_xlpm.Searching,"63",_xlpm.inStr,IFERROR(FIND(_xlpm.Searching,$A122)&gt;=1,FALSE),IF(AND(_xlpm.inStr,LEN(A122)&lt;=6),$A123,""))&amp;H121&amp;H122&amp;H123&amp;H124</f>
        <v/>
      </c>
      <c r="I120" s="4">
        <f>MID(TRIM(RIGHT(A120,10)),1,LEN(TRIM(RIGHT(A120,10)))-3)*0.8</f>
        <v>11.920000000000002</v>
      </c>
      <c r="J120" s="6"/>
    </row>
    <row r="121" spans="1:10" x14ac:dyDescent="0.25">
      <c r="A121" s="6" t="s">
        <v>85</v>
      </c>
      <c r="B121" t="str" cm="1">
        <f t="array" ref="B121">БУКВЫ(MID($A120,3,11))</f>
        <v>775611527</v>
      </c>
      <c r="C121" s="2"/>
      <c r="D121" s="2"/>
      <c r="E121" t="str">
        <f>_xlfn.LET(_xlpm.Searching,"57",_xlpm.inStr,IFERROR(FIND(_xlpm.Searching,$A124)&gt;=1,FALSE),IF(AND(_xlpm.inStr,LEN(A124)&lt;=6),$A125,""))</f>
        <v/>
      </c>
      <c r="F121" t="str">
        <f>_xlfn.LET(_xlpm.Searching,"59",_xlpm.inStr,IFERROR(FIND(_xlpm.Searching,$A124)&gt;=1,FALSE),IF(AND(_xlpm.inStr,LEN(A124)&lt;=6),$A125,""))</f>
        <v/>
      </c>
      <c r="G121" t="str">
        <f>_xlfn.LET(_xlpm.Searching,"61",_xlpm.inStr,IFERROR(FIND(_xlpm.Searching,$A124)&gt;=1,FALSE),IF(AND(_xlpm.inStr,LEN(A124)&lt;=6),$A125,""))</f>
        <v/>
      </c>
      <c r="H121" t="str">
        <f>_xlfn.LET(_xlpm.Searching,"63",_xlpm.inStr,IFERROR(FIND(_xlpm.Searching,$A124)&gt;=1,FALSE),IF(AND(_xlpm.inStr,LEN(A124)&lt;=6),$A125,""))</f>
        <v/>
      </c>
      <c r="J121" s="6"/>
    </row>
    <row r="122" spans="1:10" x14ac:dyDescent="0.25">
      <c r="A122" s="6" t="s">
        <v>0</v>
      </c>
      <c r="B122" t="str" cm="1">
        <f t="array" ref="B122">БУКВЫ(MID($A120,3,11))</f>
        <v>775611527</v>
      </c>
      <c r="C122" s="2"/>
      <c r="D122" s="2"/>
      <c r="E122" s="2"/>
      <c r="F122" t="str">
        <f>_xlfn.LET(_xlpm.Searching,"59",_xlpm.inStr,IFERROR(FIND(_xlpm.Searching,$A126)&gt;=1,FALSE),IF(AND(_xlpm.inStr,LEN(A126)&lt;=6),$A127,""))</f>
        <v/>
      </c>
      <c r="G122" t="str">
        <f>_xlfn.LET(_xlpm.Searching,"61",_xlpm.inStr,IFERROR(FIND(_xlpm.Searching,$A126)&gt;=1,FALSE),IF(AND(_xlpm.inStr,LEN(A126)&lt;=6),$A127,""))</f>
        <v/>
      </c>
      <c r="H122" t="str">
        <f>_xlfn.LET(_xlpm.Searching,"63",_xlpm.inStr,IFERROR(FIND(_xlpm.Searching,$A126)&gt;=1,FALSE),IF(AND(_xlpm.inStr,LEN(A126)&lt;=6),$A127,""))</f>
        <v/>
      </c>
      <c r="J122" s="6"/>
    </row>
    <row r="123" spans="1:10" x14ac:dyDescent="0.25">
      <c r="A123" s="6">
        <v>140</v>
      </c>
      <c r="B123" t="str" cm="1">
        <f t="array" ref="B123">БУКВЫ(MID($A120,3,11))</f>
        <v>775611527</v>
      </c>
      <c r="C123" s="2"/>
      <c r="D123" s="2"/>
      <c r="E123" s="2"/>
      <c r="F123" s="2"/>
      <c r="G123" t="str">
        <f>_xlfn.LET(_xlpm.Searching,"61",_xlpm.inStr,IFERROR(FIND(_xlpm.Searching,$A128)&gt;=1,FALSE),IF(AND(_xlpm.inStr,LEN(A128)&lt;=6),$A129,""))</f>
        <v/>
      </c>
      <c r="H123" t="str">
        <f>_xlfn.LET(_xlpm.Searching,"63",_xlpm.inStr,IFERROR(FIND(_xlpm.Searching,$A128)&gt;=1,FALSE),IF(AND(_xlpm.inStr,LEN(A128)&lt;=6),$A129,""))</f>
        <v/>
      </c>
      <c r="J123" s="6"/>
    </row>
    <row r="124" spans="1:10" x14ac:dyDescent="0.25">
      <c r="A124" s="6" t="s">
        <v>50</v>
      </c>
      <c r="B124" t="str" cm="1">
        <f t="array" ref="B124">БУКВЫ(MID($A120,3,11))</f>
        <v>775611527</v>
      </c>
      <c r="C124" s="2"/>
      <c r="D124" s="2"/>
      <c r="E124" s="2"/>
      <c r="F124" s="2"/>
      <c r="G124" s="2"/>
      <c r="H124" t="str">
        <f>_xlfn.LET(_xlpm.Searching,"63",_xlpm.inStr,IFERROR(FIND(_xlpm.Searching,$A130)&gt;=1,FALSE),IF(AND(_xlpm.inStr,LEN(A130)&lt;=6),$A131,""))</f>
        <v/>
      </c>
      <c r="J124" s="6"/>
    </row>
    <row r="125" spans="1:10" x14ac:dyDescent="0.25">
      <c r="A125" s="6" t="s">
        <v>82</v>
      </c>
      <c r="B125" s="6"/>
      <c r="C125" s="6"/>
      <c r="D125" s="6"/>
      <c r="E125" s="6"/>
      <c r="F125" s="6"/>
      <c r="G125" s="6"/>
      <c r="H125" s="6"/>
      <c r="I125" s="7"/>
      <c r="J125" s="6"/>
    </row>
    <row r="126" spans="1:10" x14ac:dyDescent="0.25">
      <c r="A126" s="6" t="s">
        <v>83</v>
      </c>
      <c r="B126" s="1" t="s">
        <v>1</v>
      </c>
      <c r="C126" s="1" t="s">
        <v>0</v>
      </c>
      <c r="D126" s="1">
        <v>55</v>
      </c>
      <c r="E126" s="1">
        <v>57</v>
      </c>
      <c r="F126" s="1">
        <v>59</v>
      </c>
      <c r="G126" s="1">
        <v>61</v>
      </c>
      <c r="H126" s="1">
        <v>63</v>
      </c>
      <c r="I126" s="3" t="s">
        <v>2</v>
      </c>
      <c r="J126" s="6"/>
    </row>
    <row r="127" spans="1:10" x14ac:dyDescent="0.25">
      <c r="A127" s="6" t="s">
        <v>86</v>
      </c>
      <c r="B127" t="str" cm="1">
        <f t="array" ref="B127">БУКВЫ(MID($A127,3,11))</f>
        <v>775110153</v>
      </c>
      <c r="C127">
        <f>_xlfn.LET(_xlpm.Searching,"OSFA",_xlpm.inStr,IFERROR(FIND(_xlpm.Searching,$A129)&gt;=1,FALSE),IF(AND(_xlpm.inStr,LEN(A129)&lt;=6),A130,""))</f>
        <v>100</v>
      </c>
      <c r="D127" t="str">
        <f>_xlfn.LET(_xlpm.Searching,"55",_xlpm.inStr,IFERROR(FIND(_xlpm.Searching,$A129)&gt;=1,FALSE),IF(AND(_xlpm.inStr,LEN(A129)&lt;=6),A130,""))</f>
        <v/>
      </c>
      <c r="E127" t="str">
        <f>_xlfn.LET(_xlpm.Searching,"57",_xlpm.inStr,IFERROR(FIND(_xlpm.Searching,$A129)&gt;=1,FALSE),IF(AND(_xlpm.inStr,LEN(A129)&lt;=6),$A130,""))&amp;E128</f>
        <v/>
      </c>
      <c r="F127" t="str">
        <f>_xlfn.LET(_xlpm.Searching,"59",_xlpm.inStr,IFERROR(FIND(_xlpm.Searching,$A129)&gt;=1,FALSE),IF(AND(_xlpm.inStr,LEN(A129)&lt;=6),$A130,""))&amp;F128&amp;F129</f>
        <v/>
      </c>
      <c r="G127" t="str">
        <f>_xlfn.LET(_xlpm.Searching,"61",_xlpm.inStr,IFERROR(FIND(_xlpm.Searching,$A129)&gt;=1,FALSE),IF(AND(_xlpm.inStr,LEN(A129)&lt;=6),$A130,""))&amp;G128&amp;G129&amp;G130</f>
        <v/>
      </c>
      <c r="H127" t="str">
        <f>_xlfn.LET(_xlpm.Searching,"63",_xlpm.inStr,IFERROR(FIND(_xlpm.Searching,$A129)&gt;=1,FALSE),IF(AND(_xlpm.inStr,LEN(A129)&lt;=6),$A130,""))&amp;H128&amp;H129&amp;H130&amp;H131</f>
        <v/>
      </c>
      <c r="I127" s="4">
        <f>MID(TRIM(RIGHT(A127,10)),1,LEN(TRIM(RIGHT(A127,10)))-3)*0.8</f>
        <v>11.920000000000002</v>
      </c>
      <c r="J127" s="6"/>
    </row>
    <row r="128" spans="1:10" x14ac:dyDescent="0.25">
      <c r="A128" s="6" t="s">
        <v>87</v>
      </c>
      <c r="B128" t="str" cm="1">
        <f t="array" ref="B128">БУКВЫ(MID($A127,3,11))</f>
        <v>775110153</v>
      </c>
      <c r="C128" s="2"/>
      <c r="D128" s="2"/>
      <c r="E128" t="str">
        <f>_xlfn.LET(_xlpm.Searching,"57",_xlpm.inStr,IFERROR(FIND(_xlpm.Searching,$A131)&gt;=1,FALSE),IF(AND(_xlpm.inStr,LEN(A131)&lt;=6),$A132,""))</f>
        <v/>
      </c>
      <c r="F128" t="str">
        <f>_xlfn.LET(_xlpm.Searching,"59",_xlpm.inStr,IFERROR(FIND(_xlpm.Searching,$A131)&gt;=1,FALSE),IF(AND(_xlpm.inStr,LEN(A131)&lt;=6),$A132,""))</f>
        <v/>
      </c>
      <c r="G128" t="str">
        <f>_xlfn.LET(_xlpm.Searching,"61",_xlpm.inStr,IFERROR(FIND(_xlpm.Searching,$A131)&gt;=1,FALSE),IF(AND(_xlpm.inStr,LEN(A131)&lt;=6),$A132,""))</f>
        <v/>
      </c>
      <c r="H128" t="str">
        <f>_xlfn.LET(_xlpm.Searching,"63",_xlpm.inStr,IFERROR(FIND(_xlpm.Searching,$A131)&gt;=1,FALSE),IF(AND(_xlpm.inStr,LEN(A131)&lt;=6),$A132,""))</f>
        <v/>
      </c>
      <c r="J128" s="6"/>
    </row>
    <row r="129" spans="1:10" x14ac:dyDescent="0.25">
      <c r="A129" s="6" t="s">
        <v>0</v>
      </c>
      <c r="B129" t="str" cm="1">
        <f t="array" ref="B129">БУКВЫ(MID($A127,3,11))</f>
        <v>775110153</v>
      </c>
      <c r="C129" s="2"/>
      <c r="D129" s="2"/>
      <c r="E129" s="2"/>
      <c r="F129" t="str">
        <f>_xlfn.LET(_xlpm.Searching,"59",_xlpm.inStr,IFERROR(FIND(_xlpm.Searching,$A133)&gt;=1,FALSE),IF(AND(_xlpm.inStr,LEN(A133)&lt;=6),$A134,""))</f>
        <v/>
      </c>
      <c r="G129" t="str">
        <f>_xlfn.LET(_xlpm.Searching,"61",_xlpm.inStr,IFERROR(FIND(_xlpm.Searching,$A133)&gt;=1,FALSE),IF(AND(_xlpm.inStr,LEN(A133)&lt;=6),$A134,""))</f>
        <v/>
      </c>
      <c r="H129" t="str">
        <f>_xlfn.LET(_xlpm.Searching,"63",_xlpm.inStr,IFERROR(FIND(_xlpm.Searching,$A133)&gt;=1,FALSE),IF(AND(_xlpm.inStr,LEN(A133)&lt;=6),$A134,""))</f>
        <v/>
      </c>
      <c r="J129" s="6"/>
    </row>
    <row r="130" spans="1:10" x14ac:dyDescent="0.25">
      <c r="A130" s="6">
        <v>100</v>
      </c>
      <c r="B130" t="str" cm="1">
        <f t="array" ref="B130">БУКВЫ(MID($A127,3,11))</f>
        <v>775110153</v>
      </c>
      <c r="C130" s="2"/>
      <c r="D130" s="2"/>
      <c r="E130" s="2"/>
      <c r="F130" s="2"/>
      <c r="G130" t="str">
        <f>_xlfn.LET(_xlpm.Searching,"61",_xlpm.inStr,IFERROR(FIND(_xlpm.Searching,$A135)&gt;=1,FALSE),IF(AND(_xlpm.inStr,LEN(A135)&lt;=6),$A136,""))</f>
        <v/>
      </c>
      <c r="H130" t="str">
        <f>_xlfn.LET(_xlpm.Searching,"63",_xlpm.inStr,IFERROR(FIND(_xlpm.Searching,$A135)&gt;=1,FALSE),IF(AND(_xlpm.inStr,LEN(A135)&lt;=6),$A136,""))</f>
        <v/>
      </c>
      <c r="J130" s="6"/>
    </row>
    <row r="131" spans="1:10" x14ac:dyDescent="0.25">
      <c r="A131" s="6" t="s">
        <v>50</v>
      </c>
      <c r="B131" t="str" cm="1">
        <f t="array" ref="B131">БУКВЫ(MID($A127,3,11))</f>
        <v>775110153</v>
      </c>
      <c r="C131" s="2"/>
      <c r="D131" s="2"/>
      <c r="E131" s="2"/>
      <c r="F131" s="2"/>
      <c r="G131" s="2"/>
      <c r="H131" t="str">
        <f>_xlfn.LET(_xlpm.Searching,"63",_xlpm.inStr,IFERROR(FIND(_xlpm.Searching,$A137)&gt;=1,FALSE),IF(AND(_xlpm.inStr,LEN(A137)&lt;=6),$A138,""))</f>
        <v/>
      </c>
      <c r="J131" s="6"/>
    </row>
    <row r="132" spans="1:10" x14ac:dyDescent="0.25">
      <c r="A132" s="6" t="s">
        <v>88</v>
      </c>
      <c r="B132" s="6"/>
      <c r="C132" s="6"/>
      <c r="D132" s="6"/>
      <c r="E132" s="6"/>
      <c r="F132" s="6"/>
      <c r="G132" s="6"/>
      <c r="H132" s="6"/>
      <c r="I132" s="7"/>
      <c r="J132" s="6"/>
    </row>
    <row r="133" spans="1:10" x14ac:dyDescent="0.25">
      <c r="A133" s="6" t="s">
        <v>89</v>
      </c>
      <c r="B133" s="6"/>
      <c r="C133" s="6"/>
      <c r="D133" s="6"/>
      <c r="E133" s="6"/>
      <c r="F133" s="6"/>
      <c r="G133" s="6"/>
      <c r="H133" s="6"/>
      <c r="I133" s="7"/>
      <c r="J133" s="6"/>
    </row>
    <row r="134" spans="1:10" x14ac:dyDescent="0.25">
      <c r="A134" s="6" t="s">
        <v>20</v>
      </c>
      <c r="B134" s="8"/>
      <c r="C134" s="8"/>
      <c r="D134" s="8"/>
      <c r="E134" s="8"/>
      <c r="F134" s="8"/>
      <c r="G134" s="8"/>
      <c r="H134" s="8"/>
      <c r="I134" s="9"/>
      <c r="J134" s="6"/>
    </row>
    <row r="135" spans="1:10" x14ac:dyDescent="0.25">
      <c r="A135" s="6" t="s">
        <v>53</v>
      </c>
      <c r="B135" s="6"/>
      <c r="C135" s="6"/>
      <c r="D135" s="6"/>
      <c r="E135" s="6"/>
      <c r="F135" s="6"/>
      <c r="G135" s="6"/>
      <c r="H135" s="6"/>
      <c r="I135" s="7"/>
      <c r="J135" s="6"/>
    </row>
    <row r="136" spans="1:10" x14ac:dyDescent="0.25">
      <c r="A136" s="6" t="s">
        <v>54</v>
      </c>
      <c r="B136" s="6"/>
      <c r="C136" s="6"/>
      <c r="D136" s="6"/>
      <c r="E136" s="6"/>
      <c r="F136" s="6"/>
      <c r="G136" s="6"/>
      <c r="H136" s="6"/>
      <c r="I136" s="7"/>
      <c r="J136" s="6"/>
    </row>
    <row r="137" spans="1:10" x14ac:dyDescent="0.25">
      <c r="A137" s="6" t="s">
        <v>55</v>
      </c>
      <c r="B137" s="6"/>
      <c r="C137" s="6"/>
      <c r="D137" s="6"/>
      <c r="E137" s="6"/>
      <c r="F137" s="6"/>
      <c r="G137" s="6"/>
      <c r="H137" s="6"/>
      <c r="I137" s="7"/>
      <c r="J137" s="6"/>
    </row>
    <row r="138" spans="1:10" x14ac:dyDescent="0.25">
      <c r="A138" s="6" t="s">
        <v>56</v>
      </c>
      <c r="B138" s="6"/>
      <c r="C138" s="6"/>
      <c r="D138" s="6"/>
      <c r="E138" s="6"/>
      <c r="F138" s="6"/>
      <c r="G138" s="6"/>
      <c r="H138" s="6"/>
      <c r="I138" s="7"/>
      <c r="J138" s="6"/>
    </row>
    <row r="139" spans="1:10" x14ac:dyDescent="0.25">
      <c r="A139" s="6" t="s">
        <v>57</v>
      </c>
      <c r="B139" s="6"/>
      <c r="C139" s="6"/>
      <c r="D139" s="6"/>
      <c r="E139" s="6"/>
      <c r="F139" s="6"/>
      <c r="G139" s="6"/>
      <c r="H139" s="6"/>
      <c r="I139" s="7"/>
      <c r="J139" s="6"/>
    </row>
    <row r="140" spans="1:10" x14ac:dyDescent="0.25">
      <c r="A140" s="6" t="s">
        <v>58</v>
      </c>
      <c r="B140" s="6"/>
      <c r="C140" s="6"/>
      <c r="D140" s="6"/>
      <c r="E140" s="6"/>
      <c r="F140" s="6"/>
      <c r="G140" s="6"/>
      <c r="H140" s="6"/>
      <c r="I140" s="7"/>
      <c r="J140" s="6"/>
    </row>
    <row r="141" spans="1:10" x14ac:dyDescent="0.25">
      <c r="A141" s="6" t="s">
        <v>59</v>
      </c>
      <c r="B141" s="6"/>
      <c r="C141" s="6"/>
      <c r="D141" s="6"/>
      <c r="E141" s="6"/>
      <c r="F141" s="6"/>
      <c r="G141" s="6"/>
      <c r="H141" s="6"/>
      <c r="I141" s="7"/>
      <c r="J141" s="6"/>
    </row>
    <row r="142" spans="1:10" x14ac:dyDescent="0.25">
      <c r="A142" s="6" t="s">
        <v>60</v>
      </c>
      <c r="B142" s="6"/>
      <c r="C142" s="6"/>
      <c r="D142" s="6"/>
      <c r="E142" s="6"/>
      <c r="F142" s="6"/>
      <c r="G142" s="6"/>
      <c r="H142" s="6"/>
      <c r="I142" s="7"/>
      <c r="J142" s="6"/>
    </row>
    <row r="143" spans="1:10" x14ac:dyDescent="0.25">
      <c r="A143" s="6" t="s">
        <v>61</v>
      </c>
      <c r="B143" s="6"/>
      <c r="C143" s="6"/>
      <c r="D143" s="6"/>
      <c r="E143" s="6"/>
      <c r="F143" s="6"/>
      <c r="G143" s="6"/>
      <c r="H143" s="6"/>
      <c r="I143" s="7"/>
      <c r="J143" s="6"/>
    </row>
    <row r="144" spans="1:10" x14ac:dyDescent="0.25">
      <c r="A144" s="6" t="s">
        <v>62</v>
      </c>
      <c r="B144" s="6"/>
      <c r="C144" s="6"/>
      <c r="D144" s="6"/>
      <c r="E144" s="6"/>
      <c r="F144" s="6"/>
      <c r="G144" s="6"/>
      <c r="H144" s="6"/>
      <c r="I144" s="7"/>
      <c r="J144" s="6"/>
    </row>
    <row r="145" spans="1:10" x14ac:dyDescent="0.25">
      <c r="A145" s="6" t="s">
        <v>63</v>
      </c>
      <c r="B145" s="6"/>
      <c r="C145" s="6"/>
      <c r="D145" s="6"/>
      <c r="E145" s="6"/>
      <c r="F145" s="6"/>
      <c r="G145" s="6"/>
      <c r="H145" s="6"/>
      <c r="I145" s="7"/>
      <c r="J145" s="6"/>
    </row>
    <row r="146" spans="1:10" x14ac:dyDescent="0.25">
      <c r="A146" s="6" t="s">
        <v>64</v>
      </c>
      <c r="B146" s="6"/>
      <c r="C146" s="6"/>
      <c r="D146" s="6"/>
      <c r="E146" s="6"/>
      <c r="F146" s="6"/>
      <c r="G146" s="6"/>
      <c r="H146" s="6"/>
      <c r="I146" s="7"/>
      <c r="J146" s="6"/>
    </row>
    <row r="147" spans="1:10" x14ac:dyDescent="0.25">
      <c r="A147" s="6" t="s">
        <v>65</v>
      </c>
      <c r="B147" s="8"/>
      <c r="C147" s="8"/>
      <c r="D147" s="8"/>
      <c r="E147" s="8"/>
      <c r="F147" s="8"/>
      <c r="G147" s="8"/>
      <c r="H147" s="8"/>
      <c r="I147" s="9"/>
      <c r="J147" s="6"/>
    </row>
    <row r="148" spans="1:10" x14ac:dyDescent="0.25">
      <c r="A148" s="6" t="s">
        <v>66</v>
      </c>
      <c r="B148" s="6"/>
      <c r="C148" s="6"/>
      <c r="D148" s="6"/>
      <c r="E148" s="6"/>
      <c r="F148" s="6"/>
      <c r="G148" s="6"/>
      <c r="H148" s="6"/>
      <c r="I148" s="7"/>
      <c r="J148" s="6"/>
    </row>
    <row r="149" spans="1:10" x14ac:dyDescent="0.25">
      <c r="A149" s="6" t="s">
        <v>8</v>
      </c>
      <c r="B149" s="6"/>
      <c r="C149" s="6"/>
      <c r="D149" s="6"/>
      <c r="E149" s="6"/>
      <c r="F149" s="6"/>
      <c r="G149" s="6"/>
      <c r="H149" s="6"/>
      <c r="I149" s="7"/>
      <c r="J149" s="6"/>
    </row>
    <row r="150" spans="1:10" x14ac:dyDescent="0.25">
      <c r="A150" s="6" t="s">
        <v>67</v>
      </c>
      <c r="B150" s="6"/>
      <c r="C150" s="6"/>
      <c r="D150" s="6"/>
      <c r="E150" s="6"/>
      <c r="F150" s="6"/>
      <c r="G150" s="6"/>
      <c r="H150" s="6"/>
      <c r="I150" s="7"/>
      <c r="J150" s="6"/>
    </row>
    <row r="151" spans="1:10" x14ac:dyDescent="0.25">
      <c r="A151" s="6" t="s">
        <v>90</v>
      </c>
      <c r="B151" s="6"/>
      <c r="C151" s="6"/>
      <c r="D151" s="6"/>
      <c r="E151" s="6"/>
      <c r="F151" s="6"/>
      <c r="G151" s="6"/>
      <c r="H151" s="6"/>
      <c r="I151" s="7"/>
      <c r="J151" s="6"/>
    </row>
    <row r="152" spans="1:10" x14ac:dyDescent="0.25">
      <c r="A152" s="6" t="s">
        <v>23</v>
      </c>
      <c r="B152" s="6"/>
      <c r="C152" s="6"/>
      <c r="D152" s="6"/>
      <c r="E152" s="6"/>
      <c r="F152" s="6"/>
      <c r="G152" s="6"/>
      <c r="H152" s="6"/>
      <c r="I152" s="7"/>
      <c r="J152" s="6"/>
    </row>
    <row r="153" spans="1:10" x14ac:dyDescent="0.25">
      <c r="A153" s="6" t="s">
        <v>24</v>
      </c>
      <c r="B153" s="6"/>
      <c r="C153" s="6"/>
      <c r="D153" s="6"/>
      <c r="E153" s="6"/>
      <c r="F153" s="6"/>
      <c r="G153" s="6"/>
      <c r="H153" s="6"/>
      <c r="I153" s="7"/>
      <c r="J153" s="6"/>
    </row>
    <row r="154" spans="1:10" x14ac:dyDescent="0.25">
      <c r="A154" s="6" t="s">
        <v>25</v>
      </c>
      <c r="B154" s="8"/>
      <c r="C154" s="8"/>
      <c r="D154" s="8"/>
      <c r="E154" s="8"/>
      <c r="F154" s="8"/>
      <c r="G154" s="8"/>
      <c r="H154" s="8"/>
      <c r="I154" s="9"/>
      <c r="J154" s="6"/>
    </row>
    <row r="155" spans="1:10" x14ac:dyDescent="0.25">
      <c r="A155" s="6" t="s">
        <v>26</v>
      </c>
      <c r="B155" s="6"/>
      <c r="C155" s="6"/>
      <c r="D155" s="6"/>
      <c r="E155" s="6"/>
      <c r="F155" s="6"/>
      <c r="G155" s="6"/>
      <c r="H155" s="6"/>
      <c r="I155" s="7"/>
      <c r="J155" s="6"/>
    </row>
    <row r="156" spans="1:10" x14ac:dyDescent="0.25">
      <c r="A156" s="6" t="s">
        <v>27</v>
      </c>
      <c r="B156" s="6"/>
      <c r="C156" s="6"/>
      <c r="D156" s="6"/>
      <c r="E156" s="6"/>
      <c r="F156" s="6"/>
      <c r="G156" s="6"/>
      <c r="H156" s="6"/>
      <c r="I156" s="7"/>
      <c r="J156" s="6"/>
    </row>
    <row r="157" spans="1:10" x14ac:dyDescent="0.25">
      <c r="A157" s="6" t="s">
        <v>28</v>
      </c>
      <c r="B157" s="6"/>
      <c r="C157" s="6"/>
      <c r="D157" s="6"/>
      <c r="E157" s="6"/>
      <c r="F157" s="6"/>
      <c r="G157" s="6"/>
      <c r="H157" s="6"/>
      <c r="I157" s="7"/>
      <c r="J157" s="6"/>
    </row>
    <row r="158" spans="1:10" x14ac:dyDescent="0.25">
      <c r="A158" s="6" t="s">
        <v>29</v>
      </c>
      <c r="B158" s="1" t="s">
        <v>1</v>
      </c>
      <c r="C158" s="1" t="s">
        <v>0</v>
      </c>
      <c r="D158" s="1">
        <v>55</v>
      </c>
      <c r="E158" s="1">
        <v>57</v>
      </c>
      <c r="F158" s="1">
        <v>59</v>
      </c>
      <c r="G158" s="1">
        <v>61</v>
      </c>
      <c r="H158" s="1">
        <v>63</v>
      </c>
      <c r="I158" s="3" t="s">
        <v>2</v>
      </c>
      <c r="J158" s="6"/>
    </row>
    <row r="159" spans="1:10" x14ac:dyDescent="0.25">
      <c r="A159" s="6" t="s">
        <v>91</v>
      </c>
      <c r="B159" t="str" cm="1">
        <f t="array" ref="B159">БУКВЫ(MID($A159,3,11))</f>
        <v>775110317</v>
      </c>
      <c r="C159">
        <f>_xlfn.LET(_xlpm.Searching,"OSFA",_xlpm.inStr,IFERROR(FIND(_xlpm.Searching,$A161)&gt;=1,FALSE),IF(AND(_xlpm.inStr,LEN(A161)&lt;=6),A162,""))</f>
        <v>100</v>
      </c>
      <c r="D159" t="str">
        <f>_xlfn.LET(_xlpm.Searching,"55",_xlpm.inStr,IFERROR(FIND(_xlpm.Searching,$A161)&gt;=1,FALSE),IF(AND(_xlpm.inStr,LEN(A161)&lt;=6),A162,""))</f>
        <v/>
      </c>
      <c r="E159" t="str">
        <f>_xlfn.LET(_xlpm.Searching,"57",_xlpm.inStr,IFERROR(FIND(_xlpm.Searching,$A161)&gt;=1,FALSE),IF(AND(_xlpm.inStr,LEN(A161)&lt;=6),$A162,""))&amp;E160</f>
        <v/>
      </c>
      <c r="F159" t="str">
        <f>_xlfn.LET(_xlpm.Searching,"59",_xlpm.inStr,IFERROR(FIND(_xlpm.Searching,$A161)&gt;=1,FALSE),IF(AND(_xlpm.inStr,LEN(A161)&lt;=6),$A162,""))&amp;F160&amp;F161</f>
        <v/>
      </c>
      <c r="G159" t="str">
        <f>_xlfn.LET(_xlpm.Searching,"61",_xlpm.inStr,IFERROR(FIND(_xlpm.Searching,$A161)&gt;=1,FALSE),IF(AND(_xlpm.inStr,LEN(A161)&lt;=6),$A162,""))&amp;G160&amp;G161&amp;G162</f>
        <v/>
      </c>
      <c r="H159" t="str">
        <f>_xlfn.LET(_xlpm.Searching,"63",_xlpm.inStr,IFERROR(FIND(_xlpm.Searching,$A161)&gt;=1,FALSE),IF(AND(_xlpm.inStr,LEN(A161)&lt;=6),$A162,""))&amp;H160&amp;H161&amp;H162&amp;H163</f>
        <v/>
      </c>
      <c r="I159" s="4">
        <f>MID(TRIM(RIGHT(A159,10)),1,LEN(TRIM(RIGHT(A159,10)))-3)*0.8</f>
        <v>11.920000000000002</v>
      </c>
      <c r="J159" s="6"/>
    </row>
    <row r="160" spans="1:10" x14ac:dyDescent="0.25">
      <c r="A160" s="6" t="s">
        <v>92</v>
      </c>
      <c r="B160" t="str" cm="1">
        <f t="array" ref="B160">БУКВЫ(MID($A159,3,11))</f>
        <v>775110317</v>
      </c>
      <c r="C160" s="2"/>
      <c r="D160" s="2"/>
      <c r="E160" t="str">
        <f>_xlfn.LET(_xlpm.Searching,"57",_xlpm.inStr,IFERROR(FIND(_xlpm.Searching,$A163)&gt;=1,FALSE),IF(AND(_xlpm.inStr,LEN(A163)&lt;=6),$A164,""))</f>
        <v/>
      </c>
      <c r="F160" t="str">
        <f>_xlfn.LET(_xlpm.Searching,"59",_xlpm.inStr,IFERROR(FIND(_xlpm.Searching,$A163)&gt;=1,FALSE),IF(AND(_xlpm.inStr,LEN(A163)&lt;=6),$A164,""))</f>
        <v/>
      </c>
      <c r="G160" t="str">
        <f>_xlfn.LET(_xlpm.Searching,"61",_xlpm.inStr,IFERROR(FIND(_xlpm.Searching,$A163)&gt;=1,FALSE),IF(AND(_xlpm.inStr,LEN(A163)&lt;=6),$A164,""))</f>
        <v/>
      </c>
      <c r="H160" t="str">
        <f>_xlfn.LET(_xlpm.Searching,"63",_xlpm.inStr,IFERROR(FIND(_xlpm.Searching,$A163)&gt;=1,FALSE),IF(AND(_xlpm.inStr,LEN(A163)&lt;=6),$A164,""))</f>
        <v/>
      </c>
      <c r="J160" s="6"/>
    </row>
    <row r="161" spans="1:10" x14ac:dyDescent="0.25">
      <c r="A161" s="6" t="s">
        <v>0</v>
      </c>
      <c r="B161" t="str" cm="1">
        <f t="array" ref="B161">БУКВЫ(MID($A159,3,11))</f>
        <v>775110317</v>
      </c>
      <c r="C161" s="2"/>
      <c r="D161" s="2"/>
      <c r="E161" s="2"/>
      <c r="F161" t="str">
        <f>_xlfn.LET(_xlpm.Searching,"59",_xlpm.inStr,IFERROR(FIND(_xlpm.Searching,$A165)&gt;=1,FALSE),IF(AND(_xlpm.inStr,LEN(A165)&lt;=6),$A166,""))</f>
        <v/>
      </c>
      <c r="G161" t="str">
        <f>_xlfn.LET(_xlpm.Searching,"61",_xlpm.inStr,IFERROR(FIND(_xlpm.Searching,$A165)&gt;=1,FALSE),IF(AND(_xlpm.inStr,LEN(A165)&lt;=6),$A166,""))</f>
        <v/>
      </c>
      <c r="H161" t="str">
        <f>_xlfn.LET(_xlpm.Searching,"63",_xlpm.inStr,IFERROR(FIND(_xlpm.Searching,$A165)&gt;=1,FALSE),IF(AND(_xlpm.inStr,LEN(A165)&lt;=6),$A166,""))</f>
        <v/>
      </c>
      <c r="J161" s="6"/>
    </row>
    <row r="162" spans="1:10" x14ac:dyDescent="0.25">
      <c r="A162" s="6">
        <v>100</v>
      </c>
      <c r="B162" t="str" cm="1">
        <f t="array" ref="B162">БУКВЫ(MID($A159,3,11))</f>
        <v>775110317</v>
      </c>
      <c r="C162" s="2"/>
      <c r="D162" s="2"/>
      <c r="E162" s="2"/>
      <c r="F162" s="2"/>
      <c r="G162" t="str">
        <f>_xlfn.LET(_xlpm.Searching,"61",_xlpm.inStr,IFERROR(FIND(_xlpm.Searching,$A167)&gt;=1,FALSE),IF(AND(_xlpm.inStr,LEN(A167)&lt;=6),$A168,""))</f>
        <v/>
      </c>
      <c r="H162" t="str">
        <f>_xlfn.LET(_xlpm.Searching,"63",_xlpm.inStr,IFERROR(FIND(_xlpm.Searching,$A167)&gt;=1,FALSE),IF(AND(_xlpm.inStr,LEN(A167)&lt;=6),$A168,""))</f>
        <v/>
      </c>
      <c r="J162" s="6"/>
    </row>
    <row r="163" spans="1:10" x14ac:dyDescent="0.25">
      <c r="A163" s="6" t="s">
        <v>50</v>
      </c>
      <c r="B163" t="str" cm="1">
        <f t="array" ref="B163">БУКВЫ(MID($A159,3,11))</f>
        <v>775110317</v>
      </c>
      <c r="C163" s="2"/>
      <c r="D163" s="2"/>
      <c r="E163" s="2"/>
      <c r="F163" s="2"/>
      <c r="G163" s="2"/>
      <c r="H163" t="str">
        <f>_xlfn.LET(_xlpm.Searching,"63",_xlpm.inStr,IFERROR(FIND(_xlpm.Searching,$A169)&gt;=1,FALSE),IF(AND(_xlpm.inStr,LEN(A169)&lt;=6),$A170,""))</f>
        <v/>
      </c>
      <c r="J163" s="6"/>
    </row>
    <row r="164" spans="1:10" x14ac:dyDescent="0.25">
      <c r="A164" s="6" t="s">
        <v>88</v>
      </c>
      <c r="B164" s="6"/>
      <c r="C164" s="6"/>
      <c r="D164" s="6"/>
      <c r="E164" s="6"/>
      <c r="F164" s="6"/>
      <c r="G164" s="6"/>
      <c r="H164" s="6"/>
      <c r="I164" s="7"/>
      <c r="J164" s="6"/>
    </row>
    <row r="165" spans="1:10" x14ac:dyDescent="0.25">
      <c r="A165" s="6" t="s">
        <v>89</v>
      </c>
      <c r="B165" s="1" t="s">
        <v>1</v>
      </c>
      <c r="C165" s="1" t="s">
        <v>0</v>
      </c>
      <c r="D165" s="1">
        <v>55</v>
      </c>
      <c r="E165" s="1">
        <v>57</v>
      </c>
      <c r="F165" s="1">
        <v>59</v>
      </c>
      <c r="G165" s="1">
        <v>61</v>
      </c>
      <c r="H165" s="1">
        <v>63</v>
      </c>
      <c r="I165" s="3" t="s">
        <v>2</v>
      </c>
      <c r="J165" s="6"/>
    </row>
    <row r="166" spans="1:10" x14ac:dyDescent="0.25">
      <c r="A166" s="6" t="s">
        <v>93</v>
      </c>
      <c r="B166" t="str" cm="1">
        <f t="array" ref="B166">БУКВЫ(MID($A166,3,11))</f>
        <v>775110387</v>
      </c>
      <c r="C166">
        <f>_xlfn.LET(_xlpm.Searching,"OSFA",_xlpm.inStr,IFERROR(FIND(_xlpm.Searching,$A168)&gt;=1,FALSE),IF(AND(_xlpm.inStr,LEN(A168)&lt;=6),A169,""))</f>
        <v>100</v>
      </c>
      <c r="D166" t="str">
        <f>_xlfn.LET(_xlpm.Searching,"55",_xlpm.inStr,IFERROR(FIND(_xlpm.Searching,$A168)&gt;=1,FALSE),IF(AND(_xlpm.inStr,LEN(A168)&lt;=6),A169,""))</f>
        <v/>
      </c>
      <c r="E166" t="str">
        <f>_xlfn.LET(_xlpm.Searching,"57",_xlpm.inStr,IFERROR(FIND(_xlpm.Searching,$A168)&gt;=1,FALSE),IF(AND(_xlpm.inStr,LEN(A168)&lt;=6),$A169,""))&amp;E167</f>
        <v/>
      </c>
      <c r="F166" t="str">
        <f>_xlfn.LET(_xlpm.Searching,"59",_xlpm.inStr,IFERROR(FIND(_xlpm.Searching,$A168)&gt;=1,FALSE),IF(AND(_xlpm.inStr,LEN(A168)&lt;=6),$A169,""))&amp;F167&amp;F168</f>
        <v/>
      </c>
      <c r="G166" t="str">
        <f>_xlfn.LET(_xlpm.Searching,"61",_xlpm.inStr,IFERROR(FIND(_xlpm.Searching,$A168)&gt;=1,FALSE),IF(AND(_xlpm.inStr,LEN(A168)&lt;=6),$A169,""))&amp;G167&amp;G168&amp;G169</f>
        <v/>
      </c>
      <c r="H166" t="str">
        <f>_xlfn.LET(_xlpm.Searching,"63",_xlpm.inStr,IFERROR(FIND(_xlpm.Searching,$A168)&gt;=1,FALSE),IF(AND(_xlpm.inStr,LEN(A168)&lt;=6),$A169,""))&amp;H167&amp;H168&amp;H169&amp;H170</f>
        <v/>
      </c>
      <c r="I166" s="4">
        <f>MID(TRIM(RIGHT(A166,10)),1,LEN(TRIM(RIGHT(A166,10)))-3)*0.8</f>
        <v>11.920000000000002</v>
      </c>
      <c r="J166" s="6"/>
    </row>
    <row r="167" spans="1:10" x14ac:dyDescent="0.25">
      <c r="A167" s="6" t="s">
        <v>92</v>
      </c>
      <c r="B167" t="str" cm="1">
        <f t="array" ref="B167">БУКВЫ(MID($A166,3,11))</f>
        <v>775110387</v>
      </c>
      <c r="C167" s="2"/>
      <c r="D167" s="2"/>
      <c r="E167" t="str">
        <f>_xlfn.LET(_xlpm.Searching,"57",_xlpm.inStr,IFERROR(FIND(_xlpm.Searching,$A170)&gt;=1,FALSE),IF(AND(_xlpm.inStr,LEN(A170)&lt;=6),$A171,""))</f>
        <v/>
      </c>
      <c r="F167" t="str">
        <f>_xlfn.LET(_xlpm.Searching,"59",_xlpm.inStr,IFERROR(FIND(_xlpm.Searching,$A170)&gt;=1,FALSE),IF(AND(_xlpm.inStr,LEN(A170)&lt;=6),$A171,""))</f>
        <v/>
      </c>
      <c r="G167" t="str">
        <f>_xlfn.LET(_xlpm.Searching,"61",_xlpm.inStr,IFERROR(FIND(_xlpm.Searching,$A170)&gt;=1,FALSE),IF(AND(_xlpm.inStr,LEN(A170)&lt;=6),$A171,""))</f>
        <v/>
      </c>
      <c r="H167" t="str">
        <f>_xlfn.LET(_xlpm.Searching,"63",_xlpm.inStr,IFERROR(FIND(_xlpm.Searching,$A170)&gt;=1,FALSE),IF(AND(_xlpm.inStr,LEN(A170)&lt;=6),$A171,""))</f>
        <v/>
      </c>
      <c r="J167" s="6"/>
    </row>
    <row r="168" spans="1:10" x14ac:dyDescent="0.25">
      <c r="A168" s="6" t="s">
        <v>0</v>
      </c>
      <c r="B168" t="str" cm="1">
        <f t="array" ref="B168">БУКВЫ(MID($A166,3,11))</f>
        <v>775110387</v>
      </c>
      <c r="C168" s="2"/>
      <c r="D168" s="2"/>
      <c r="E168" s="2"/>
      <c r="F168" t="str">
        <f>_xlfn.LET(_xlpm.Searching,"59",_xlpm.inStr,IFERROR(FIND(_xlpm.Searching,$A172)&gt;=1,FALSE),IF(AND(_xlpm.inStr,LEN(A172)&lt;=6),$A173,""))</f>
        <v/>
      </c>
      <c r="G168" t="str">
        <f>_xlfn.LET(_xlpm.Searching,"61",_xlpm.inStr,IFERROR(FIND(_xlpm.Searching,$A172)&gt;=1,FALSE),IF(AND(_xlpm.inStr,LEN(A172)&lt;=6),$A173,""))</f>
        <v/>
      </c>
      <c r="H168" t="str">
        <f>_xlfn.LET(_xlpm.Searching,"63",_xlpm.inStr,IFERROR(FIND(_xlpm.Searching,$A172)&gt;=1,FALSE),IF(AND(_xlpm.inStr,LEN(A172)&lt;=6),$A173,""))</f>
        <v/>
      </c>
      <c r="J168" s="6"/>
    </row>
    <row r="169" spans="1:10" x14ac:dyDescent="0.25">
      <c r="A169" s="6">
        <v>100</v>
      </c>
      <c r="B169" t="str" cm="1">
        <f t="array" ref="B169">БУКВЫ(MID($A166,3,11))</f>
        <v>775110387</v>
      </c>
      <c r="C169" s="2"/>
      <c r="D169" s="2"/>
      <c r="E169" s="2"/>
      <c r="F169" s="2"/>
      <c r="G169" t="str">
        <f>_xlfn.LET(_xlpm.Searching,"61",_xlpm.inStr,IFERROR(FIND(_xlpm.Searching,$A174)&gt;=1,FALSE),IF(AND(_xlpm.inStr,LEN(A174)&lt;=6),$A175,""))</f>
        <v/>
      </c>
      <c r="H169" t="str">
        <f>_xlfn.LET(_xlpm.Searching,"63",_xlpm.inStr,IFERROR(FIND(_xlpm.Searching,$A174)&gt;=1,FALSE),IF(AND(_xlpm.inStr,LEN(A174)&lt;=6),$A175,""))</f>
        <v/>
      </c>
      <c r="J169" s="6"/>
    </row>
    <row r="170" spans="1:10" x14ac:dyDescent="0.25">
      <c r="A170" s="6" t="s">
        <v>50</v>
      </c>
      <c r="B170" t="str" cm="1">
        <f t="array" ref="B170">БУКВЫ(MID($A166,3,11))</f>
        <v>775110387</v>
      </c>
      <c r="C170" s="2"/>
      <c r="D170" s="2"/>
      <c r="E170" s="2"/>
      <c r="F170" s="2"/>
      <c r="G170" s="2"/>
      <c r="H170" t="str">
        <f>_xlfn.LET(_xlpm.Searching,"63",_xlpm.inStr,IFERROR(FIND(_xlpm.Searching,$A176)&gt;=1,FALSE),IF(AND(_xlpm.inStr,LEN(A176)&lt;=6),$A177,""))</f>
        <v/>
      </c>
      <c r="J170" s="6"/>
    </row>
    <row r="171" spans="1:10" x14ac:dyDescent="0.25">
      <c r="A171" s="6" t="s">
        <v>88</v>
      </c>
      <c r="B171" s="6"/>
      <c r="C171" s="6"/>
      <c r="D171" s="6"/>
      <c r="E171" s="6"/>
      <c r="F171" s="6"/>
      <c r="G171" s="6"/>
      <c r="H171" s="6"/>
      <c r="I171" s="7"/>
      <c r="J171" s="6"/>
    </row>
    <row r="172" spans="1:10" x14ac:dyDescent="0.25">
      <c r="A172" s="6" t="s">
        <v>89</v>
      </c>
      <c r="B172" s="1" t="s">
        <v>1</v>
      </c>
      <c r="C172" s="1" t="s">
        <v>0</v>
      </c>
      <c r="D172" s="1">
        <v>55</v>
      </c>
      <c r="E172" s="1">
        <v>57</v>
      </c>
      <c r="F172" s="1">
        <v>59</v>
      </c>
      <c r="G172" s="1">
        <v>61</v>
      </c>
      <c r="H172" s="1">
        <v>63</v>
      </c>
      <c r="I172" s="3" t="s">
        <v>2</v>
      </c>
      <c r="J172" s="6"/>
    </row>
    <row r="173" spans="1:10" x14ac:dyDescent="0.25">
      <c r="A173" s="6" t="s">
        <v>94</v>
      </c>
      <c r="B173" t="str" cm="1">
        <f t="array" ref="B173">БУКВЫ(MID($A173,3,11))</f>
        <v>245840271</v>
      </c>
      <c r="C173" t="str">
        <f>_xlfn.LET(_xlpm.Searching,"OSFA",_xlpm.inStr,IFERROR(FIND(_xlpm.Searching,$A175)&gt;=1,FALSE),IF(AND(_xlpm.inStr,LEN(A175)&lt;=6),A176,""))</f>
        <v/>
      </c>
      <c r="D173" t="str">
        <f>_xlfn.LET(_xlpm.Searching,"55",_xlpm.inStr,IFERROR(FIND(_xlpm.Searching,$A175)&gt;=1,FALSE),IF(AND(_xlpm.inStr,LEN(A175)&lt;=6),A176,""))</f>
        <v/>
      </c>
      <c r="E173" t="str">
        <f>_xlfn.LET(_xlpm.Searching,"57",_xlpm.inStr,IFERROR(FIND(_xlpm.Searching,$A175)&gt;=1,FALSE),IF(AND(_xlpm.inStr,LEN(A175)&lt;=6),$A176,""))&amp;E174</f>
        <v>1</v>
      </c>
      <c r="F173" t="str">
        <f>_xlfn.LET(_xlpm.Searching,"59",_xlpm.inStr,IFERROR(FIND(_xlpm.Searching,$A175)&gt;=1,FALSE),IF(AND(_xlpm.inStr,LEN(A175)&lt;=6),$A176,""))&amp;F174&amp;F175</f>
        <v>1</v>
      </c>
      <c r="G173" t="str">
        <f>_xlfn.LET(_xlpm.Searching,"61",_xlpm.inStr,IFERROR(FIND(_xlpm.Searching,$A175)&gt;=1,FALSE),IF(AND(_xlpm.inStr,LEN(A175)&lt;=6),$A176,""))&amp;G174&amp;G175&amp;G176</f>
        <v/>
      </c>
      <c r="H173" t="str">
        <f>_xlfn.LET(_xlpm.Searching,"63",_xlpm.inStr,IFERROR(FIND(_xlpm.Searching,$A175)&gt;=1,FALSE),IF(AND(_xlpm.inStr,LEN(A175)&lt;=6),$A176,""))&amp;H174&amp;H175&amp;H176&amp;H177</f>
        <v/>
      </c>
      <c r="I173" s="4">
        <f>MID(TRIM(RIGHT(A173,10)),1,LEN(TRIM(RIGHT(A173,10)))-3)*0.8</f>
        <v>87.2</v>
      </c>
      <c r="J173" s="6"/>
    </row>
    <row r="174" spans="1:10" x14ac:dyDescent="0.25">
      <c r="A174" s="6" t="s">
        <v>95</v>
      </c>
      <c r="B174" t="str" cm="1">
        <f t="array" ref="B174">БУКВЫ(MID($A173,3,11))</f>
        <v>245840271</v>
      </c>
      <c r="C174" s="2"/>
      <c r="D174" s="2"/>
      <c r="E174" t="str">
        <f>_xlfn.LET(_xlpm.Searching,"57",_xlpm.inStr,IFERROR(FIND(_xlpm.Searching,$A177)&gt;=1,FALSE),IF(AND(_xlpm.inStr,LEN(A177)&lt;=6),$A178,""))</f>
        <v/>
      </c>
      <c r="F174">
        <f>_xlfn.LET(_xlpm.Searching,"59",_xlpm.inStr,IFERROR(FIND(_xlpm.Searching,$A177)&gt;=1,FALSE),IF(AND(_xlpm.inStr,LEN(A177)&lt;=6),$A178,""))</f>
        <v>1</v>
      </c>
      <c r="G174" t="str">
        <f>_xlfn.LET(_xlpm.Searching,"61",_xlpm.inStr,IFERROR(FIND(_xlpm.Searching,$A177)&gt;=1,FALSE),IF(AND(_xlpm.inStr,LEN(A177)&lt;=6),$A178,""))</f>
        <v/>
      </c>
      <c r="H174" t="str">
        <f>_xlfn.LET(_xlpm.Searching,"63",_xlpm.inStr,IFERROR(FIND(_xlpm.Searching,$A177)&gt;=1,FALSE),IF(AND(_xlpm.inStr,LEN(A177)&lt;=6),$A178,""))</f>
        <v/>
      </c>
      <c r="J174" s="6"/>
    </row>
    <row r="175" spans="1:10" x14ac:dyDescent="0.25">
      <c r="A175" s="6" t="s">
        <v>43</v>
      </c>
      <c r="B175" t="str" cm="1">
        <f t="array" ref="B175">БУКВЫ(MID($A173,3,11))</f>
        <v>245840271</v>
      </c>
      <c r="C175" s="2"/>
      <c r="D175" s="2"/>
      <c r="E175" s="2"/>
      <c r="F175" t="str">
        <f>_xlfn.LET(_xlpm.Searching,"59",_xlpm.inStr,IFERROR(FIND(_xlpm.Searching,$A179)&gt;=1,FALSE),IF(AND(_xlpm.inStr,LEN(A179)&lt;=6),$A180,""))</f>
        <v/>
      </c>
      <c r="G175" t="str">
        <f>_xlfn.LET(_xlpm.Searching,"61",_xlpm.inStr,IFERROR(FIND(_xlpm.Searching,$A179)&gt;=1,FALSE),IF(AND(_xlpm.inStr,LEN(A179)&lt;=6),$A180,""))</f>
        <v/>
      </c>
      <c r="H175" t="str">
        <f>_xlfn.LET(_xlpm.Searching,"63",_xlpm.inStr,IFERROR(FIND(_xlpm.Searching,$A179)&gt;=1,FALSE),IF(AND(_xlpm.inStr,LEN(A179)&lt;=6),$A180,""))</f>
        <v/>
      </c>
      <c r="J175" s="6"/>
    </row>
    <row r="176" spans="1:10" x14ac:dyDescent="0.25">
      <c r="A176" s="6">
        <v>1</v>
      </c>
      <c r="B176" t="str" cm="1">
        <f t="array" ref="B176">БУКВЫ(MID($A173,3,11))</f>
        <v>245840271</v>
      </c>
      <c r="C176" s="2"/>
      <c r="D176" s="2"/>
      <c r="E176" s="2"/>
      <c r="F176" s="2"/>
      <c r="G176" t="str">
        <f>_xlfn.LET(_xlpm.Searching,"61",_xlpm.inStr,IFERROR(FIND(_xlpm.Searching,$A181)&gt;=1,FALSE),IF(AND(_xlpm.inStr,LEN(A181)&lt;=6),$A182,""))</f>
        <v/>
      </c>
      <c r="H176" t="str">
        <f>_xlfn.LET(_xlpm.Searching,"63",_xlpm.inStr,IFERROR(FIND(_xlpm.Searching,$A181)&gt;=1,FALSE),IF(AND(_xlpm.inStr,LEN(A181)&lt;=6),$A182,""))</f>
        <v/>
      </c>
      <c r="J176" s="6"/>
    </row>
    <row r="177" spans="1:10" x14ac:dyDescent="0.25">
      <c r="A177" s="6" t="s">
        <v>35</v>
      </c>
      <c r="B177" t="str" cm="1">
        <f t="array" ref="B177">БУКВЫ(MID($A173,3,11))</f>
        <v>245840271</v>
      </c>
      <c r="C177" s="2"/>
      <c r="D177" s="2"/>
      <c r="E177" s="2"/>
      <c r="F177" s="2"/>
      <c r="G177" s="2"/>
      <c r="H177" t="str">
        <f>_xlfn.LET(_xlpm.Searching,"63",_xlpm.inStr,IFERROR(FIND(_xlpm.Searching,$A183)&gt;=1,FALSE),IF(AND(_xlpm.inStr,LEN(A183)&lt;=6),$A184,""))</f>
        <v/>
      </c>
      <c r="J177" s="6"/>
    </row>
    <row r="178" spans="1:10" x14ac:dyDescent="0.25">
      <c r="A178" s="6">
        <v>1</v>
      </c>
      <c r="B178" s="6"/>
      <c r="C178" s="6"/>
      <c r="D178" s="6"/>
      <c r="E178" s="6"/>
      <c r="F178" s="6"/>
      <c r="G178" s="6"/>
      <c r="H178" s="6"/>
      <c r="I178" s="7"/>
      <c r="J178" s="6"/>
    </row>
    <row r="179" spans="1:10" x14ac:dyDescent="0.25">
      <c r="A179" s="6" t="s">
        <v>37</v>
      </c>
      <c r="B179" s="6"/>
      <c r="C179" s="6"/>
      <c r="D179" s="6"/>
      <c r="E179" s="6"/>
      <c r="F179" s="6"/>
      <c r="G179" s="6"/>
      <c r="H179" s="6"/>
      <c r="I179" s="7"/>
      <c r="J179" s="6"/>
    </row>
    <row r="180" spans="1:10" x14ac:dyDescent="0.25">
      <c r="A180" s="6" t="s">
        <v>96</v>
      </c>
      <c r="B180" s="6"/>
      <c r="C180" s="6"/>
      <c r="D180" s="6"/>
      <c r="E180" s="6"/>
      <c r="F180" s="6"/>
      <c r="G180" s="6"/>
      <c r="H180" s="6"/>
      <c r="I180" s="7"/>
      <c r="J180" s="6"/>
    </row>
    <row r="181" spans="1:10" x14ac:dyDescent="0.25">
      <c r="A181" s="6" t="s">
        <v>97</v>
      </c>
      <c r="B181" s="1" t="s">
        <v>1</v>
      </c>
      <c r="C181" s="1" t="s">
        <v>0</v>
      </c>
      <c r="D181" s="1">
        <v>55</v>
      </c>
      <c r="E181" s="1">
        <v>57</v>
      </c>
      <c r="F181" s="1">
        <v>59</v>
      </c>
      <c r="G181" s="1">
        <v>61</v>
      </c>
      <c r="H181" s="1">
        <v>63</v>
      </c>
      <c r="I181" s="3" t="s">
        <v>2</v>
      </c>
      <c r="J181" s="6"/>
    </row>
    <row r="182" spans="1:10" x14ac:dyDescent="0.25">
      <c r="A182" s="6" t="s">
        <v>98</v>
      </c>
      <c r="B182" t="str" cm="1">
        <f t="array" ref="B182">БУКВЫ(MID($A182,3,11))</f>
        <v>775110327</v>
      </c>
      <c r="C182">
        <f>_xlfn.LET(_xlpm.Searching,"OSFA",_xlpm.inStr,IFERROR(FIND(_xlpm.Searching,$A184)&gt;=1,FALSE),IF(AND(_xlpm.inStr,LEN(A184)&lt;=6),A185,""))</f>
        <v>70</v>
      </c>
      <c r="D182" t="str">
        <f>_xlfn.LET(_xlpm.Searching,"55",_xlpm.inStr,IFERROR(FIND(_xlpm.Searching,$A184)&gt;=1,FALSE),IF(AND(_xlpm.inStr,LEN(A184)&lt;=6),A185,""))</f>
        <v/>
      </c>
      <c r="E182" t="str">
        <f>_xlfn.LET(_xlpm.Searching,"57",_xlpm.inStr,IFERROR(FIND(_xlpm.Searching,$A184)&gt;=1,FALSE),IF(AND(_xlpm.inStr,LEN(A184)&lt;=6),$A185,""))&amp;E183</f>
        <v/>
      </c>
      <c r="F182" t="str">
        <f>_xlfn.LET(_xlpm.Searching,"59",_xlpm.inStr,IFERROR(FIND(_xlpm.Searching,$A184)&gt;=1,FALSE),IF(AND(_xlpm.inStr,LEN(A184)&lt;=6),$A185,""))&amp;F183&amp;F184</f>
        <v/>
      </c>
      <c r="G182" t="str">
        <f>_xlfn.LET(_xlpm.Searching,"61",_xlpm.inStr,IFERROR(FIND(_xlpm.Searching,$A184)&gt;=1,FALSE),IF(AND(_xlpm.inStr,LEN(A184)&lt;=6),$A185,""))&amp;G183&amp;G184&amp;G185</f>
        <v/>
      </c>
      <c r="H182" t="str">
        <f>_xlfn.LET(_xlpm.Searching,"63",_xlpm.inStr,IFERROR(FIND(_xlpm.Searching,$A184)&gt;=1,FALSE),IF(AND(_xlpm.inStr,LEN(A184)&lt;=6),$A185,""))&amp;H183&amp;H184&amp;H185&amp;H186</f>
        <v/>
      </c>
      <c r="I182" s="4">
        <f>MID(TRIM(RIGHT(A182,10)),1,LEN(TRIM(RIGHT(A182,10)))-3)*0.8</f>
        <v>11.920000000000002</v>
      </c>
      <c r="J182" s="6"/>
    </row>
    <row r="183" spans="1:10" x14ac:dyDescent="0.25">
      <c r="A183" s="6" t="s">
        <v>92</v>
      </c>
      <c r="B183" t="str" cm="1">
        <f t="array" ref="B183">БУКВЫ(MID($A182,3,11))</f>
        <v>775110327</v>
      </c>
      <c r="C183" s="2"/>
      <c r="D183" s="2"/>
      <c r="E183" t="str">
        <f>_xlfn.LET(_xlpm.Searching,"57",_xlpm.inStr,IFERROR(FIND(_xlpm.Searching,$A186)&gt;=1,FALSE),IF(AND(_xlpm.inStr,LEN(A186)&lt;=6),$A187,""))</f>
        <v/>
      </c>
      <c r="F183" t="str">
        <f>_xlfn.LET(_xlpm.Searching,"59",_xlpm.inStr,IFERROR(FIND(_xlpm.Searching,$A186)&gt;=1,FALSE),IF(AND(_xlpm.inStr,LEN(A186)&lt;=6),$A187,""))</f>
        <v/>
      </c>
      <c r="G183" t="str">
        <f>_xlfn.LET(_xlpm.Searching,"61",_xlpm.inStr,IFERROR(FIND(_xlpm.Searching,$A186)&gt;=1,FALSE),IF(AND(_xlpm.inStr,LEN(A186)&lt;=6),$A187,""))</f>
        <v/>
      </c>
      <c r="H183" t="str">
        <f>_xlfn.LET(_xlpm.Searching,"63",_xlpm.inStr,IFERROR(FIND(_xlpm.Searching,$A186)&gt;=1,FALSE),IF(AND(_xlpm.inStr,LEN(A186)&lt;=6),$A187,""))</f>
        <v/>
      </c>
      <c r="J183" s="6"/>
    </row>
    <row r="184" spans="1:10" x14ac:dyDescent="0.25">
      <c r="A184" s="6" t="s">
        <v>0</v>
      </c>
      <c r="B184" t="str" cm="1">
        <f t="array" ref="B184">БУКВЫ(MID($A182,3,11))</f>
        <v>775110327</v>
      </c>
      <c r="C184" s="2"/>
      <c r="D184" s="2"/>
      <c r="E184" s="2"/>
      <c r="F184" t="str">
        <f>_xlfn.LET(_xlpm.Searching,"59",_xlpm.inStr,IFERROR(FIND(_xlpm.Searching,$A188)&gt;=1,FALSE),IF(AND(_xlpm.inStr,LEN(A188)&lt;=6),$A189,""))</f>
        <v/>
      </c>
      <c r="G184" t="str">
        <f>_xlfn.LET(_xlpm.Searching,"61",_xlpm.inStr,IFERROR(FIND(_xlpm.Searching,$A188)&gt;=1,FALSE),IF(AND(_xlpm.inStr,LEN(A188)&lt;=6),$A189,""))</f>
        <v/>
      </c>
      <c r="H184" t="str">
        <f>_xlfn.LET(_xlpm.Searching,"63",_xlpm.inStr,IFERROR(FIND(_xlpm.Searching,$A188)&gt;=1,FALSE),IF(AND(_xlpm.inStr,LEN(A188)&lt;=6),$A189,""))</f>
        <v/>
      </c>
      <c r="J184" s="6"/>
    </row>
    <row r="185" spans="1:10" x14ac:dyDescent="0.25">
      <c r="A185" s="6">
        <v>70</v>
      </c>
      <c r="B185" t="str" cm="1">
        <f t="array" ref="B185">БУКВЫ(MID($A182,3,11))</f>
        <v>775110327</v>
      </c>
      <c r="C185" s="2"/>
      <c r="D185" s="2"/>
      <c r="E185" s="2"/>
      <c r="F185" s="2"/>
      <c r="G185" t="str">
        <f>_xlfn.LET(_xlpm.Searching,"61",_xlpm.inStr,IFERROR(FIND(_xlpm.Searching,$A190)&gt;=1,FALSE),IF(AND(_xlpm.inStr,LEN(A190)&lt;=6),$A191,""))</f>
        <v/>
      </c>
      <c r="H185" t="str">
        <f>_xlfn.LET(_xlpm.Searching,"63",_xlpm.inStr,IFERROR(FIND(_xlpm.Searching,$A190)&gt;=1,FALSE),IF(AND(_xlpm.inStr,LEN(A190)&lt;=6),$A191,""))</f>
        <v/>
      </c>
      <c r="J185" s="6"/>
    </row>
    <row r="186" spans="1:10" x14ac:dyDescent="0.25">
      <c r="A186" s="6" t="s">
        <v>50</v>
      </c>
      <c r="B186" t="str" cm="1">
        <f t="array" ref="B186">БУКВЫ(MID($A182,3,11))</f>
        <v>775110327</v>
      </c>
      <c r="C186" s="2"/>
      <c r="D186" s="2"/>
      <c r="E186" s="2"/>
      <c r="F186" s="2"/>
      <c r="G186" s="2"/>
      <c r="H186" t="str">
        <f>_xlfn.LET(_xlpm.Searching,"63",_xlpm.inStr,IFERROR(FIND(_xlpm.Searching,$A192)&gt;=1,FALSE),IF(AND(_xlpm.inStr,LEN(A192)&lt;=6),$A193,""))</f>
        <v/>
      </c>
      <c r="J186" s="6"/>
    </row>
    <row r="187" spans="1:10" x14ac:dyDescent="0.25">
      <c r="A187" s="6" t="s">
        <v>99</v>
      </c>
      <c r="B187" s="6"/>
      <c r="C187" s="6"/>
      <c r="D187" s="6"/>
      <c r="E187" s="6"/>
      <c r="F187" s="6"/>
      <c r="G187" s="6"/>
      <c r="H187" s="6"/>
      <c r="I187" s="7"/>
      <c r="J187" s="6"/>
    </row>
    <row r="188" spans="1:10" x14ac:dyDescent="0.25">
      <c r="A188" s="6" t="s">
        <v>100</v>
      </c>
      <c r="B188" s="1" t="s">
        <v>1</v>
      </c>
      <c r="C188" s="1" t="s">
        <v>0</v>
      </c>
      <c r="D188" s="1">
        <v>55</v>
      </c>
      <c r="E188" s="1">
        <v>57</v>
      </c>
      <c r="F188" s="1">
        <v>59</v>
      </c>
      <c r="G188" s="1">
        <v>61</v>
      </c>
      <c r="H188" s="1">
        <v>63</v>
      </c>
      <c r="I188" s="3" t="s">
        <v>2</v>
      </c>
      <c r="J188" s="6"/>
    </row>
    <row r="189" spans="1:10" x14ac:dyDescent="0.25">
      <c r="A189" s="6" t="s">
        <v>101</v>
      </c>
      <c r="B189" t="str" cm="1">
        <f t="array" ref="B189">БУКВЫ(MID($A189,3,11))</f>
        <v>775110728</v>
      </c>
      <c r="C189">
        <f>_xlfn.LET(_xlpm.Searching,"OSFA",_xlpm.inStr,IFERROR(FIND(_xlpm.Searching,$A191)&gt;=1,FALSE),IF(AND(_xlpm.inStr,LEN(A191)&lt;=6),A192,""))</f>
        <v>130</v>
      </c>
      <c r="D189" t="str">
        <f>_xlfn.LET(_xlpm.Searching,"55",_xlpm.inStr,IFERROR(FIND(_xlpm.Searching,$A191)&gt;=1,FALSE),IF(AND(_xlpm.inStr,LEN(A191)&lt;=6),A192,""))</f>
        <v/>
      </c>
      <c r="E189" t="str">
        <f>_xlfn.LET(_xlpm.Searching,"57",_xlpm.inStr,IFERROR(FIND(_xlpm.Searching,$A191)&gt;=1,FALSE),IF(AND(_xlpm.inStr,LEN(A191)&lt;=6),$A192,""))&amp;E190</f>
        <v/>
      </c>
      <c r="F189" t="str">
        <f>_xlfn.LET(_xlpm.Searching,"59",_xlpm.inStr,IFERROR(FIND(_xlpm.Searching,$A191)&gt;=1,FALSE),IF(AND(_xlpm.inStr,LEN(A191)&lt;=6),$A192,""))&amp;F190&amp;F191</f>
        <v/>
      </c>
      <c r="G189" t="str">
        <f>_xlfn.LET(_xlpm.Searching,"61",_xlpm.inStr,IFERROR(FIND(_xlpm.Searching,$A191)&gt;=1,FALSE),IF(AND(_xlpm.inStr,LEN(A191)&lt;=6),$A192,""))&amp;G190&amp;G191&amp;G192</f>
        <v/>
      </c>
      <c r="H189" t="str">
        <f>_xlfn.LET(_xlpm.Searching,"63",_xlpm.inStr,IFERROR(FIND(_xlpm.Searching,$A191)&gt;=1,FALSE),IF(AND(_xlpm.inStr,LEN(A191)&lt;=6),$A192,""))&amp;H190&amp;H191&amp;H192&amp;H193</f>
        <v/>
      </c>
      <c r="I189" s="4">
        <f>MID(TRIM(RIGHT(A189,10)),1,LEN(TRIM(RIGHT(A189,10)))-3)*0.8</f>
        <v>11.920000000000002</v>
      </c>
      <c r="J189" s="6"/>
    </row>
    <row r="190" spans="1:10" x14ac:dyDescent="0.25">
      <c r="A190" s="6" t="s">
        <v>102</v>
      </c>
      <c r="B190" t="str" cm="1">
        <f t="array" ref="B190">БУКВЫ(MID($A189,3,11))</f>
        <v>775110728</v>
      </c>
      <c r="C190" s="2"/>
      <c r="D190" s="2"/>
      <c r="E190" t="str">
        <f>_xlfn.LET(_xlpm.Searching,"57",_xlpm.inStr,IFERROR(FIND(_xlpm.Searching,$A193)&gt;=1,FALSE),IF(AND(_xlpm.inStr,LEN(A193)&lt;=6),$A194,""))</f>
        <v/>
      </c>
      <c r="F190" t="str">
        <f>_xlfn.LET(_xlpm.Searching,"59",_xlpm.inStr,IFERROR(FIND(_xlpm.Searching,$A193)&gt;=1,FALSE),IF(AND(_xlpm.inStr,LEN(A193)&lt;=6),$A194,""))</f>
        <v/>
      </c>
      <c r="G190" t="str">
        <f>_xlfn.LET(_xlpm.Searching,"61",_xlpm.inStr,IFERROR(FIND(_xlpm.Searching,$A193)&gt;=1,FALSE),IF(AND(_xlpm.inStr,LEN(A193)&lt;=6),$A194,""))</f>
        <v/>
      </c>
      <c r="H190" t="str">
        <f>_xlfn.LET(_xlpm.Searching,"63",_xlpm.inStr,IFERROR(FIND(_xlpm.Searching,$A193)&gt;=1,FALSE),IF(AND(_xlpm.inStr,LEN(A193)&lt;=6),$A194,""))</f>
        <v/>
      </c>
      <c r="J190" s="6"/>
    </row>
    <row r="191" spans="1:10" x14ac:dyDescent="0.25">
      <c r="A191" s="6" t="s">
        <v>0</v>
      </c>
      <c r="B191" t="str" cm="1">
        <f t="array" ref="B191">БУКВЫ(MID($A189,3,11))</f>
        <v>775110728</v>
      </c>
      <c r="C191" s="2"/>
      <c r="D191" s="2"/>
      <c r="E191" s="2"/>
      <c r="F191" t="str">
        <f>_xlfn.LET(_xlpm.Searching,"59",_xlpm.inStr,IFERROR(FIND(_xlpm.Searching,$A195)&gt;=1,FALSE),IF(AND(_xlpm.inStr,LEN(A195)&lt;=6),$A196,""))</f>
        <v/>
      </c>
      <c r="G191" t="str">
        <f>_xlfn.LET(_xlpm.Searching,"61",_xlpm.inStr,IFERROR(FIND(_xlpm.Searching,$A195)&gt;=1,FALSE),IF(AND(_xlpm.inStr,LEN(A195)&lt;=6),$A196,""))</f>
        <v/>
      </c>
      <c r="H191" t="str">
        <f>_xlfn.LET(_xlpm.Searching,"63",_xlpm.inStr,IFERROR(FIND(_xlpm.Searching,$A195)&gt;=1,FALSE),IF(AND(_xlpm.inStr,LEN(A195)&lt;=6),$A196,""))</f>
        <v/>
      </c>
      <c r="J191" s="6"/>
    </row>
    <row r="192" spans="1:10" x14ac:dyDescent="0.25">
      <c r="A192" s="6">
        <v>130</v>
      </c>
      <c r="B192" t="str" cm="1">
        <f t="array" ref="B192">БУКВЫ(MID($A189,3,11))</f>
        <v>775110728</v>
      </c>
      <c r="C192" s="2"/>
      <c r="D192" s="2"/>
      <c r="E192" s="2"/>
      <c r="F192" s="2"/>
      <c r="G192" t="str">
        <f>_xlfn.LET(_xlpm.Searching,"61",_xlpm.inStr,IFERROR(FIND(_xlpm.Searching,$A197)&gt;=1,FALSE),IF(AND(_xlpm.inStr,LEN(A197)&lt;=6),$A198,""))</f>
        <v/>
      </c>
      <c r="H192" t="str">
        <f>_xlfn.LET(_xlpm.Searching,"63",_xlpm.inStr,IFERROR(FIND(_xlpm.Searching,$A197)&gt;=1,FALSE),IF(AND(_xlpm.inStr,LEN(A197)&lt;=6),$A198,""))</f>
        <v/>
      </c>
      <c r="J192" s="6"/>
    </row>
    <row r="193" spans="1:10" x14ac:dyDescent="0.25">
      <c r="A193" s="6" t="s">
        <v>50</v>
      </c>
      <c r="B193" t="str" cm="1">
        <f t="array" ref="B193">БУКВЫ(MID($A189,3,11))</f>
        <v>775110728</v>
      </c>
      <c r="C193" s="2"/>
      <c r="D193" s="2"/>
      <c r="E193" s="2"/>
      <c r="F193" s="2"/>
      <c r="G193" s="2"/>
      <c r="H193" t="str">
        <f>_xlfn.LET(_xlpm.Searching,"63",_xlpm.inStr,IFERROR(FIND(_xlpm.Searching,$A199)&gt;=1,FALSE),IF(AND(_xlpm.inStr,LEN(A199)&lt;=6),$A200,""))</f>
        <v/>
      </c>
      <c r="J193" s="6"/>
    </row>
    <row r="194" spans="1:10" x14ac:dyDescent="0.25">
      <c r="A194" s="6" t="s">
        <v>103</v>
      </c>
      <c r="B194" s="6"/>
      <c r="C194" s="6"/>
      <c r="D194" s="6"/>
      <c r="E194" s="6"/>
      <c r="F194" s="6"/>
      <c r="G194" s="6"/>
      <c r="H194" s="6"/>
      <c r="I194" s="7"/>
      <c r="J194" s="6"/>
    </row>
    <row r="195" spans="1:10" x14ac:dyDescent="0.25">
      <c r="A195" s="6" t="s">
        <v>104</v>
      </c>
      <c r="B195" s="1" t="s">
        <v>1</v>
      </c>
      <c r="C195" s="1" t="s">
        <v>0</v>
      </c>
      <c r="D195" s="1">
        <v>55</v>
      </c>
      <c r="E195" s="1">
        <v>57</v>
      </c>
      <c r="F195" s="1">
        <v>59</v>
      </c>
      <c r="G195" s="1">
        <v>61</v>
      </c>
      <c r="H195" s="1">
        <v>63</v>
      </c>
      <c r="I195" s="3" t="s">
        <v>2</v>
      </c>
      <c r="J195" s="6"/>
    </row>
    <row r="196" spans="1:10" x14ac:dyDescent="0.25">
      <c r="A196" s="6" t="s">
        <v>105</v>
      </c>
      <c r="B196" t="str" cm="1">
        <f t="array" ref="B196">БУКВЫ(MID($A196,3,11))</f>
        <v>775115225</v>
      </c>
      <c r="C196">
        <f>_xlfn.LET(_xlpm.Searching,"OSFA",_xlpm.inStr,IFERROR(FIND(_xlpm.Searching,$A198)&gt;=1,FALSE),IF(AND(_xlpm.inStr,LEN(A198)&lt;=6),A199,""))</f>
        <v>130</v>
      </c>
      <c r="D196" t="str">
        <f>_xlfn.LET(_xlpm.Searching,"55",_xlpm.inStr,IFERROR(FIND(_xlpm.Searching,$A198)&gt;=1,FALSE),IF(AND(_xlpm.inStr,LEN(A198)&lt;=6),A199,""))</f>
        <v/>
      </c>
      <c r="E196" t="str">
        <f>_xlfn.LET(_xlpm.Searching,"57",_xlpm.inStr,IFERROR(FIND(_xlpm.Searching,$A198)&gt;=1,FALSE),IF(AND(_xlpm.inStr,LEN(A198)&lt;=6),$A199,""))&amp;E197</f>
        <v/>
      </c>
      <c r="F196" t="str">
        <f>_xlfn.LET(_xlpm.Searching,"59",_xlpm.inStr,IFERROR(FIND(_xlpm.Searching,$A198)&gt;=1,FALSE),IF(AND(_xlpm.inStr,LEN(A198)&lt;=6),$A199,""))&amp;F197&amp;F198</f>
        <v/>
      </c>
      <c r="G196" t="str">
        <f>_xlfn.LET(_xlpm.Searching,"61",_xlpm.inStr,IFERROR(FIND(_xlpm.Searching,$A198)&gt;=1,FALSE),IF(AND(_xlpm.inStr,LEN(A198)&lt;=6),$A199,""))&amp;G197&amp;G198&amp;G199</f>
        <v/>
      </c>
      <c r="H196" t="str">
        <f>_xlfn.LET(_xlpm.Searching,"63",_xlpm.inStr,IFERROR(FIND(_xlpm.Searching,$A198)&gt;=1,FALSE),IF(AND(_xlpm.inStr,LEN(A198)&lt;=6),$A199,""))&amp;H197&amp;H198&amp;H199&amp;H200</f>
        <v/>
      </c>
      <c r="I196" s="4">
        <f>MID(TRIM(RIGHT(A196,10)),1,LEN(TRIM(RIGHT(A196,10)))-3)*0.8</f>
        <v>11.920000000000002</v>
      </c>
      <c r="J196" s="6"/>
    </row>
    <row r="197" spans="1:10" x14ac:dyDescent="0.25">
      <c r="A197" s="6" t="s">
        <v>106</v>
      </c>
      <c r="B197" t="str" cm="1">
        <f t="array" ref="B197">БУКВЫ(MID($A196,3,11))</f>
        <v>775115225</v>
      </c>
      <c r="C197" s="2"/>
      <c r="D197" s="2"/>
      <c r="E197" t="str">
        <f>_xlfn.LET(_xlpm.Searching,"57",_xlpm.inStr,IFERROR(FIND(_xlpm.Searching,$A200)&gt;=1,FALSE),IF(AND(_xlpm.inStr,LEN(A200)&lt;=6),$A201,""))</f>
        <v/>
      </c>
      <c r="F197" t="str">
        <f>_xlfn.LET(_xlpm.Searching,"59",_xlpm.inStr,IFERROR(FIND(_xlpm.Searching,$A200)&gt;=1,FALSE),IF(AND(_xlpm.inStr,LEN(A200)&lt;=6),$A201,""))</f>
        <v/>
      </c>
      <c r="G197" t="str">
        <f>_xlfn.LET(_xlpm.Searching,"61",_xlpm.inStr,IFERROR(FIND(_xlpm.Searching,$A200)&gt;=1,FALSE),IF(AND(_xlpm.inStr,LEN(A200)&lt;=6),$A201,""))</f>
        <v/>
      </c>
      <c r="H197" t="str">
        <f>_xlfn.LET(_xlpm.Searching,"63",_xlpm.inStr,IFERROR(FIND(_xlpm.Searching,$A200)&gt;=1,FALSE),IF(AND(_xlpm.inStr,LEN(A200)&lt;=6),$A201,""))</f>
        <v/>
      </c>
      <c r="J197" s="6"/>
    </row>
    <row r="198" spans="1:10" x14ac:dyDescent="0.25">
      <c r="A198" s="6" t="s">
        <v>0</v>
      </c>
      <c r="B198" t="str" cm="1">
        <f t="array" ref="B198">БУКВЫ(MID($A196,3,11))</f>
        <v>775115225</v>
      </c>
      <c r="C198" s="2"/>
      <c r="D198" s="2"/>
      <c r="E198" s="2"/>
      <c r="F198" t="str">
        <f>_xlfn.LET(_xlpm.Searching,"59",_xlpm.inStr,IFERROR(FIND(_xlpm.Searching,$A202)&gt;=1,FALSE),IF(AND(_xlpm.inStr,LEN(A202)&lt;=6),$A203,""))</f>
        <v/>
      </c>
      <c r="G198" t="str">
        <f>_xlfn.LET(_xlpm.Searching,"61",_xlpm.inStr,IFERROR(FIND(_xlpm.Searching,$A202)&gt;=1,FALSE),IF(AND(_xlpm.inStr,LEN(A202)&lt;=6),$A203,""))</f>
        <v/>
      </c>
      <c r="H198" t="str">
        <f>_xlfn.LET(_xlpm.Searching,"63",_xlpm.inStr,IFERROR(FIND(_xlpm.Searching,$A202)&gt;=1,FALSE),IF(AND(_xlpm.inStr,LEN(A202)&lt;=6),$A203,""))</f>
        <v/>
      </c>
      <c r="J198" s="6"/>
    </row>
    <row r="199" spans="1:10" x14ac:dyDescent="0.25">
      <c r="A199" s="6">
        <v>130</v>
      </c>
      <c r="B199" t="str" cm="1">
        <f t="array" ref="B199">БУКВЫ(MID($A196,3,11))</f>
        <v>775115225</v>
      </c>
      <c r="C199" s="2"/>
      <c r="D199" s="2"/>
      <c r="E199" s="2"/>
      <c r="F199" s="2"/>
      <c r="G199" t="str">
        <f>_xlfn.LET(_xlpm.Searching,"61",_xlpm.inStr,IFERROR(FIND(_xlpm.Searching,$A204)&gt;=1,FALSE),IF(AND(_xlpm.inStr,LEN(A204)&lt;=6),$A205,""))</f>
        <v/>
      </c>
      <c r="H199" t="str">
        <f>_xlfn.LET(_xlpm.Searching,"63",_xlpm.inStr,IFERROR(FIND(_xlpm.Searching,$A204)&gt;=1,FALSE),IF(AND(_xlpm.inStr,LEN(A204)&lt;=6),$A205,""))</f>
        <v/>
      </c>
      <c r="J199" s="6"/>
    </row>
    <row r="200" spans="1:10" x14ac:dyDescent="0.25">
      <c r="A200" s="6" t="s">
        <v>50</v>
      </c>
      <c r="B200" t="str" cm="1">
        <f t="array" ref="B200">БУКВЫ(MID($A196,3,11))</f>
        <v>775115225</v>
      </c>
      <c r="C200" s="2"/>
      <c r="D200" s="2"/>
      <c r="E200" s="2"/>
      <c r="F200" s="2"/>
      <c r="G200" s="2"/>
      <c r="H200" t="str">
        <f>_xlfn.LET(_xlpm.Searching,"63",_xlpm.inStr,IFERROR(FIND(_xlpm.Searching,$A206)&gt;=1,FALSE),IF(AND(_xlpm.inStr,LEN(A206)&lt;=6),$A207,""))</f>
        <v/>
      </c>
      <c r="J200" s="6"/>
    </row>
    <row r="201" spans="1:10" x14ac:dyDescent="0.25">
      <c r="A201" s="6" t="s">
        <v>103</v>
      </c>
      <c r="B201" s="6"/>
      <c r="C201" s="6"/>
      <c r="D201" s="6"/>
      <c r="E201" s="6"/>
      <c r="F201" s="6"/>
      <c r="G201" s="6"/>
      <c r="H201" s="6"/>
      <c r="I201" s="7"/>
      <c r="J201" s="6"/>
    </row>
    <row r="202" spans="1:10" x14ac:dyDescent="0.25">
      <c r="A202" s="6" t="s">
        <v>104</v>
      </c>
      <c r="B202" s="6"/>
      <c r="C202" s="6"/>
      <c r="D202" s="6"/>
      <c r="E202" s="6"/>
      <c r="F202" s="6"/>
      <c r="G202" s="6"/>
      <c r="H202" s="6"/>
      <c r="I202" s="7"/>
      <c r="J202" s="6"/>
    </row>
    <row r="203" spans="1:10" x14ac:dyDescent="0.25">
      <c r="A203" s="6" t="s">
        <v>20</v>
      </c>
      <c r="B203" s="6"/>
      <c r="C203" s="6"/>
      <c r="D203" s="6"/>
      <c r="E203" s="6"/>
      <c r="F203" s="6"/>
      <c r="G203" s="6"/>
      <c r="H203" s="6"/>
      <c r="I203" s="7"/>
      <c r="J203" s="6"/>
    </row>
    <row r="204" spans="1:10" x14ac:dyDescent="0.25">
      <c r="A204" s="6" t="s">
        <v>53</v>
      </c>
      <c r="B204" s="6"/>
      <c r="C204" s="6"/>
      <c r="D204" s="6"/>
      <c r="E204" s="6"/>
      <c r="F204" s="6"/>
      <c r="G204" s="6"/>
      <c r="H204" s="6"/>
      <c r="I204" s="7"/>
      <c r="J204" s="6"/>
    </row>
    <row r="205" spans="1:10" x14ac:dyDescent="0.25">
      <c r="A205" s="6" t="s">
        <v>54</v>
      </c>
      <c r="B205" s="8"/>
      <c r="C205" s="8"/>
      <c r="D205" s="8"/>
      <c r="E205" s="8"/>
      <c r="F205" s="8"/>
      <c r="G205" s="8"/>
      <c r="H205" s="8"/>
      <c r="I205" s="9"/>
      <c r="J205" s="6"/>
    </row>
    <row r="206" spans="1:10" x14ac:dyDescent="0.25">
      <c r="A206" s="6" t="s">
        <v>55</v>
      </c>
      <c r="B206" s="6"/>
      <c r="C206" s="6"/>
      <c r="D206" s="6"/>
      <c r="E206" s="6"/>
      <c r="F206" s="6"/>
      <c r="G206" s="6"/>
      <c r="H206" s="6"/>
      <c r="I206" s="7"/>
      <c r="J206" s="6"/>
    </row>
    <row r="207" spans="1:10" x14ac:dyDescent="0.25">
      <c r="A207" s="6" t="s">
        <v>56</v>
      </c>
      <c r="B207" s="6"/>
      <c r="C207" s="6"/>
      <c r="D207" s="6"/>
      <c r="E207" s="6"/>
      <c r="F207" s="6"/>
      <c r="G207" s="6"/>
      <c r="H207" s="6"/>
      <c r="I207" s="7"/>
      <c r="J207" s="6"/>
    </row>
    <row r="208" spans="1:10" x14ac:dyDescent="0.25">
      <c r="A208" s="6" t="s">
        <v>57</v>
      </c>
      <c r="B208" s="6"/>
      <c r="C208" s="6"/>
      <c r="D208" s="6"/>
      <c r="E208" s="6"/>
      <c r="F208" s="6"/>
      <c r="G208" s="6"/>
      <c r="H208" s="6"/>
      <c r="I208" s="7"/>
      <c r="J208" s="6"/>
    </row>
    <row r="209" spans="1:16" x14ac:dyDescent="0.25">
      <c r="A209" s="6" t="s">
        <v>58</v>
      </c>
      <c r="B209" s="6"/>
      <c r="C209" s="6"/>
      <c r="D209" s="6"/>
      <c r="E209" s="6"/>
      <c r="F209" s="6"/>
      <c r="G209" s="6"/>
      <c r="H209" s="6"/>
      <c r="I209" s="7"/>
      <c r="J209" s="6"/>
    </row>
    <row r="210" spans="1:16" x14ac:dyDescent="0.25">
      <c r="A210" s="6" t="s">
        <v>59</v>
      </c>
      <c r="B210" s="6"/>
      <c r="C210" s="6"/>
      <c r="D210" s="6"/>
      <c r="E210" s="6"/>
      <c r="F210" s="6"/>
      <c r="G210" s="6"/>
      <c r="H210" s="6"/>
      <c r="I210" s="7"/>
      <c r="J210" s="6"/>
    </row>
    <row r="211" spans="1:16" x14ac:dyDescent="0.25">
      <c r="A211" s="6" t="s">
        <v>60</v>
      </c>
      <c r="B211" s="6"/>
      <c r="C211" s="6"/>
      <c r="D211" s="6"/>
      <c r="E211" s="6"/>
      <c r="F211" s="6"/>
      <c r="G211" s="6"/>
      <c r="H211" s="6"/>
      <c r="I211" s="7"/>
      <c r="J211" s="6"/>
    </row>
    <row r="212" spans="1:16" x14ac:dyDescent="0.25">
      <c r="A212" s="6" t="s">
        <v>61</v>
      </c>
      <c r="B212" s="6"/>
      <c r="C212" s="6"/>
      <c r="D212" s="6"/>
      <c r="E212" s="6"/>
      <c r="F212" s="6"/>
      <c r="G212" s="6"/>
      <c r="H212" s="6"/>
      <c r="I212" s="7"/>
      <c r="J212" s="6"/>
    </row>
    <row r="213" spans="1:16" x14ac:dyDescent="0.25">
      <c r="A213" s="6" t="s">
        <v>62</v>
      </c>
      <c r="B213" s="6"/>
      <c r="C213" s="6"/>
      <c r="D213" s="6"/>
      <c r="E213" s="6"/>
      <c r="F213" s="6"/>
      <c r="G213" s="6"/>
      <c r="H213" s="6"/>
      <c r="I213" s="7"/>
      <c r="J213" s="6"/>
    </row>
    <row r="214" spans="1:16" x14ac:dyDescent="0.25">
      <c r="A214" s="6" t="s">
        <v>63</v>
      </c>
      <c r="B214" s="8"/>
      <c r="C214" s="8"/>
      <c r="D214" s="8"/>
      <c r="E214" s="8"/>
      <c r="F214" s="8"/>
      <c r="G214" s="8"/>
      <c r="H214" s="8"/>
      <c r="I214" s="9"/>
      <c r="J214" s="6"/>
    </row>
    <row r="215" spans="1:16" x14ac:dyDescent="0.25">
      <c r="A215" s="6" t="s">
        <v>64</v>
      </c>
      <c r="B215" s="6"/>
      <c r="C215" s="6"/>
      <c r="D215" s="6"/>
      <c r="E215" s="6"/>
      <c r="F215" s="6"/>
      <c r="G215" s="6"/>
      <c r="H215" s="6"/>
      <c r="I215" s="7"/>
      <c r="J215" s="6"/>
    </row>
    <row r="216" spans="1:16" x14ac:dyDescent="0.25">
      <c r="A216" s="6" t="s">
        <v>65</v>
      </c>
      <c r="B216" s="8"/>
      <c r="C216" s="8"/>
      <c r="D216" s="8"/>
      <c r="E216" s="8"/>
      <c r="F216" s="8"/>
      <c r="G216" s="8"/>
      <c r="H216" s="8"/>
      <c r="I216" s="9"/>
      <c r="J216" s="6"/>
    </row>
    <row r="217" spans="1:16" x14ac:dyDescent="0.25">
      <c r="A217" s="6" t="s">
        <v>66</v>
      </c>
      <c r="B217" s="6"/>
      <c r="C217" s="6"/>
      <c r="D217" s="6"/>
      <c r="E217" s="6"/>
      <c r="F217" s="6"/>
      <c r="G217" s="6"/>
      <c r="H217" s="6"/>
      <c r="I217" s="7"/>
      <c r="J217" s="6"/>
    </row>
    <row r="218" spans="1:16" x14ac:dyDescent="0.25">
      <c r="A218" s="6" t="s">
        <v>8</v>
      </c>
      <c r="B218" s="6"/>
      <c r="C218" s="6"/>
      <c r="D218" s="6"/>
      <c r="E218" s="6"/>
      <c r="F218" s="6"/>
      <c r="G218" s="6"/>
      <c r="H218" s="6"/>
      <c r="I218" s="7"/>
      <c r="J218" s="6"/>
    </row>
    <row r="219" spans="1:16" x14ac:dyDescent="0.25">
      <c r="A219" s="6" t="s">
        <v>67</v>
      </c>
      <c r="B219" s="6"/>
      <c r="C219" s="6"/>
      <c r="D219" s="6"/>
      <c r="E219" s="6"/>
      <c r="F219" s="6"/>
      <c r="G219" s="6"/>
      <c r="H219" s="6"/>
      <c r="I219" s="7"/>
      <c r="J219" s="6"/>
    </row>
    <row r="220" spans="1:16" x14ac:dyDescent="0.25">
      <c r="A220" s="6" t="s">
        <v>107</v>
      </c>
      <c r="B220" s="6"/>
      <c r="C220" s="6"/>
      <c r="D220" s="6"/>
      <c r="E220" s="6"/>
      <c r="F220" s="6"/>
      <c r="G220" s="6"/>
      <c r="H220" s="6"/>
      <c r="I220" s="7"/>
      <c r="J220" s="6"/>
    </row>
    <row r="221" spans="1:16" x14ac:dyDescent="0.25">
      <c r="A221" s="6" t="s">
        <v>23</v>
      </c>
      <c r="B221" s="6"/>
      <c r="C221" s="6"/>
      <c r="D221" s="6"/>
      <c r="E221" s="6"/>
      <c r="F221" s="6"/>
      <c r="G221" s="6"/>
      <c r="H221" s="6"/>
      <c r="I221" s="7"/>
      <c r="J221" s="8"/>
      <c r="K221" s="1"/>
      <c r="L221" s="1"/>
      <c r="M221" s="1"/>
      <c r="N221" s="1"/>
      <c r="O221" s="1"/>
      <c r="P221" s="1"/>
    </row>
    <row r="222" spans="1:16" x14ac:dyDescent="0.25">
      <c r="A222" s="6" t="s">
        <v>24</v>
      </c>
      <c r="B222" s="6"/>
      <c r="C222" s="6"/>
      <c r="D222" s="6"/>
      <c r="E222" s="6"/>
      <c r="F222" s="6"/>
      <c r="G222" s="6"/>
      <c r="H222" s="6"/>
      <c r="I222" s="7"/>
      <c r="J222" s="6"/>
    </row>
    <row r="223" spans="1:16" x14ac:dyDescent="0.25">
      <c r="A223" s="6" t="s">
        <v>25</v>
      </c>
      <c r="B223" s="6"/>
      <c r="C223" s="6"/>
      <c r="D223" s="6"/>
      <c r="E223" s="6"/>
      <c r="F223" s="6"/>
      <c r="G223" s="6"/>
      <c r="H223" s="6"/>
      <c r="I223" s="7"/>
      <c r="J223" s="6"/>
    </row>
    <row r="224" spans="1:16" x14ac:dyDescent="0.25">
      <c r="A224" s="6" t="s">
        <v>26</v>
      </c>
      <c r="B224" s="6"/>
      <c r="C224" s="6"/>
      <c r="D224" s="6"/>
      <c r="E224" s="6"/>
      <c r="F224" s="6"/>
      <c r="G224" s="6"/>
      <c r="H224" s="6"/>
      <c r="I224" s="7"/>
      <c r="J224" s="6"/>
    </row>
    <row r="225" spans="1:10" x14ac:dyDescent="0.25">
      <c r="A225" s="6" t="s">
        <v>27</v>
      </c>
      <c r="B225" s="6"/>
      <c r="C225" s="6"/>
      <c r="D225" s="6"/>
      <c r="E225" s="6"/>
      <c r="F225" s="6"/>
      <c r="G225" s="6"/>
      <c r="H225" s="6"/>
      <c r="I225" s="7"/>
      <c r="J225" s="6"/>
    </row>
    <row r="226" spans="1:10" x14ac:dyDescent="0.25">
      <c r="A226" s="6" t="s">
        <v>28</v>
      </c>
      <c r="B226" s="6"/>
      <c r="C226" s="6"/>
      <c r="D226" s="6"/>
      <c r="E226" s="6"/>
      <c r="F226" s="6"/>
      <c r="G226" s="6"/>
      <c r="H226" s="6"/>
      <c r="I226" s="7"/>
      <c r="J226" s="6"/>
    </row>
    <row r="227" spans="1:10" x14ac:dyDescent="0.25">
      <c r="A227" s="6" t="s">
        <v>29</v>
      </c>
      <c r="B227" s="1" t="s">
        <v>1</v>
      </c>
      <c r="C227" s="1" t="s">
        <v>0</v>
      </c>
      <c r="D227" s="1">
        <v>55</v>
      </c>
      <c r="E227" s="1">
        <v>57</v>
      </c>
      <c r="F227" s="1">
        <v>59</v>
      </c>
      <c r="G227" s="1">
        <v>61</v>
      </c>
      <c r="H227" s="1">
        <v>63</v>
      </c>
      <c r="I227" s="3" t="s">
        <v>2</v>
      </c>
      <c r="J227" s="6"/>
    </row>
    <row r="228" spans="1:10" x14ac:dyDescent="0.25">
      <c r="A228" s="6" t="s">
        <v>108</v>
      </c>
      <c r="B228" t="str" cm="1">
        <f t="array" ref="B228">БУКВЫ(MID($A228,3,11))</f>
        <v>775115429</v>
      </c>
      <c r="C228">
        <f>_xlfn.LET(_xlpm.Searching,"OSFA",_xlpm.inStr,IFERROR(FIND(_xlpm.Searching,$A230)&gt;=1,FALSE),IF(AND(_xlpm.inStr,LEN(A230)&lt;=6),A231,""))</f>
        <v>130</v>
      </c>
      <c r="D228" t="str">
        <f>_xlfn.LET(_xlpm.Searching,"55",_xlpm.inStr,IFERROR(FIND(_xlpm.Searching,$A230)&gt;=1,FALSE),IF(AND(_xlpm.inStr,LEN(A230)&lt;=6),A231,""))</f>
        <v/>
      </c>
      <c r="E228" t="str">
        <f>_xlfn.LET(_xlpm.Searching,"57",_xlpm.inStr,IFERROR(FIND(_xlpm.Searching,$A230)&gt;=1,FALSE),IF(AND(_xlpm.inStr,LEN(A230)&lt;=6),$A231,""))&amp;E229</f>
        <v/>
      </c>
      <c r="F228" t="str">
        <f>_xlfn.LET(_xlpm.Searching,"59",_xlpm.inStr,IFERROR(FIND(_xlpm.Searching,$A230)&gt;=1,FALSE),IF(AND(_xlpm.inStr,LEN(A230)&lt;=6),$A231,""))&amp;F229&amp;F230</f>
        <v/>
      </c>
      <c r="G228" t="str">
        <f>_xlfn.LET(_xlpm.Searching,"61",_xlpm.inStr,IFERROR(FIND(_xlpm.Searching,$A230)&gt;=1,FALSE),IF(AND(_xlpm.inStr,LEN(A230)&lt;=6),$A231,""))&amp;G229&amp;G230&amp;G231</f>
        <v/>
      </c>
      <c r="H228" t="str">
        <f>_xlfn.LET(_xlpm.Searching,"63",_xlpm.inStr,IFERROR(FIND(_xlpm.Searching,$A230)&gt;=1,FALSE),IF(AND(_xlpm.inStr,LEN(A230)&lt;=6),$A231,""))&amp;H229&amp;H230&amp;H231&amp;H232</f>
        <v/>
      </c>
      <c r="I228" s="4">
        <f>MID(TRIM(RIGHT(A228,10)),1,LEN(TRIM(RIGHT(A228,10)))-3)*0.8</f>
        <v>11.920000000000002</v>
      </c>
      <c r="J228" s="6"/>
    </row>
    <row r="229" spans="1:10" x14ac:dyDescent="0.25">
      <c r="A229" s="6" t="s">
        <v>109</v>
      </c>
      <c r="B229" t="str" cm="1">
        <f t="array" ref="B229">БУКВЫ(MID($A228,3,11))</f>
        <v>775115429</v>
      </c>
      <c r="C229" s="2"/>
      <c r="D229" s="2"/>
      <c r="E229" t="str">
        <f>_xlfn.LET(_xlpm.Searching,"57",_xlpm.inStr,IFERROR(FIND(_xlpm.Searching,$A232)&gt;=1,FALSE),IF(AND(_xlpm.inStr,LEN(A232)&lt;=6),$A233,""))</f>
        <v/>
      </c>
      <c r="F229" t="str">
        <f>_xlfn.LET(_xlpm.Searching,"59",_xlpm.inStr,IFERROR(FIND(_xlpm.Searching,$A232)&gt;=1,FALSE),IF(AND(_xlpm.inStr,LEN(A232)&lt;=6),$A233,""))</f>
        <v/>
      </c>
      <c r="G229" t="str">
        <f>_xlfn.LET(_xlpm.Searching,"61",_xlpm.inStr,IFERROR(FIND(_xlpm.Searching,$A232)&gt;=1,FALSE),IF(AND(_xlpm.inStr,LEN(A232)&lt;=6),$A233,""))</f>
        <v/>
      </c>
      <c r="H229" t="str">
        <f>_xlfn.LET(_xlpm.Searching,"63",_xlpm.inStr,IFERROR(FIND(_xlpm.Searching,$A232)&gt;=1,FALSE),IF(AND(_xlpm.inStr,LEN(A232)&lt;=6),$A233,""))</f>
        <v/>
      </c>
      <c r="J229" s="6"/>
    </row>
    <row r="230" spans="1:10" x14ac:dyDescent="0.25">
      <c r="A230" s="6" t="s">
        <v>0</v>
      </c>
      <c r="B230" t="str" cm="1">
        <f t="array" ref="B230">БУКВЫ(MID($A228,3,11))</f>
        <v>775115429</v>
      </c>
      <c r="C230" s="2"/>
      <c r="D230" s="2"/>
      <c r="E230" s="2"/>
      <c r="F230" t="str">
        <f>_xlfn.LET(_xlpm.Searching,"59",_xlpm.inStr,IFERROR(FIND(_xlpm.Searching,$A234)&gt;=1,FALSE),IF(AND(_xlpm.inStr,LEN(A234)&lt;=6),$A235,""))</f>
        <v/>
      </c>
      <c r="G230" t="str">
        <f>_xlfn.LET(_xlpm.Searching,"61",_xlpm.inStr,IFERROR(FIND(_xlpm.Searching,$A234)&gt;=1,FALSE),IF(AND(_xlpm.inStr,LEN(A234)&lt;=6),$A235,""))</f>
        <v/>
      </c>
      <c r="H230" t="str">
        <f>_xlfn.LET(_xlpm.Searching,"63",_xlpm.inStr,IFERROR(FIND(_xlpm.Searching,$A234)&gt;=1,FALSE),IF(AND(_xlpm.inStr,LEN(A234)&lt;=6),$A235,""))</f>
        <v/>
      </c>
      <c r="J230" s="6"/>
    </row>
    <row r="231" spans="1:10" x14ac:dyDescent="0.25">
      <c r="A231" s="6">
        <v>130</v>
      </c>
      <c r="B231" t="str" cm="1">
        <f t="array" ref="B231">БУКВЫ(MID($A228,3,11))</f>
        <v>775115429</v>
      </c>
      <c r="C231" s="2"/>
      <c r="D231" s="2"/>
      <c r="E231" s="2"/>
      <c r="F231" s="2"/>
      <c r="G231" t="str">
        <f>_xlfn.LET(_xlpm.Searching,"61",_xlpm.inStr,IFERROR(FIND(_xlpm.Searching,$A236)&gt;=1,FALSE),IF(AND(_xlpm.inStr,LEN(A236)&lt;=6),$A237,""))</f>
        <v/>
      </c>
      <c r="H231" t="str">
        <f>_xlfn.LET(_xlpm.Searching,"63",_xlpm.inStr,IFERROR(FIND(_xlpm.Searching,$A236)&gt;=1,FALSE),IF(AND(_xlpm.inStr,LEN(A236)&lt;=6),$A237,""))</f>
        <v/>
      </c>
      <c r="J231" s="6"/>
    </row>
    <row r="232" spans="1:10" x14ac:dyDescent="0.25">
      <c r="A232" s="6" t="s">
        <v>50</v>
      </c>
      <c r="B232" t="str" cm="1">
        <f t="array" ref="B232">БУКВЫ(MID($A228,3,11))</f>
        <v>775115429</v>
      </c>
      <c r="C232" s="2"/>
      <c r="D232" s="2"/>
      <c r="E232" s="2"/>
      <c r="F232" s="2"/>
      <c r="G232" s="2"/>
      <c r="H232" t="str">
        <f>_xlfn.LET(_xlpm.Searching,"63",_xlpm.inStr,IFERROR(FIND(_xlpm.Searching,$A238)&gt;=1,FALSE),IF(AND(_xlpm.inStr,LEN(A238)&lt;=6),$A239,""))</f>
        <v/>
      </c>
      <c r="J232" s="6"/>
    </row>
    <row r="233" spans="1:10" x14ac:dyDescent="0.25">
      <c r="A233" s="6" t="s">
        <v>103</v>
      </c>
      <c r="B233" s="6"/>
      <c r="C233" s="6"/>
      <c r="D233" s="6"/>
      <c r="E233" s="6"/>
      <c r="F233" s="6"/>
      <c r="G233" s="6"/>
      <c r="H233" s="6"/>
      <c r="I233" s="7"/>
      <c r="J233" s="6"/>
    </row>
    <row r="234" spans="1:10" x14ac:dyDescent="0.25">
      <c r="A234" s="6" t="s">
        <v>104</v>
      </c>
      <c r="B234" s="1" t="s">
        <v>1</v>
      </c>
      <c r="C234" s="1" t="s">
        <v>0</v>
      </c>
      <c r="D234" s="1">
        <v>55</v>
      </c>
      <c r="E234" s="1">
        <v>57</v>
      </c>
      <c r="F234" s="1">
        <v>59</v>
      </c>
      <c r="G234" s="1">
        <v>61</v>
      </c>
      <c r="H234" s="1">
        <v>63</v>
      </c>
      <c r="I234" s="3" t="s">
        <v>2</v>
      </c>
      <c r="J234" s="6"/>
    </row>
    <row r="235" spans="1:10" x14ac:dyDescent="0.25">
      <c r="A235" s="6" t="s">
        <v>110</v>
      </c>
      <c r="B235" t="str" cm="1">
        <f t="array" ref="B235">БУКВЫ(MID($A235,3,11))</f>
        <v>775115557</v>
      </c>
      <c r="C235">
        <f>_xlfn.LET(_xlpm.Searching,"OSFA",_xlpm.inStr,IFERROR(FIND(_xlpm.Searching,$A237)&gt;=1,FALSE),IF(AND(_xlpm.inStr,LEN(A237)&lt;=6),A238,""))</f>
        <v>140</v>
      </c>
      <c r="D235" t="str">
        <f>_xlfn.LET(_xlpm.Searching,"55",_xlpm.inStr,IFERROR(FIND(_xlpm.Searching,$A237)&gt;=1,FALSE),IF(AND(_xlpm.inStr,LEN(A237)&lt;=6),A238,""))</f>
        <v/>
      </c>
      <c r="E235" t="str">
        <f>_xlfn.LET(_xlpm.Searching,"57",_xlpm.inStr,IFERROR(FIND(_xlpm.Searching,$A237)&gt;=1,FALSE),IF(AND(_xlpm.inStr,LEN(A237)&lt;=6),$A238,""))&amp;E236</f>
        <v/>
      </c>
      <c r="F235" t="str">
        <f>_xlfn.LET(_xlpm.Searching,"59",_xlpm.inStr,IFERROR(FIND(_xlpm.Searching,$A237)&gt;=1,FALSE),IF(AND(_xlpm.inStr,LEN(A237)&lt;=6),$A238,""))&amp;F236&amp;F237</f>
        <v/>
      </c>
      <c r="G235" t="str">
        <f>_xlfn.LET(_xlpm.Searching,"61",_xlpm.inStr,IFERROR(FIND(_xlpm.Searching,$A237)&gt;=1,FALSE),IF(AND(_xlpm.inStr,LEN(A237)&lt;=6),$A238,""))&amp;G236&amp;G237&amp;G238</f>
        <v/>
      </c>
      <c r="H235" t="str">
        <f>_xlfn.LET(_xlpm.Searching,"63",_xlpm.inStr,IFERROR(FIND(_xlpm.Searching,$A237)&gt;=1,FALSE),IF(AND(_xlpm.inStr,LEN(A237)&lt;=6),$A238,""))&amp;H236&amp;H237&amp;H238&amp;H239</f>
        <v/>
      </c>
      <c r="I235" s="4">
        <f>MID(TRIM(RIGHT(A235,10)),1,LEN(TRIM(RIGHT(A235,10)))-3)*0.8</f>
        <v>11.920000000000002</v>
      </c>
      <c r="J235" s="6"/>
    </row>
    <row r="236" spans="1:10" x14ac:dyDescent="0.25">
      <c r="A236" s="6" t="s">
        <v>111</v>
      </c>
      <c r="B236" t="str" cm="1">
        <f t="array" ref="B236">БУКВЫ(MID($A235,3,11))</f>
        <v>775115557</v>
      </c>
      <c r="C236" s="2"/>
      <c r="D236" s="2"/>
      <c r="E236" t="str">
        <f>_xlfn.LET(_xlpm.Searching,"57",_xlpm.inStr,IFERROR(FIND(_xlpm.Searching,$A239)&gt;=1,FALSE),IF(AND(_xlpm.inStr,LEN(A239)&lt;=6),$A240,""))</f>
        <v/>
      </c>
      <c r="F236" t="str">
        <f>_xlfn.LET(_xlpm.Searching,"59",_xlpm.inStr,IFERROR(FIND(_xlpm.Searching,$A239)&gt;=1,FALSE),IF(AND(_xlpm.inStr,LEN(A239)&lt;=6),$A240,""))</f>
        <v/>
      </c>
      <c r="G236" t="str">
        <f>_xlfn.LET(_xlpm.Searching,"61",_xlpm.inStr,IFERROR(FIND(_xlpm.Searching,$A239)&gt;=1,FALSE),IF(AND(_xlpm.inStr,LEN(A239)&lt;=6),$A240,""))</f>
        <v/>
      </c>
      <c r="H236" t="str">
        <f>_xlfn.LET(_xlpm.Searching,"63",_xlpm.inStr,IFERROR(FIND(_xlpm.Searching,$A239)&gt;=1,FALSE),IF(AND(_xlpm.inStr,LEN(A239)&lt;=6),$A240,""))</f>
        <v/>
      </c>
      <c r="J236" s="6"/>
    </row>
    <row r="237" spans="1:10" x14ac:dyDescent="0.25">
      <c r="A237" s="6" t="s">
        <v>0</v>
      </c>
      <c r="B237" t="str" cm="1">
        <f t="array" ref="B237">БУКВЫ(MID($A235,3,11))</f>
        <v>775115557</v>
      </c>
      <c r="C237" s="2"/>
      <c r="D237" s="2"/>
      <c r="E237" s="2"/>
      <c r="F237" t="str">
        <f>_xlfn.LET(_xlpm.Searching,"59",_xlpm.inStr,IFERROR(FIND(_xlpm.Searching,$A241)&gt;=1,FALSE),IF(AND(_xlpm.inStr,LEN(A241)&lt;=6),$A242,""))</f>
        <v/>
      </c>
      <c r="G237" t="str">
        <f>_xlfn.LET(_xlpm.Searching,"61",_xlpm.inStr,IFERROR(FIND(_xlpm.Searching,$A241)&gt;=1,FALSE),IF(AND(_xlpm.inStr,LEN(A241)&lt;=6),$A242,""))</f>
        <v/>
      </c>
      <c r="H237" t="str">
        <f>_xlfn.LET(_xlpm.Searching,"63",_xlpm.inStr,IFERROR(FIND(_xlpm.Searching,$A241)&gt;=1,FALSE),IF(AND(_xlpm.inStr,LEN(A241)&lt;=6),$A242,""))</f>
        <v/>
      </c>
      <c r="J237" s="6"/>
    </row>
    <row r="238" spans="1:10" x14ac:dyDescent="0.25">
      <c r="A238" s="6">
        <v>140</v>
      </c>
      <c r="B238" t="str" cm="1">
        <f t="array" ref="B238">БУКВЫ(MID($A235,3,11))</f>
        <v>775115557</v>
      </c>
      <c r="C238" s="2"/>
      <c r="D238" s="2"/>
      <c r="E238" s="2"/>
      <c r="F238" s="2"/>
      <c r="G238" t="str">
        <f>_xlfn.LET(_xlpm.Searching,"61",_xlpm.inStr,IFERROR(FIND(_xlpm.Searching,$A243)&gt;=1,FALSE),IF(AND(_xlpm.inStr,LEN(A243)&lt;=6),$A244,""))</f>
        <v/>
      </c>
      <c r="H238" t="str">
        <f>_xlfn.LET(_xlpm.Searching,"63",_xlpm.inStr,IFERROR(FIND(_xlpm.Searching,$A243)&gt;=1,FALSE),IF(AND(_xlpm.inStr,LEN(A243)&lt;=6),$A244,""))</f>
        <v/>
      </c>
      <c r="J238" s="6"/>
    </row>
    <row r="239" spans="1:10" x14ac:dyDescent="0.25">
      <c r="A239" s="6" t="s">
        <v>50</v>
      </c>
      <c r="B239" t="str" cm="1">
        <f t="array" ref="B239">БУКВЫ(MID($A235,3,11))</f>
        <v>775115557</v>
      </c>
      <c r="C239" s="2"/>
      <c r="D239" s="2"/>
      <c r="E239" s="2"/>
      <c r="F239" s="2"/>
      <c r="G239" s="2"/>
      <c r="H239" t="str">
        <f>_xlfn.LET(_xlpm.Searching,"63",_xlpm.inStr,IFERROR(FIND(_xlpm.Searching,$A245)&gt;=1,FALSE),IF(AND(_xlpm.inStr,LEN(A245)&lt;=6),$A246,""))</f>
        <v/>
      </c>
      <c r="J239" s="6"/>
    </row>
    <row r="240" spans="1:10" x14ac:dyDescent="0.25">
      <c r="A240" s="6" t="s">
        <v>82</v>
      </c>
      <c r="B240" s="6"/>
      <c r="C240" s="6"/>
      <c r="D240" s="6"/>
      <c r="E240" s="6"/>
      <c r="F240" s="6"/>
      <c r="G240" s="6"/>
      <c r="H240" s="6"/>
      <c r="I240" s="7"/>
      <c r="J240" s="6"/>
    </row>
    <row r="241" spans="1:10" x14ac:dyDescent="0.25">
      <c r="A241" s="6" t="s">
        <v>83</v>
      </c>
      <c r="B241" s="1" t="s">
        <v>1</v>
      </c>
      <c r="C241" s="1" t="s">
        <v>0</v>
      </c>
      <c r="D241" s="1">
        <v>55</v>
      </c>
      <c r="E241" s="1">
        <v>57</v>
      </c>
      <c r="F241" s="1">
        <v>59</v>
      </c>
      <c r="G241" s="1">
        <v>61</v>
      </c>
      <c r="H241" s="1">
        <v>63</v>
      </c>
      <c r="I241" s="3" t="s">
        <v>2</v>
      </c>
      <c r="J241" s="6"/>
    </row>
    <row r="242" spans="1:10" x14ac:dyDescent="0.25">
      <c r="A242" s="6" t="s">
        <v>112</v>
      </c>
      <c r="B242" t="str" cm="1">
        <f t="array" ref="B242">БУКВЫ(MID($A242,3,11))</f>
        <v>77511715</v>
      </c>
      <c r="C242">
        <f>_xlfn.LET(_xlpm.Searching,"OSFA",_xlpm.inStr,IFERROR(FIND(_xlpm.Searching,$A244)&gt;=1,FALSE),IF(AND(_xlpm.inStr,LEN(A244)&lt;=6),A245,""))</f>
        <v>20</v>
      </c>
      <c r="D242" t="str">
        <f>_xlfn.LET(_xlpm.Searching,"55",_xlpm.inStr,IFERROR(FIND(_xlpm.Searching,$A244)&gt;=1,FALSE),IF(AND(_xlpm.inStr,LEN(A244)&lt;=6),A245,""))</f>
        <v/>
      </c>
      <c r="E242" t="str">
        <f>_xlfn.LET(_xlpm.Searching,"57",_xlpm.inStr,IFERROR(FIND(_xlpm.Searching,$A244)&gt;=1,FALSE),IF(AND(_xlpm.inStr,LEN(A244)&lt;=6),$A245,""))&amp;E243</f>
        <v/>
      </c>
      <c r="F242" t="str">
        <f>_xlfn.LET(_xlpm.Searching,"59",_xlpm.inStr,IFERROR(FIND(_xlpm.Searching,$A244)&gt;=1,FALSE),IF(AND(_xlpm.inStr,LEN(A244)&lt;=6),$A245,""))&amp;F243&amp;F244</f>
        <v/>
      </c>
      <c r="G242" t="str">
        <f>_xlfn.LET(_xlpm.Searching,"61",_xlpm.inStr,IFERROR(FIND(_xlpm.Searching,$A244)&gt;=1,FALSE),IF(AND(_xlpm.inStr,LEN(A244)&lt;=6),$A245,""))&amp;G243&amp;G244&amp;G245</f>
        <v/>
      </c>
      <c r="H242" t="str">
        <f>_xlfn.LET(_xlpm.Searching,"63",_xlpm.inStr,IFERROR(FIND(_xlpm.Searching,$A244)&gt;=1,FALSE),IF(AND(_xlpm.inStr,LEN(A244)&lt;=6),$A245,""))&amp;H243&amp;H244&amp;H245&amp;H246</f>
        <v/>
      </c>
      <c r="I242" s="4">
        <f>MID(TRIM(RIGHT(A242,10)),1,LEN(TRIM(RIGHT(A242,10)))-3)*0.8</f>
        <v>11.920000000000002</v>
      </c>
      <c r="J242" s="6"/>
    </row>
    <row r="243" spans="1:10" x14ac:dyDescent="0.25">
      <c r="A243" s="6" t="s">
        <v>113</v>
      </c>
      <c r="B243" t="str" cm="1">
        <f t="array" ref="B243">БУКВЫ(MID($A242,3,11))</f>
        <v>77511715</v>
      </c>
      <c r="C243" s="2"/>
      <c r="D243" s="2"/>
      <c r="E243" t="str">
        <f>_xlfn.LET(_xlpm.Searching,"57",_xlpm.inStr,IFERROR(FIND(_xlpm.Searching,$A246)&gt;=1,FALSE),IF(AND(_xlpm.inStr,LEN(A246)&lt;=6),$A247,""))</f>
        <v/>
      </c>
      <c r="F243" t="str">
        <f>_xlfn.LET(_xlpm.Searching,"59",_xlpm.inStr,IFERROR(FIND(_xlpm.Searching,$A246)&gt;=1,FALSE),IF(AND(_xlpm.inStr,LEN(A246)&lt;=6),$A247,""))</f>
        <v/>
      </c>
      <c r="G243" t="str">
        <f>_xlfn.LET(_xlpm.Searching,"61",_xlpm.inStr,IFERROR(FIND(_xlpm.Searching,$A246)&gt;=1,FALSE),IF(AND(_xlpm.inStr,LEN(A246)&lt;=6),$A247,""))</f>
        <v/>
      </c>
      <c r="H243" t="str">
        <f>_xlfn.LET(_xlpm.Searching,"63",_xlpm.inStr,IFERROR(FIND(_xlpm.Searching,$A246)&gt;=1,FALSE),IF(AND(_xlpm.inStr,LEN(A246)&lt;=6),$A247,""))</f>
        <v/>
      </c>
      <c r="J243" s="6"/>
    </row>
    <row r="244" spans="1:10" x14ac:dyDescent="0.25">
      <c r="A244" s="6" t="s">
        <v>0</v>
      </c>
      <c r="B244" t="str" cm="1">
        <f t="array" ref="B244">БУКВЫ(MID($A242,3,11))</f>
        <v>77511715</v>
      </c>
      <c r="C244" s="2"/>
      <c r="D244" s="2"/>
      <c r="E244" s="2"/>
      <c r="F244" t="str">
        <f>_xlfn.LET(_xlpm.Searching,"59",_xlpm.inStr,IFERROR(FIND(_xlpm.Searching,$A248)&gt;=1,FALSE),IF(AND(_xlpm.inStr,LEN(A248)&lt;=6),$A249,""))</f>
        <v/>
      </c>
      <c r="G244" t="str">
        <f>_xlfn.LET(_xlpm.Searching,"61",_xlpm.inStr,IFERROR(FIND(_xlpm.Searching,$A248)&gt;=1,FALSE),IF(AND(_xlpm.inStr,LEN(A248)&lt;=6),$A249,""))</f>
        <v/>
      </c>
      <c r="H244" t="str">
        <f>_xlfn.LET(_xlpm.Searching,"63",_xlpm.inStr,IFERROR(FIND(_xlpm.Searching,$A248)&gt;=1,FALSE),IF(AND(_xlpm.inStr,LEN(A248)&lt;=6),$A249,""))</f>
        <v/>
      </c>
      <c r="J244" s="6"/>
    </row>
    <row r="245" spans="1:10" x14ac:dyDescent="0.25">
      <c r="A245" s="6">
        <v>20</v>
      </c>
      <c r="B245" t="str" cm="1">
        <f t="array" ref="B245">БУКВЫ(MID($A242,3,11))</f>
        <v>77511715</v>
      </c>
      <c r="C245" s="2"/>
      <c r="D245" s="2"/>
      <c r="E245" s="2"/>
      <c r="F245" s="2"/>
      <c r="G245" t="str">
        <f>_xlfn.LET(_xlpm.Searching,"61",_xlpm.inStr,IFERROR(FIND(_xlpm.Searching,$A250)&gt;=1,FALSE),IF(AND(_xlpm.inStr,LEN(A250)&lt;=6),$A251,""))</f>
        <v/>
      </c>
      <c r="H245" t="str">
        <f>_xlfn.LET(_xlpm.Searching,"63",_xlpm.inStr,IFERROR(FIND(_xlpm.Searching,$A250)&gt;=1,FALSE),IF(AND(_xlpm.inStr,LEN(A250)&lt;=6),$A251,""))</f>
        <v/>
      </c>
      <c r="J245" s="6"/>
    </row>
    <row r="246" spans="1:10" x14ac:dyDescent="0.25">
      <c r="A246" s="6" t="s">
        <v>50</v>
      </c>
      <c r="B246" t="str" cm="1">
        <f t="array" ref="B246">БУКВЫ(MID($A242,3,11))</f>
        <v>77511715</v>
      </c>
      <c r="C246" s="2"/>
      <c r="D246" s="2"/>
      <c r="E246" s="2"/>
      <c r="F246" s="2"/>
      <c r="G246" s="2"/>
      <c r="H246" t="str">
        <f>_xlfn.LET(_xlpm.Searching,"63",_xlpm.inStr,IFERROR(FIND(_xlpm.Searching,$A252)&gt;=1,FALSE),IF(AND(_xlpm.inStr,LEN(A252)&lt;=6),$A253,""))</f>
        <v/>
      </c>
      <c r="J246" s="6"/>
    </row>
    <row r="247" spans="1:10" x14ac:dyDescent="0.25">
      <c r="A247" s="6" t="s">
        <v>114</v>
      </c>
      <c r="B247" s="6"/>
      <c r="C247" s="6"/>
      <c r="D247" s="6"/>
      <c r="E247" s="6"/>
      <c r="F247" s="6"/>
      <c r="G247" s="6"/>
      <c r="H247" s="6"/>
      <c r="I247" s="7"/>
      <c r="J247" s="6"/>
    </row>
    <row r="248" spans="1:10" x14ac:dyDescent="0.25">
      <c r="A248" s="6" t="s">
        <v>115</v>
      </c>
      <c r="B248" s="6"/>
      <c r="C248" s="6"/>
      <c r="D248" s="6"/>
      <c r="E248" s="6"/>
      <c r="F248" s="6"/>
      <c r="G248" s="6"/>
      <c r="H248" s="6"/>
      <c r="I248" s="7"/>
      <c r="J248" s="6"/>
    </row>
    <row r="249" spans="1:10" x14ac:dyDescent="0.25">
      <c r="A249" s="6" t="s">
        <v>116</v>
      </c>
      <c r="B249" s="6"/>
      <c r="C249" s="6"/>
      <c r="D249" s="6"/>
      <c r="E249" s="6"/>
      <c r="F249" s="6"/>
      <c r="G249" s="6"/>
      <c r="H249" s="6"/>
      <c r="I249" s="7"/>
      <c r="J249" s="6"/>
    </row>
    <row r="250" spans="1:10" x14ac:dyDescent="0.25">
      <c r="A250" s="6" t="s">
        <v>113</v>
      </c>
      <c r="B250" s="6"/>
      <c r="C250" s="6"/>
      <c r="D250" s="6"/>
      <c r="E250" s="6"/>
      <c r="F250" s="6"/>
      <c r="G250" s="6"/>
      <c r="H250" s="6"/>
      <c r="I250" s="7"/>
      <c r="J250" s="6"/>
    </row>
    <row r="251" spans="1:10" x14ac:dyDescent="0.25">
      <c r="A251" s="6" t="s">
        <v>0</v>
      </c>
      <c r="B251" s="6"/>
      <c r="C251" s="6"/>
      <c r="D251" s="6"/>
      <c r="E251" s="6"/>
      <c r="F251" s="6"/>
      <c r="G251" s="6"/>
      <c r="H251" s="6"/>
      <c r="I251" s="7"/>
      <c r="J251" s="6"/>
    </row>
    <row r="252" spans="1:10" x14ac:dyDescent="0.25">
      <c r="A252" s="6">
        <v>110</v>
      </c>
      <c r="B252" s="6"/>
      <c r="C252" s="6"/>
      <c r="D252" s="6"/>
      <c r="E252" s="6"/>
      <c r="F252" s="6"/>
      <c r="G252" s="6"/>
      <c r="H252" s="6"/>
      <c r="I252" s="7"/>
      <c r="J252" s="6"/>
    </row>
    <row r="253" spans="1:10" x14ac:dyDescent="0.25">
      <c r="A253" s="6" t="s">
        <v>50</v>
      </c>
      <c r="B253" s="6"/>
      <c r="C253" s="6"/>
      <c r="D253" s="6"/>
      <c r="E253" s="6"/>
      <c r="F253" s="6"/>
      <c r="G253" s="6"/>
      <c r="H253" s="6"/>
      <c r="I253" s="7"/>
      <c r="J253" s="6"/>
    </row>
    <row r="254" spans="1:10" x14ac:dyDescent="0.25">
      <c r="A254" s="6" t="s">
        <v>51</v>
      </c>
      <c r="B254" s="6"/>
      <c r="C254" s="6"/>
      <c r="D254" s="6"/>
      <c r="E254" s="6"/>
      <c r="F254" s="6"/>
      <c r="G254" s="6"/>
      <c r="H254" s="6"/>
      <c r="I254" s="7"/>
      <c r="J254" s="6"/>
    </row>
    <row r="255" spans="1:10" x14ac:dyDescent="0.25">
      <c r="A255" s="6" t="s">
        <v>52</v>
      </c>
      <c r="B255" s="1" t="s">
        <v>1</v>
      </c>
      <c r="C255" s="1" t="s">
        <v>0</v>
      </c>
      <c r="D255" s="1">
        <v>55</v>
      </c>
      <c r="E255" s="1">
        <v>57</v>
      </c>
      <c r="F255" s="1">
        <v>59</v>
      </c>
      <c r="G255" s="1">
        <v>61</v>
      </c>
      <c r="H255" s="1">
        <v>63</v>
      </c>
      <c r="I255" s="3" t="s">
        <v>2</v>
      </c>
      <c r="J255" s="6"/>
    </row>
    <row r="256" spans="1:10" x14ac:dyDescent="0.25">
      <c r="A256" s="6" t="s">
        <v>117</v>
      </c>
      <c r="B256" t="str" cm="1">
        <f t="array" ref="B256">БУКВЫ(MID($A256,3,11))</f>
        <v>77511717</v>
      </c>
      <c r="C256">
        <f>_xlfn.LET(_xlpm.Searching,"OSFA",_xlpm.inStr,IFERROR(FIND(_xlpm.Searching,$A258)&gt;=1,FALSE),IF(AND(_xlpm.inStr,LEN(A258)&lt;=6),A259,""))</f>
        <v>50</v>
      </c>
      <c r="D256" t="str">
        <f>_xlfn.LET(_xlpm.Searching,"55",_xlpm.inStr,IFERROR(FIND(_xlpm.Searching,$A258)&gt;=1,FALSE),IF(AND(_xlpm.inStr,LEN(A258)&lt;=6),A259,""))</f>
        <v/>
      </c>
      <c r="E256" t="str">
        <f>_xlfn.LET(_xlpm.Searching,"57",_xlpm.inStr,IFERROR(FIND(_xlpm.Searching,$A258)&gt;=1,FALSE),IF(AND(_xlpm.inStr,LEN(A258)&lt;=6),$A259,""))&amp;E257</f>
        <v/>
      </c>
      <c r="F256" t="str">
        <f>_xlfn.LET(_xlpm.Searching,"59",_xlpm.inStr,IFERROR(FIND(_xlpm.Searching,$A258)&gt;=1,FALSE),IF(AND(_xlpm.inStr,LEN(A258)&lt;=6),$A259,""))&amp;F257&amp;F258</f>
        <v/>
      </c>
      <c r="G256" t="str">
        <f>_xlfn.LET(_xlpm.Searching,"61",_xlpm.inStr,IFERROR(FIND(_xlpm.Searching,$A258)&gt;=1,FALSE),IF(AND(_xlpm.inStr,LEN(A258)&lt;=6),$A259,""))&amp;G257&amp;G258&amp;G259</f>
        <v/>
      </c>
      <c r="H256" t="str">
        <f>_xlfn.LET(_xlpm.Searching,"63",_xlpm.inStr,IFERROR(FIND(_xlpm.Searching,$A258)&gt;=1,FALSE),IF(AND(_xlpm.inStr,LEN(A258)&lt;=6),$A259,""))&amp;H257&amp;H258&amp;H259&amp;H260</f>
        <v/>
      </c>
      <c r="I256" s="4">
        <f>MID(TRIM(RIGHT(A256,10)),1,LEN(TRIM(RIGHT(A256,10)))-3)*0.8</f>
        <v>11.920000000000002</v>
      </c>
      <c r="J256" s="6"/>
    </row>
    <row r="257" spans="1:10" x14ac:dyDescent="0.25">
      <c r="A257" s="6" t="s">
        <v>113</v>
      </c>
      <c r="B257" t="str" cm="1">
        <f t="array" ref="B257">БУКВЫ(MID($A256,3,11))</f>
        <v>77511717</v>
      </c>
      <c r="C257" s="2"/>
      <c r="D257" s="2"/>
      <c r="E257" t="str">
        <f>_xlfn.LET(_xlpm.Searching,"57",_xlpm.inStr,IFERROR(FIND(_xlpm.Searching,$A260)&gt;=1,FALSE),IF(AND(_xlpm.inStr,LEN(A260)&lt;=6),$A261,""))</f>
        <v/>
      </c>
      <c r="F257" t="str">
        <f>_xlfn.LET(_xlpm.Searching,"59",_xlpm.inStr,IFERROR(FIND(_xlpm.Searching,$A260)&gt;=1,FALSE),IF(AND(_xlpm.inStr,LEN(A260)&lt;=6),$A261,""))</f>
        <v/>
      </c>
      <c r="G257" t="str">
        <f>_xlfn.LET(_xlpm.Searching,"61",_xlpm.inStr,IFERROR(FIND(_xlpm.Searching,$A260)&gt;=1,FALSE),IF(AND(_xlpm.inStr,LEN(A260)&lt;=6),$A261,""))</f>
        <v/>
      </c>
      <c r="H257" t="str">
        <f>_xlfn.LET(_xlpm.Searching,"63",_xlpm.inStr,IFERROR(FIND(_xlpm.Searching,$A260)&gt;=1,FALSE),IF(AND(_xlpm.inStr,LEN(A260)&lt;=6),$A261,""))</f>
        <v/>
      </c>
      <c r="J257" s="6"/>
    </row>
    <row r="258" spans="1:10" x14ac:dyDescent="0.25">
      <c r="A258" s="6" t="s">
        <v>0</v>
      </c>
      <c r="B258" t="str" cm="1">
        <f t="array" ref="B258">БУКВЫ(MID($A256,3,11))</f>
        <v>77511717</v>
      </c>
      <c r="C258" s="2"/>
      <c r="D258" s="2"/>
      <c r="E258" s="2"/>
      <c r="F258" t="str">
        <f>_xlfn.LET(_xlpm.Searching,"59",_xlpm.inStr,IFERROR(FIND(_xlpm.Searching,$A262)&gt;=1,FALSE),IF(AND(_xlpm.inStr,LEN(A262)&lt;=6),$A263,""))</f>
        <v/>
      </c>
      <c r="G258" t="str">
        <f>_xlfn.LET(_xlpm.Searching,"61",_xlpm.inStr,IFERROR(FIND(_xlpm.Searching,$A262)&gt;=1,FALSE),IF(AND(_xlpm.inStr,LEN(A262)&lt;=6),$A263,""))</f>
        <v/>
      </c>
      <c r="H258" t="str">
        <f>_xlfn.LET(_xlpm.Searching,"63",_xlpm.inStr,IFERROR(FIND(_xlpm.Searching,$A262)&gt;=1,FALSE),IF(AND(_xlpm.inStr,LEN(A262)&lt;=6),$A263,""))</f>
        <v/>
      </c>
      <c r="J258" s="6"/>
    </row>
    <row r="259" spans="1:10" x14ac:dyDescent="0.25">
      <c r="A259" s="6">
        <v>50</v>
      </c>
      <c r="B259" t="str" cm="1">
        <f t="array" ref="B259">БУКВЫ(MID($A256,3,11))</f>
        <v>77511717</v>
      </c>
      <c r="C259" s="2"/>
      <c r="D259" s="2"/>
      <c r="E259" s="2"/>
      <c r="F259" s="2"/>
      <c r="G259" t="str">
        <f>_xlfn.LET(_xlpm.Searching,"61",_xlpm.inStr,IFERROR(FIND(_xlpm.Searching,$A264)&gt;=1,FALSE),IF(AND(_xlpm.inStr,LEN(A264)&lt;=6),$A265,""))</f>
        <v/>
      </c>
      <c r="H259" t="str">
        <f>_xlfn.LET(_xlpm.Searching,"63",_xlpm.inStr,IFERROR(FIND(_xlpm.Searching,$A264)&gt;=1,FALSE),IF(AND(_xlpm.inStr,LEN(A264)&lt;=6),$A265,""))</f>
        <v/>
      </c>
      <c r="J259" s="6"/>
    </row>
    <row r="260" spans="1:10" x14ac:dyDescent="0.25">
      <c r="A260" s="6" t="s">
        <v>50</v>
      </c>
      <c r="B260" t="str" cm="1">
        <f t="array" ref="B260">БУКВЫ(MID($A256,3,11))</f>
        <v>77511717</v>
      </c>
      <c r="C260" s="2"/>
      <c r="D260" s="2"/>
      <c r="E260" s="2"/>
      <c r="F260" s="2"/>
      <c r="G260" s="2"/>
      <c r="H260" t="str">
        <f>_xlfn.LET(_xlpm.Searching,"63",_xlpm.inStr,IFERROR(FIND(_xlpm.Searching,$A266)&gt;=1,FALSE),IF(AND(_xlpm.inStr,LEN(A266)&lt;=6),$A267,""))</f>
        <v/>
      </c>
      <c r="J260" s="6"/>
    </row>
    <row r="261" spans="1:10" x14ac:dyDescent="0.25">
      <c r="A261" s="6" t="s">
        <v>71</v>
      </c>
      <c r="B261" s="6"/>
      <c r="C261" s="6"/>
      <c r="D261" s="6"/>
      <c r="E261" s="6"/>
      <c r="F261" s="6"/>
      <c r="G261" s="6"/>
      <c r="H261" s="6"/>
      <c r="I261" s="7"/>
      <c r="J261" s="6"/>
    </row>
    <row r="262" spans="1:10" x14ac:dyDescent="0.25">
      <c r="A262" s="6" t="s">
        <v>72</v>
      </c>
      <c r="B262" s="1" t="s">
        <v>1</v>
      </c>
      <c r="C262" s="1" t="s">
        <v>0</v>
      </c>
      <c r="D262" s="1">
        <v>55</v>
      </c>
      <c r="E262" s="1">
        <v>57</v>
      </c>
      <c r="F262" s="1">
        <v>59</v>
      </c>
      <c r="G262" s="1">
        <v>61</v>
      </c>
      <c r="H262" s="1">
        <v>63</v>
      </c>
      <c r="I262" s="3" t="s">
        <v>2</v>
      </c>
      <c r="J262" s="6"/>
    </row>
    <row r="263" spans="1:10" x14ac:dyDescent="0.25">
      <c r="A263" s="6" t="s">
        <v>118</v>
      </c>
      <c r="B263" t="str" cm="1">
        <f t="array" ref="B263">БУКВЫ(MID($A263,3,11))</f>
        <v>77511718</v>
      </c>
      <c r="C263">
        <f>_xlfn.LET(_xlpm.Searching,"OSFA",_xlpm.inStr,IFERROR(FIND(_xlpm.Searching,$A265)&gt;=1,FALSE),IF(AND(_xlpm.inStr,LEN(A265)&lt;=6),A266,""))</f>
        <v>65</v>
      </c>
      <c r="D263" t="str">
        <f>_xlfn.LET(_xlpm.Searching,"55",_xlpm.inStr,IFERROR(FIND(_xlpm.Searching,$A265)&gt;=1,FALSE),IF(AND(_xlpm.inStr,LEN(A265)&lt;=6),A266,""))</f>
        <v/>
      </c>
      <c r="E263" t="str">
        <f>_xlfn.LET(_xlpm.Searching,"57",_xlpm.inStr,IFERROR(FIND(_xlpm.Searching,$A265)&gt;=1,FALSE),IF(AND(_xlpm.inStr,LEN(A265)&lt;=6),$A266,""))&amp;E264</f>
        <v/>
      </c>
      <c r="F263" t="str">
        <f>_xlfn.LET(_xlpm.Searching,"59",_xlpm.inStr,IFERROR(FIND(_xlpm.Searching,$A265)&gt;=1,FALSE),IF(AND(_xlpm.inStr,LEN(A265)&lt;=6),$A266,""))&amp;F264&amp;F265</f>
        <v/>
      </c>
      <c r="G263" t="str">
        <f>_xlfn.LET(_xlpm.Searching,"61",_xlpm.inStr,IFERROR(FIND(_xlpm.Searching,$A265)&gt;=1,FALSE),IF(AND(_xlpm.inStr,LEN(A265)&lt;=6),$A266,""))&amp;G264&amp;G265&amp;G266</f>
        <v/>
      </c>
      <c r="H263" t="str">
        <f>_xlfn.LET(_xlpm.Searching,"63",_xlpm.inStr,IFERROR(FIND(_xlpm.Searching,$A265)&gt;=1,FALSE),IF(AND(_xlpm.inStr,LEN(A265)&lt;=6),$A266,""))&amp;H264&amp;H265&amp;H266&amp;H267</f>
        <v/>
      </c>
      <c r="I263" s="4">
        <f>MID(TRIM(RIGHT(A263,10)),1,LEN(TRIM(RIGHT(A263,10)))-3)*0.8</f>
        <v>11.920000000000002</v>
      </c>
      <c r="J263" s="6"/>
    </row>
    <row r="264" spans="1:10" x14ac:dyDescent="0.25">
      <c r="A264" s="6" t="s">
        <v>113</v>
      </c>
      <c r="B264" t="str" cm="1">
        <f t="array" ref="B264">БУКВЫ(MID($A263,3,11))</f>
        <v>77511718</v>
      </c>
      <c r="C264" s="2"/>
      <c r="D264" s="2"/>
      <c r="E264" t="str">
        <f>_xlfn.LET(_xlpm.Searching,"57",_xlpm.inStr,IFERROR(FIND(_xlpm.Searching,$A267)&gt;=1,FALSE),IF(AND(_xlpm.inStr,LEN(A267)&lt;=6),$A268,""))</f>
        <v/>
      </c>
      <c r="F264" t="str">
        <f>_xlfn.LET(_xlpm.Searching,"59",_xlpm.inStr,IFERROR(FIND(_xlpm.Searching,$A267)&gt;=1,FALSE),IF(AND(_xlpm.inStr,LEN(A267)&lt;=6),$A268,""))</f>
        <v/>
      </c>
      <c r="G264" t="str">
        <f>_xlfn.LET(_xlpm.Searching,"61",_xlpm.inStr,IFERROR(FIND(_xlpm.Searching,$A267)&gt;=1,FALSE),IF(AND(_xlpm.inStr,LEN(A267)&lt;=6),$A268,""))</f>
        <v/>
      </c>
      <c r="H264" t="str">
        <f>_xlfn.LET(_xlpm.Searching,"63",_xlpm.inStr,IFERROR(FIND(_xlpm.Searching,$A267)&gt;=1,FALSE),IF(AND(_xlpm.inStr,LEN(A267)&lt;=6),$A268,""))</f>
        <v/>
      </c>
      <c r="J264" s="6"/>
    </row>
    <row r="265" spans="1:10" x14ac:dyDescent="0.25">
      <c r="A265" s="6" t="s">
        <v>0</v>
      </c>
      <c r="B265" t="str" cm="1">
        <f t="array" ref="B265">БУКВЫ(MID($A263,3,11))</f>
        <v>77511718</v>
      </c>
      <c r="C265" s="2"/>
      <c r="D265" s="2"/>
      <c r="E265" s="2"/>
      <c r="F265" t="str">
        <f>_xlfn.LET(_xlpm.Searching,"59",_xlpm.inStr,IFERROR(FIND(_xlpm.Searching,$A269)&gt;=1,FALSE),IF(AND(_xlpm.inStr,LEN(A269)&lt;=6),$A270,""))</f>
        <v/>
      </c>
      <c r="G265" t="str">
        <f>_xlfn.LET(_xlpm.Searching,"61",_xlpm.inStr,IFERROR(FIND(_xlpm.Searching,$A269)&gt;=1,FALSE),IF(AND(_xlpm.inStr,LEN(A269)&lt;=6),$A270,""))</f>
        <v/>
      </c>
      <c r="H265" t="str">
        <f>_xlfn.LET(_xlpm.Searching,"63",_xlpm.inStr,IFERROR(FIND(_xlpm.Searching,$A269)&gt;=1,FALSE),IF(AND(_xlpm.inStr,LEN(A269)&lt;=6),$A270,""))</f>
        <v/>
      </c>
      <c r="J265" s="6"/>
    </row>
    <row r="266" spans="1:10" x14ac:dyDescent="0.25">
      <c r="A266" s="6">
        <v>65</v>
      </c>
      <c r="B266" t="str" cm="1">
        <f t="array" ref="B266">БУКВЫ(MID($A263,3,11))</f>
        <v>77511718</v>
      </c>
      <c r="C266" s="2"/>
      <c r="D266" s="2"/>
      <c r="E266" s="2"/>
      <c r="F266" s="2"/>
      <c r="G266" t="str">
        <f>_xlfn.LET(_xlpm.Searching,"61",_xlpm.inStr,IFERROR(FIND(_xlpm.Searching,$A271)&gt;=1,FALSE),IF(AND(_xlpm.inStr,LEN(A271)&lt;=6),$A272,""))</f>
        <v/>
      </c>
      <c r="H266" t="str">
        <f>_xlfn.LET(_xlpm.Searching,"63",_xlpm.inStr,IFERROR(FIND(_xlpm.Searching,$A271)&gt;=1,FALSE),IF(AND(_xlpm.inStr,LEN(A271)&lt;=6),$A272,""))</f>
        <v/>
      </c>
      <c r="J266" s="6"/>
    </row>
    <row r="267" spans="1:10" x14ac:dyDescent="0.25">
      <c r="A267" s="6" t="s">
        <v>50</v>
      </c>
      <c r="B267" t="str" cm="1">
        <f t="array" ref="B267">БУКВЫ(MID($A263,3,11))</f>
        <v>77511718</v>
      </c>
      <c r="C267" s="2"/>
      <c r="D267" s="2"/>
      <c r="E267" s="2"/>
      <c r="F267" s="2"/>
      <c r="G267" s="2"/>
      <c r="H267" t="str">
        <f>_xlfn.LET(_xlpm.Searching,"63",_xlpm.inStr,IFERROR(FIND(_xlpm.Searching,$A273)&gt;=1,FALSE),IF(AND(_xlpm.inStr,LEN(A273)&lt;=6),$A274,""))</f>
        <v/>
      </c>
      <c r="J267" s="6"/>
    </row>
    <row r="268" spans="1:10" x14ac:dyDescent="0.25">
      <c r="A268" s="6" t="s">
        <v>119</v>
      </c>
      <c r="B268" s="6"/>
      <c r="C268" s="6"/>
      <c r="D268" s="6"/>
      <c r="E268" s="6"/>
      <c r="F268" s="6"/>
      <c r="G268" s="6"/>
      <c r="H268" s="6"/>
      <c r="I268" s="7"/>
      <c r="J268" s="6"/>
    </row>
    <row r="269" spans="1:10" x14ac:dyDescent="0.25">
      <c r="A269" s="6" t="s">
        <v>120</v>
      </c>
      <c r="B269" s="8"/>
      <c r="C269" s="8"/>
      <c r="D269" s="8"/>
      <c r="E269" s="8"/>
      <c r="F269" s="8"/>
      <c r="G269" s="8"/>
      <c r="H269" s="8"/>
      <c r="I269" s="9"/>
      <c r="J269" s="6"/>
    </row>
    <row r="270" spans="1:10" x14ac:dyDescent="0.25">
      <c r="A270" s="6" t="s">
        <v>20</v>
      </c>
      <c r="B270" s="6"/>
      <c r="C270" s="6"/>
      <c r="D270" s="6"/>
      <c r="E270" s="6"/>
      <c r="F270" s="6"/>
      <c r="G270" s="6"/>
      <c r="H270" s="6"/>
      <c r="I270" s="7"/>
      <c r="J270" s="6"/>
    </row>
    <row r="271" spans="1:10" x14ac:dyDescent="0.25">
      <c r="A271" s="6" t="s">
        <v>53</v>
      </c>
      <c r="B271" s="6"/>
      <c r="C271" s="6"/>
      <c r="D271" s="6"/>
      <c r="E271" s="6"/>
      <c r="F271" s="6"/>
      <c r="G271" s="6"/>
      <c r="H271" s="6"/>
      <c r="I271" s="7"/>
      <c r="J271" s="6"/>
    </row>
    <row r="272" spans="1:10" x14ac:dyDescent="0.25">
      <c r="A272" s="6" t="s">
        <v>54</v>
      </c>
      <c r="B272" s="6"/>
      <c r="C272" s="6"/>
      <c r="D272" s="6"/>
      <c r="E272" s="6"/>
      <c r="F272" s="6"/>
      <c r="G272" s="6"/>
      <c r="H272" s="6"/>
      <c r="I272" s="7"/>
      <c r="J272" s="6"/>
    </row>
    <row r="273" spans="1:10" x14ac:dyDescent="0.25">
      <c r="A273" s="6" t="s">
        <v>55</v>
      </c>
      <c r="B273" s="6"/>
      <c r="C273" s="6"/>
      <c r="D273" s="6"/>
      <c r="E273" s="6"/>
      <c r="F273" s="6"/>
      <c r="G273" s="6"/>
      <c r="H273" s="6"/>
      <c r="I273" s="7"/>
      <c r="J273" s="6"/>
    </row>
    <row r="274" spans="1:10" x14ac:dyDescent="0.25">
      <c r="A274" s="6" t="s">
        <v>56</v>
      </c>
      <c r="B274" s="6"/>
      <c r="C274" s="6"/>
      <c r="D274" s="6"/>
      <c r="E274" s="6"/>
      <c r="F274" s="6"/>
      <c r="G274" s="6"/>
      <c r="H274" s="6"/>
      <c r="I274" s="7"/>
      <c r="J274" s="6"/>
    </row>
    <row r="275" spans="1:10" x14ac:dyDescent="0.25">
      <c r="A275" s="6" t="s">
        <v>57</v>
      </c>
      <c r="B275" s="6"/>
      <c r="C275" s="6"/>
      <c r="D275" s="6"/>
      <c r="E275" s="6"/>
      <c r="F275" s="6"/>
      <c r="G275" s="6"/>
      <c r="H275" s="6"/>
      <c r="I275" s="7"/>
      <c r="J275" s="6"/>
    </row>
    <row r="276" spans="1:10" x14ac:dyDescent="0.25">
      <c r="A276" s="6" t="s">
        <v>58</v>
      </c>
      <c r="B276" s="6"/>
      <c r="C276" s="6"/>
      <c r="D276" s="6"/>
      <c r="E276" s="6"/>
      <c r="F276" s="6"/>
      <c r="G276" s="6"/>
      <c r="H276" s="6"/>
      <c r="I276" s="7"/>
      <c r="J276" s="6"/>
    </row>
    <row r="277" spans="1:10" x14ac:dyDescent="0.25">
      <c r="A277" s="6" t="s">
        <v>59</v>
      </c>
      <c r="B277" s="6"/>
      <c r="C277" s="6"/>
      <c r="D277" s="6"/>
      <c r="E277" s="6"/>
      <c r="F277" s="6"/>
      <c r="G277" s="6"/>
      <c r="H277" s="6"/>
      <c r="I277" s="7"/>
      <c r="J277" s="6"/>
    </row>
    <row r="278" spans="1:10" x14ac:dyDescent="0.25">
      <c r="A278" s="6" t="s">
        <v>60</v>
      </c>
      <c r="B278" s="6"/>
      <c r="C278" s="6"/>
      <c r="D278" s="6"/>
      <c r="E278" s="6"/>
      <c r="F278" s="6"/>
      <c r="G278" s="6"/>
      <c r="H278" s="6"/>
      <c r="I278" s="7"/>
      <c r="J278" s="6"/>
    </row>
    <row r="279" spans="1:10" x14ac:dyDescent="0.25">
      <c r="A279" s="6" t="s">
        <v>61</v>
      </c>
      <c r="B279" s="6"/>
      <c r="C279" s="6"/>
      <c r="D279" s="6"/>
      <c r="E279" s="6"/>
      <c r="F279" s="6"/>
      <c r="G279" s="6"/>
      <c r="H279" s="6"/>
      <c r="I279" s="7"/>
      <c r="J279" s="6"/>
    </row>
    <row r="280" spans="1:10" x14ac:dyDescent="0.25">
      <c r="A280" s="6" t="s">
        <v>62</v>
      </c>
      <c r="B280" s="8"/>
      <c r="C280" s="8"/>
      <c r="D280" s="8"/>
      <c r="E280" s="8"/>
      <c r="F280" s="8"/>
      <c r="G280" s="8"/>
      <c r="H280" s="8"/>
      <c r="I280" s="9"/>
      <c r="J280" s="6"/>
    </row>
    <row r="281" spans="1:10" x14ac:dyDescent="0.25">
      <c r="A281" s="6" t="s">
        <v>63</v>
      </c>
      <c r="B281" s="6"/>
      <c r="C281" s="6"/>
      <c r="D281" s="6"/>
      <c r="E281" s="6"/>
      <c r="F281" s="6"/>
      <c r="G281" s="6"/>
      <c r="H281" s="6"/>
      <c r="I281" s="7"/>
      <c r="J281" s="6"/>
    </row>
    <row r="282" spans="1:10" x14ac:dyDescent="0.25">
      <c r="A282" s="6" t="s">
        <v>64</v>
      </c>
      <c r="B282" s="6"/>
      <c r="C282" s="6"/>
      <c r="D282" s="6"/>
      <c r="E282" s="6"/>
      <c r="F282" s="6"/>
      <c r="G282" s="6"/>
      <c r="H282" s="6"/>
      <c r="I282" s="7"/>
      <c r="J282" s="6"/>
    </row>
    <row r="283" spans="1:10" x14ac:dyDescent="0.25">
      <c r="A283" s="6" t="s">
        <v>65</v>
      </c>
      <c r="B283" s="6"/>
      <c r="C283" s="6"/>
      <c r="D283" s="6"/>
      <c r="E283" s="6"/>
      <c r="F283" s="6"/>
      <c r="G283" s="6"/>
      <c r="H283" s="6"/>
      <c r="I283" s="7"/>
      <c r="J283" s="6"/>
    </row>
    <row r="284" spans="1:10" x14ac:dyDescent="0.25">
      <c r="A284" s="6" t="s">
        <v>66</v>
      </c>
      <c r="B284" s="6"/>
      <c r="C284" s="6"/>
      <c r="D284" s="6"/>
      <c r="E284" s="6"/>
      <c r="F284" s="6"/>
      <c r="G284" s="6"/>
      <c r="H284" s="6"/>
      <c r="I284" s="7"/>
      <c r="J284" s="6"/>
    </row>
    <row r="285" spans="1:10" x14ac:dyDescent="0.25">
      <c r="A285" s="6" t="s">
        <v>8</v>
      </c>
      <c r="B285" s="6"/>
      <c r="C285" s="6"/>
      <c r="D285" s="6"/>
      <c r="E285" s="6"/>
      <c r="F285" s="6"/>
      <c r="G285" s="6"/>
      <c r="H285" s="6"/>
      <c r="I285" s="7"/>
      <c r="J285" s="6"/>
    </row>
    <row r="286" spans="1:10" x14ac:dyDescent="0.25">
      <c r="A286" s="6" t="s">
        <v>67</v>
      </c>
      <c r="B286" s="6"/>
      <c r="C286" s="6"/>
      <c r="D286" s="6"/>
      <c r="E286" s="6"/>
      <c r="F286" s="6"/>
      <c r="G286" s="6"/>
      <c r="H286" s="6"/>
      <c r="I286" s="7"/>
      <c r="J286" s="6"/>
    </row>
    <row r="287" spans="1:10" x14ac:dyDescent="0.25">
      <c r="A287" s="6" t="s">
        <v>121</v>
      </c>
      <c r="B287" s="8"/>
      <c r="C287" s="8"/>
      <c r="D287" s="8"/>
      <c r="E287" s="8"/>
      <c r="F287" s="8"/>
      <c r="G287" s="8"/>
      <c r="H287" s="8"/>
      <c r="I287" s="9"/>
      <c r="J287" s="6"/>
    </row>
    <row r="288" spans="1:10" x14ac:dyDescent="0.25">
      <c r="A288" s="6" t="s">
        <v>23</v>
      </c>
      <c r="B288" s="6"/>
      <c r="C288" s="6"/>
      <c r="D288" s="6"/>
      <c r="E288" s="6"/>
      <c r="F288" s="6"/>
      <c r="G288" s="6"/>
      <c r="H288" s="6"/>
      <c r="I288" s="7"/>
      <c r="J288" s="6"/>
    </row>
    <row r="289" spans="1:10" x14ac:dyDescent="0.25">
      <c r="A289" s="6" t="s">
        <v>24</v>
      </c>
      <c r="B289" s="6"/>
      <c r="C289" s="6"/>
      <c r="D289" s="6"/>
      <c r="E289" s="6"/>
      <c r="F289" s="6"/>
      <c r="G289" s="6"/>
      <c r="H289" s="6"/>
      <c r="I289" s="7"/>
      <c r="J289" s="6"/>
    </row>
    <row r="290" spans="1:10" x14ac:dyDescent="0.25">
      <c r="A290" s="6" t="s">
        <v>25</v>
      </c>
      <c r="B290" s="6"/>
      <c r="C290" s="6"/>
      <c r="D290" s="6"/>
      <c r="E290" s="6"/>
      <c r="F290" s="6"/>
      <c r="G290" s="6"/>
      <c r="H290" s="6"/>
      <c r="I290" s="7"/>
      <c r="J290" s="6"/>
    </row>
    <row r="291" spans="1:10" x14ac:dyDescent="0.25">
      <c r="A291" s="6" t="s">
        <v>26</v>
      </c>
      <c r="B291" s="8"/>
      <c r="C291" s="8"/>
      <c r="D291" s="8"/>
      <c r="E291" s="8"/>
      <c r="F291" s="8"/>
      <c r="G291" s="8"/>
      <c r="H291" s="8"/>
      <c r="I291" s="9"/>
      <c r="J291" s="6"/>
    </row>
    <row r="292" spans="1:10" x14ac:dyDescent="0.25">
      <c r="A292" s="6" t="s">
        <v>27</v>
      </c>
      <c r="B292" s="6"/>
      <c r="C292" s="6"/>
      <c r="D292" s="6"/>
      <c r="E292" s="6"/>
      <c r="F292" s="6"/>
      <c r="G292" s="6"/>
      <c r="H292" s="6"/>
      <c r="I292" s="7"/>
      <c r="J292" s="6"/>
    </row>
    <row r="293" spans="1:10" x14ac:dyDescent="0.25">
      <c r="A293" s="6" t="s">
        <v>28</v>
      </c>
      <c r="B293" s="6"/>
      <c r="C293" s="6"/>
      <c r="D293" s="6"/>
      <c r="E293" s="6"/>
      <c r="F293" s="6"/>
      <c r="G293" s="6"/>
      <c r="H293" s="6"/>
      <c r="I293" s="7"/>
      <c r="J293" s="6"/>
    </row>
    <row r="294" spans="1:10" x14ac:dyDescent="0.25">
      <c r="A294" s="6" t="s">
        <v>29</v>
      </c>
      <c r="B294" s="1" t="s">
        <v>1</v>
      </c>
      <c r="C294" s="1" t="s">
        <v>0</v>
      </c>
      <c r="D294" s="1">
        <v>55</v>
      </c>
      <c r="E294" s="1">
        <v>57</v>
      </c>
      <c r="F294" s="1">
        <v>59</v>
      </c>
      <c r="G294" s="1">
        <v>61</v>
      </c>
      <c r="H294" s="1">
        <v>63</v>
      </c>
      <c r="I294" s="3" t="s">
        <v>2</v>
      </c>
      <c r="J294" s="6"/>
    </row>
    <row r="295" spans="1:10" x14ac:dyDescent="0.25">
      <c r="A295" s="6" t="s">
        <v>122</v>
      </c>
      <c r="B295" t="str" cm="1">
        <f t="array" ref="B295">БУКВЫ(MID($A295,3,11))</f>
        <v>775117665</v>
      </c>
      <c r="C295">
        <f>_xlfn.LET(_xlpm.Searching,"OSFA",_xlpm.inStr,IFERROR(FIND(_xlpm.Searching,$A297)&gt;=1,FALSE),IF(AND(_xlpm.inStr,LEN(A297)&lt;=6),A298,""))</f>
        <v>20</v>
      </c>
      <c r="D295" t="str">
        <f>_xlfn.LET(_xlpm.Searching,"55",_xlpm.inStr,IFERROR(FIND(_xlpm.Searching,$A297)&gt;=1,FALSE),IF(AND(_xlpm.inStr,LEN(A297)&lt;=6),A298,""))</f>
        <v/>
      </c>
      <c r="E295" t="str">
        <f>_xlfn.LET(_xlpm.Searching,"57",_xlpm.inStr,IFERROR(FIND(_xlpm.Searching,$A297)&gt;=1,FALSE),IF(AND(_xlpm.inStr,LEN(A297)&lt;=6),$A298,""))&amp;E296</f>
        <v/>
      </c>
      <c r="F295" t="str">
        <f>_xlfn.LET(_xlpm.Searching,"59",_xlpm.inStr,IFERROR(FIND(_xlpm.Searching,$A297)&gt;=1,FALSE),IF(AND(_xlpm.inStr,LEN(A297)&lt;=6),$A298,""))&amp;F296&amp;F297</f>
        <v/>
      </c>
      <c r="G295" t="str">
        <f>_xlfn.LET(_xlpm.Searching,"61",_xlpm.inStr,IFERROR(FIND(_xlpm.Searching,$A297)&gt;=1,FALSE),IF(AND(_xlpm.inStr,LEN(A297)&lt;=6),$A298,""))&amp;G296&amp;G297&amp;G298</f>
        <v/>
      </c>
      <c r="H295" t="str">
        <f>_xlfn.LET(_xlpm.Searching,"63",_xlpm.inStr,IFERROR(FIND(_xlpm.Searching,$A297)&gt;=1,FALSE),IF(AND(_xlpm.inStr,LEN(A297)&lt;=6),$A298,""))&amp;H296&amp;H297&amp;H298&amp;H299</f>
        <v/>
      </c>
      <c r="I295" s="4">
        <f>MID(TRIM(RIGHT(A295,10)),1,LEN(TRIM(RIGHT(A295,10)))-3)*0.8</f>
        <v>11.920000000000002</v>
      </c>
      <c r="J295" s="6"/>
    </row>
    <row r="296" spans="1:10" x14ac:dyDescent="0.25">
      <c r="A296" s="6" t="s">
        <v>123</v>
      </c>
      <c r="B296" t="str" cm="1">
        <f t="array" ref="B296">БУКВЫ(MID($A295,3,11))</f>
        <v>775117665</v>
      </c>
      <c r="C296" s="2"/>
      <c r="D296" s="2"/>
      <c r="E296" t="str">
        <f>_xlfn.LET(_xlpm.Searching,"57",_xlpm.inStr,IFERROR(FIND(_xlpm.Searching,$A299)&gt;=1,FALSE),IF(AND(_xlpm.inStr,LEN(A299)&lt;=6),$A300,""))</f>
        <v/>
      </c>
      <c r="F296" t="str">
        <f>_xlfn.LET(_xlpm.Searching,"59",_xlpm.inStr,IFERROR(FIND(_xlpm.Searching,$A299)&gt;=1,FALSE),IF(AND(_xlpm.inStr,LEN(A299)&lt;=6),$A300,""))</f>
        <v/>
      </c>
      <c r="G296" t="str">
        <f>_xlfn.LET(_xlpm.Searching,"61",_xlpm.inStr,IFERROR(FIND(_xlpm.Searching,$A299)&gt;=1,FALSE),IF(AND(_xlpm.inStr,LEN(A299)&lt;=6),$A300,""))</f>
        <v/>
      </c>
      <c r="H296" t="str">
        <f>_xlfn.LET(_xlpm.Searching,"63",_xlpm.inStr,IFERROR(FIND(_xlpm.Searching,$A299)&gt;=1,FALSE),IF(AND(_xlpm.inStr,LEN(A299)&lt;=6),$A300,""))</f>
        <v/>
      </c>
      <c r="J296" s="6"/>
    </row>
    <row r="297" spans="1:10" x14ac:dyDescent="0.25">
      <c r="A297" s="6" t="s">
        <v>0</v>
      </c>
      <c r="B297" t="str" cm="1">
        <f t="array" ref="B297">БУКВЫ(MID($A295,3,11))</f>
        <v>775117665</v>
      </c>
      <c r="C297" s="2"/>
      <c r="D297" s="2"/>
      <c r="E297" s="2"/>
      <c r="F297" t="str">
        <f>_xlfn.LET(_xlpm.Searching,"59",_xlpm.inStr,IFERROR(FIND(_xlpm.Searching,$A301)&gt;=1,FALSE),IF(AND(_xlpm.inStr,LEN(A301)&lt;=6),$A302,""))</f>
        <v/>
      </c>
      <c r="G297" t="str">
        <f>_xlfn.LET(_xlpm.Searching,"61",_xlpm.inStr,IFERROR(FIND(_xlpm.Searching,$A301)&gt;=1,FALSE),IF(AND(_xlpm.inStr,LEN(A301)&lt;=6),$A302,""))</f>
        <v/>
      </c>
      <c r="H297" t="str">
        <f>_xlfn.LET(_xlpm.Searching,"63",_xlpm.inStr,IFERROR(FIND(_xlpm.Searching,$A301)&gt;=1,FALSE),IF(AND(_xlpm.inStr,LEN(A301)&lt;=6),$A302,""))</f>
        <v/>
      </c>
      <c r="J297" s="6"/>
    </row>
    <row r="298" spans="1:10" x14ac:dyDescent="0.25">
      <c r="A298" s="6">
        <v>20</v>
      </c>
      <c r="B298" t="str" cm="1">
        <f t="array" ref="B298">БУКВЫ(MID($A295,3,11))</f>
        <v>775117665</v>
      </c>
      <c r="C298" s="2"/>
      <c r="D298" s="2"/>
      <c r="E298" s="2"/>
      <c r="F298" s="2"/>
      <c r="G298" t="str">
        <f>_xlfn.LET(_xlpm.Searching,"61",_xlpm.inStr,IFERROR(FIND(_xlpm.Searching,$A303)&gt;=1,FALSE),IF(AND(_xlpm.inStr,LEN(A303)&lt;=6),$A304,""))</f>
        <v/>
      </c>
      <c r="H298" t="str">
        <f>_xlfn.LET(_xlpm.Searching,"63",_xlpm.inStr,IFERROR(FIND(_xlpm.Searching,$A303)&gt;=1,FALSE),IF(AND(_xlpm.inStr,LEN(A303)&lt;=6),$A304,""))</f>
        <v/>
      </c>
      <c r="J298" s="6"/>
    </row>
    <row r="299" spans="1:10" x14ac:dyDescent="0.25">
      <c r="A299" s="6" t="s">
        <v>50</v>
      </c>
      <c r="B299" t="str" cm="1">
        <f t="array" ref="B299">БУКВЫ(MID($A295,3,11))</f>
        <v>775117665</v>
      </c>
      <c r="C299" s="2"/>
      <c r="D299" s="2"/>
      <c r="E299" s="2"/>
      <c r="F299" s="2"/>
      <c r="G299" s="2"/>
      <c r="H299" t="str">
        <f>_xlfn.LET(_xlpm.Searching,"63",_xlpm.inStr,IFERROR(FIND(_xlpm.Searching,$A305)&gt;=1,FALSE),IF(AND(_xlpm.inStr,LEN(A305)&lt;=6),$A306,""))</f>
        <v/>
      </c>
      <c r="J299" s="6"/>
    </row>
    <row r="300" spans="1:10" x14ac:dyDescent="0.25">
      <c r="A300" s="6" t="s">
        <v>114</v>
      </c>
      <c r="B300" s="6"/>
      <c r="C300" s="6"/>
      <c r="D300" s="6"/>
      <c r="E300" s="6"/>
      <c r="F300" s="6"/>
      <c r="G300" s="6"/>
      <c r="H300" s="6"/>
      <c r="I300" s="7"/>
      <c r="J300" s="6"/>
    </row>
    <row r="301" spans="1:10" x14ac:dyDescent="0.25">
      <c r="A301" s="6" t="s">
        <v>115</v>
      </c>
      <c r="B301" s="1" t="s">
        <v>1</v>
      </c>
      <c r="C301" s="1" t="s">
        <v>0</v>
      </c>
      <c r="D301" s="1">
        <v>55</v>
      </c>
      <c r="E301" s="1">
        <v>57</v>
      </c>
      <c r="F301" s="1">
        <v>59</v>
      </c>
      <c r="G301" s="1">
        <v>61</v>
      </c>
      <c r="H301" s="1">
        <v>63</v>
      </c>
      <c r="I301" s="3" t="s">
        <v>2</v>
      </c>
      <c r="J301" s="6"/>
    </row>
    <row r="302" spans="1:10" x14ac:dyDescent="0.25">
      <c r="A302" s="6" t="s">
        <v>124</v>
      </c>
      <c r="B302" t="str" cm="1">
        <f t="array" ref="B302">БУКВЫ(MID($A302,3,11))</f>
        <v>21385047</v>
      </c>
      <c r="C302" t="str">
        <f>_xlfn.LET(_xlpm.Searching,"OSFA",_xlpm.inStr,IFERROR(FIND(_xlpm.Searching,$A304)&gt;=1,FALSE),IF(AND(_xlpm.inStr,LEN(A304)&lt;=6),A305,""))</f>
        <v/>
      </c>
      <c r="D302">
        <f>_xlfn.LET(_xlpm.Searching,"55",_xlpm.inStr,IFERROR(FIND(_xlpm.Searching,$A304)&gt;=1,FALSE),IF(AND(_xlpm.inStr,LEN(A304)&lt;=6),A305,""))</f>
        <v>1</v>
      </c>
      <c r="E302" t="str">
        <f>_xlfn.LET(_xlpm.Searching,"57",_xlpm.inStr,IFERROR(FIND(_xlpm.Searching,$A304)&gt;=1,FALSE),IF(AND(_xlpm.inStr,LEN(A304)&lt;=6),$A305,""))&amp;E303</f>
        <v>3</v>
      </c>
      <c r="F302" t="str">
        <f>_xlfn.LET(_xlpm.Searching,"59",_xlpm.inStr,IFERROR(FIND(_xlpm.Searching,$A304)&gt;=1,FALSE),IF(AND(_xlpm.inStr,LEN(A304)&lt;=6),$A305,""))&amp;F303&amp;F304</f>
        <v>4</v>
      </c>
      <c r="G302" t="str">
        <f>_xlfn.LET(_xlpm.Searching,"61",_xlpm.inStr,IFERROR(FIND(_xlpm.Searching,$A304)&gt;=1,FALSE),IF(AND(_xlpm.inStr,LEN(A304)&lt;=6),$A305,""))&amp;G303&amp;G304&amp;G305</f>
        <v>1</v>
      </c>
      <c r="H302" t="str">
        <f>_xlfn.LET(_xlpm.Searching,"63",_xlpm.inStr,IFERROR(FIND(_xlpm.Searching,$A304)&gt;=1,FALSE),IF(AND(_xlpm.inStr,LEN(A304)&lt;=6),$A305,""))&amp;H303&amp;H304&amp;H305&amp;H306</f>
        <v/>
      </c>
      <c r="I302" s="4">
        <f>MID(TRIM(RIGHT(A302,10)),1,LEN(TRIM(RIGHT(A302,10)))-3)*0.8</f>
        <v>45.6</v>
      </c>
      <c r="J302" s="6"/>
    </row>
    <row r="303" spans="1:10" x14ac:dyDescent="0.25">
      <c r="A303" s="6" t="s">
        <v>125</v>
      </c>
      <c r="B303" t="str" cm="1">
        <f t="array" ref="B303">БУКВЫ(MID($A302,3,11))</f>
        <v>21385047</v>
      </c>
      <c r="C303" s="2"/>
      <c r="D303" s="2"/>
      <c r="E303">
        <f>_xlfn.LET(_xlpm.Searching,"57",_xlpm.inStr,IFERROR(FIND(_xlpm.Searching,$A306)&gt;=1,FALSE),IF(AND(_xlpm.inStr,LEN(A306)&lt;=6),$A307,""))</f>
        <v>3</v>
      </c>
      <c r="F303" t="str">
        <f>_xlfn.LET(_xlpm.Searching,"59",_xlpm.inStr,IFERROR(FIND(_xlpm.Searching,$A306)&gt;=1,FALSE),IF(AND(_xlpm.inStr,LEN(A306)&lt;=6),$A307,""))</f>
        <v/>
      </c>
      <c r="G303" t="str">
        <f>_xlfn.LET(_xlpm.Searching,"61",_xlpm.inStr,IFERROR(FIND(_xlpm.Searching,$A306)&gt;=1,FALSE),IF(AND(_xlpm.inStr,LEN(A306)&lt;=6),$A307,""))</f>
        <v/>
      </c>
      <c r="H303" t="str">
        <f>_xlfn.LET(_xlpm.Searching,"63",_xlpm.inStr,IFERROR(FIND(_xlpm.Searching,$A306)&gt;=1,FALSE),IF(AND(_xlpm.inStr,LEN(A306)&lt;=6),$A307,""))</f>
        <v/>
      </c>
      <c r="J303" s="6"/>
    </row>
    <row r="304" spans="1:10" x14ac:dyDescent="0.25">
      <c r="A304" s="6" t="s">
        <v>42</v>
      </c>
      <c r="B304" t="str" cm="1">
        <f t="array" ref="B304">БУКВЫ(MID($A302,3,11))</f>
        <v>21385047</v>
      </c>
      <c r="C304" s="2"/>
      <c r="D304" s="2"/>
      <c r="E304" s="2"/>
      <c r="F304">
        <f>_xlfn.LET(_xlpm.Searching,"59",_xlpm.inStr,IFERROR(FIND(_xlpm.Searching,$A308)&gt;=1,FALSE),IF(AND(_xlpm.inStr,LEN(A308)&lt;=6),$A309,""))</f>
        <v>4</v>
      </c>
      <c r="G304" t="str">
        <f>_xlfn.LET(_xlpm.Searching,"61",_xlpm.inStr,IFERROR(FIND(_xlpm.Searching,$A308)&gt;=1,FALSE),IF(AND(_xlpm.inStr,LEN(A308)&lt;=6),$A309,""))</f>
        <v/>
      </c>
      <c r="H304" t="str">
        <f>_xlfn.LET(_xlpm.Searching,"63",_xlpm.inStr,IFERROR(FIND(_xlpm.Searching,$A308)&gt;=1,FALSE),IF(AND(_xlpm.inStr,LEN(A308)&lt;=6),$A309,""))</f>
        <v/>
      </c>
      <c r="J304" s="6"/>
    </row>
    <row r="305" spans="1:10" x14ac:dyDescent="0.25">
      <c r="A305" s="6">
        <v>1</v>
      </c>
      <c r="B305" t="str" cm="1">
        <f t="array" ref="B305">БУКВЫ(MID($A302,3,11))</f>
        <v>21385047</v>
      </c>
      <c r="C305" s="2"/>
      <c r="D305" s="2"/>
      <c r="E305" s="2"/>
      <c r="F305" s="2"/>
      <c r="G305">
        <f>_xlfn.LET(_xlpm.Searching,"61",_xlpm.inStr,IFERROR(FIND(_xlpm.Searching,$A310)&gt;=1,FALSE),IF(AND(_xlpm.inStr,LEN(A310)&lt;=6),$A311,""))</f>
        <v>1</v>
      </c>
      <c r="H305" t="str">
        <f>_xlfn.LET(_xlpm.Searching,"63",_xlpm.inStr,IFERROR(FIND(_xlpm.Searching,$A310)&gt;=1,FALSE),IF(AND(_xlpm.inStr,LEN(A310)&lt;=6),$A311,""))</f>
        <v/>
      </c>
      <c r="J305" s="6"/>
    </row>
    <row r="306" spans="1:10" x14ac:dyDescent="0.25">
      <c r="A306" s="6" t="s">
        <v>43</v>
      </c>
      <c r="B306" t="str" cm="1">
        <f t="array" ref="B306">БУКВЫ(MID($A302,3,11))</f>
        <v>21385047</v>
      </c>
      <c r="C306" s="2"/>
      <c r="D306" s="2"/>
      <c r="E306" s="2"/>
      <c r="F306" s="2"/>
      <c r="G306" s="2"/>
      <c r="H306" t="str">
        <f>_xlfn.LET(_xlpm.Searching,"63",_xlpm.inStr,IFERROR(FIND(_xlpm.Searching,$A312)&gt;=1,FALSE),IF(AND(_xlpm.inStr,LEN(A312)&lt;=6),$A313,""))</f>
        <v/>
      </c>
      <c r="J306" s="6"/>
    </row>
    <row r="307" spans="1:10" x14ac:dyDescent="0.25">
      <c r="A307" s="6">
        <v>3</v>
      </c>
      <c r="B307" s="6"/>
      <c r="C307" s="6"/>
      <c r="D307" s="6"/>
      <c r="E307" s="6"/>
      <c r="F307" s="6"/>
      <c r="G307" s="6"/>
      <c r="H307" s="6"/>
      <c r="I307" s="7"/>
      <c r="J307" s="6"/>
    </row>
    <row r="308" spans="1:10" x14ac:dyDescent="0.25">
      <c r="A308" s="6" t="s">
        <v>35</v>
      </c>
      <c r="B308" s="6"/>
      <c r="C308" s="6"/>
      <c r="D308" s="6"/>
      <c r="E308" s="6"/>
      <c r="F308" s="6"/>
      <c r="G308" s="6"/>
      <c r="H308" s="6"/>
      <c r="I308" s="7"/>
      <c r="J308" s="6"/>
    </row>
    <row r="309" spans="1:10" x14ac:dyDescent="0.25">
      <c r="A309" s="6">
        <v>4</v>
      </c>
      <c r="B309" s="6"/>
      <c r="C309" s="6"/>
      <c r="D309" s="6"/>
      <c r="E309" s="6"/>
      <c r="F309" s="6"/>
      <c r="G309" s="6"/>
      <c r="H309" s="6"/>
      <c r="I309" s="7"/>
      <c r="J309" s="6"/>
    </row>
    <row r="310" spans="1:10" x14ac:dyDescent="0.25">
      <c r="A310" s="6" t="s">
        <v>36</v>
      </c>
      <c r="B310" s="6"/>
      <c r="C310" s="6"/>
      <c r="D310" s="6"/>
      <c r="E310" s="6"/>
      <c r="F310" s="6"/>
      <c r="G310" s="6"/>
      <c r="H310" s="6"/>
      <c r="I310" s="7"/>
      <c r="J310" s="6"/>
    </row>
    <row r="311" spans="1:10" x14ac:dyDescent="0.25">
      <c r="A311" s="6">
        <v>1</v>
      </c>
      <c r="B311" s="8"/>
      <c r="C311" s="8"/>
      <c r="D311" s="8"/>
      <c r="E311" s="8"/>
      <c r="F311" s="8"/>
      <c r="G311" s="8"/>
      <c r="H311" s="8"/>
      <c r="I311" s="9"/>
      <c r="J311" s="6"/>
    </row>
    <row r="312" spans="1:10" x14ac:dyDescent="0.25">
      <c r="A312" s="6" t="s">
        <v>126</v>
      </c>
      <c r="B312" s="6"/>
      <c r="C312" s="6"/>
      <c r="D312" s="6"/>
      <c r="E312" s="6"/>
      <c r="F312" s="6"/>
      <c r="G312" s="6"/>
      <c r="H312" s="6"/>
      <c r="I312" s="7"/>
      <c r="J312" s="6"/>
    </row>
    <row r="313" spans="1:10" x14ac:dyDescent="0.25">
      <c r="A313" s="6" t="s">
        <v>127</v>
      </c>
      <c r="B313" s="6"/>
      <c r="C313" s="6"/>
      <c r="D313" s="6"/>
      <c r="E313" s="6"/>
      <c r="F313" s="6"/>
      <c r="G313" s="6"/>
      <c r="H313" s="6"/>
      <c r="I313" s="7"/>
      <c r="J313" s="6"/>
    </row>
    <row r="314" spans="1:10" x14ac:dyDescent="0.25">
      <c r="A314" s="6" t="s">
        <v>128</v>
      </c>
      <c r="B314" s="1" t="s">
        <v>1</v>
      </c>
      <c r="C314" s="1" t="s">
        <v>0</v>
      </c>
      <c r="D314" s="1">
        <v>55</v>
      </c>
      <c r="E314" s="1">
        <v>57</v>
      </c>
      <c r="F314" s="1">
        <v>59</v>
      </c>
      <c r="G314" s="1">
        <v>61</v>
      </c>
      <c r="H314" s="1">
        <v>63</v>
      </c>
      <c r="I314" s="3" t="s">
        <v>2</v>
      </c>
      <c r="J314" s="6"/>
    </row>
    <row r="315" spans="1:10" x14ac:dyDescent="0.25">
      <c r="A315" s="6" t="s">
        <v>129</v>
      </c>
      <c r="B315" t="str" cm="1">
        <f t="array" ref="B315">БУКВЫ(MID($A315,3,11))</f>
        <v>775117884</v>
      </c>
      <c r="C315">
        <f>_xlfn.LET(_xlpm.Searching,"OSFA",_xlpm.inStr,IFERROR(FIND(_xlpm.Searching,$A317)&gt;=1,FALSE),IF(AND(_xlpm.inStr,LEN(A317)&lt;=6),A318,""))</f>
        <v>55</v>
      </c>
      <c r="D315" t="str">
        <f>_xlfn.LET(_xlpm.Searching,"55",_xlpm.inStr,IFERROR(FIND(_xlpm.Searching,$A317)&gt;=1,FALSE),IF(AND(_xlpm.inStr,LEN(A317)&lt;=6),A318,""))</f>
        <v/>
      </c>
      <c r="E315" t="str">
        <f>_xlfn.LET(_xlpm.Searching,"57",_xlpm.inStr,IFERROR(FIND(_xlpm.Searching,$A317)&gt;=1,FALSE),IF(AND(_xlpm.inStr,LEN(A317)&lt;=6),$A318,""))&amp;E316</f>
        <v/>
      </c>
      <c r="F315" t="str">
        <f>_xlfn.LET(_xlpm.Searching,"59",_xlpm.inStr,IFERROR(FIND(_xlpm.Searching,$A317)&gt;=1,FALSE),IF(AND(_xlpm.inStr,LEN(A317)&lt;=6),$A318,""))&amp;F316&amp;F317</f>
        <v/>
      </c>
      <c r="G315" t="str">
        <f>_xlfn.LET(_xlpm.Searching,"61",_xlpm.inStr,IFERROR(FIND(_xlpm.Searching,$A317)&gt;=1,FALSE),IF(AND(_xlpm.inStr,LEN(A317)&lt;=6),$A318,""))&amp;G316&amp;G317&amp;G318</f>
        <v/>
      </c>
      <c r="H315" t="str">
        <f>_xlfn.LET(_xlpm.Searching,"63",_xlpm.inStr,IFERROR(FIND(_xlpm.Searching,$A317)&gt;=1,FALSE),IF(AND(_xlpm.inStr,LEN(A317)&lt;=6),$A318,""))&amp;H316&amp;H317&amp;H318&amp;H319</f>
        <v/>
      </c>
      <c r="I315" s="4">
        <f>MID(TRIM(RIGHT(A315,10)),1,LEN(TRIM(RIGHT(A315,10)))-3)*0.8</f>
        <v>11.920000000000002</v>
      </c>
      <c r="J315" s="6"/>
    </row>
    <row r="316" spans="1:10" x14ac:dyDescent="0.25">
      <c r="A316" s="6" t="s">
        <v>130</v>
      </c>
      <c r="B316" t="str" cm="1">
        <f t="array" ref="B316">БУКВЫ(MID($A315,3,11))</f>
        <v>775117884</v>
      </c>
      <c r="C316" s="2"/>
      <c r="D316" s="2"/>
      <c r="E316" t="str">
        <f>_xlfn.LET(_xlpm.Searching,"57",_xlpm.inStr,IFERROR(FIND(_xlpm.Searching,$A319)&gt;=1,FALSE),IF(AND(_xlpm.inStr,LEN(A319)&lt;=6),$A320,""))</f>
        <v/>
      </c>
      <c r="F316" t="str">
        <f>_xlfn.LET(_xlpm.Searching,"59",_xlpm.inStr,IFERROR(FIND(_xlpm.Searching,$A319)&gt;=1,FALSE),IF(AND(_xlpm.inStr,LEN(A319)&lt;=6),$A320,""))</f>
        <v/>
      </c>
      <c r="G316" t="str">
        <f>_xlfn.LET(_xlpm.Searching,"61",_xlpm.inStr,IFERROR(FIND(_xlpm.Searching,$A319)&gt;=1,FALSE),IF(AND(_xlpm.inStr,LEN(A319)&lt;=6),$A320,""))</f>
        <v/>
      </c>
      <c r="H316" t="str">
        <f>_xlfn.LET(_xlpm.Searching,"63",_xlpm.inStr,IFERROR(FIND(_xlpm.Searching,$A319)&gt;=1,FALSE),IF(AND(_xlpm.inStr,LEN(A319)&lt;=6),$A320,""))</f>
        <v/>
      </c>
      <c r="J316" s="6"/>
    </row>
    <row r="317" spans="1:10" x14ac:dyDescent="0.25">
      <c r="A317" s="6" t="s">
        <v>0</v>
      </c>
      <c r="B317" t="str" cm="1">
        <f t="array" ref="B317">БУКВЫ(MID($A315,3,11))</f>
        <v>775117884</v>
      </c>
      <c r="C317" s="2"/>
      <c r="D317" s="2"/>
      <c r="E317" s="2"/>
      <c r="F317" t="str">
        <f>_xlfn.LET(_xlpm.Searching,"59",_xlpm.inStr,IFERROR(FIND(_xlpm.Searching,$A321)&gt;=1,FALSE),IF(AND(_xlpm.inStr,LEN(A321)&lt;=6),$A322,""))</f>
        <v/>
      </c>
      <c r="G317" t="str">
        <f>_xlfn.LET(_xlpm.Searching,"61",_xlpm.inStr,IFERROR(FIND(_xlpm.Searching,$A321)&gt;=1,FALSE),IF(AND(_xlpm.inStr,LEN(A321)&lt;=6),$A322,""))</f>
        <v/>
      </c>
      <c r="H317" t="str">
        <f>_xlfn.LET(_xlpm.Searching,"63",_xlpm.inStr,IFERROR(FIND(_xlpm.Searching,$A321)&gt;=1,FALSE),IF(AND(_xlpm.inStr,LEN(A321)&lt;=6),$A322,""))</f>
        <v/>
      </c>
      <c r="J317" s="6"/>
    </row>
    <row r="318" spans="1:10" x14ac:dyDescent="0.25">
      <c r="A318" s="6">
        <v>55</v>
      </c>
      <c r="B318" t="str" cm="1">
        <f t="array" ref="B318">БУКВЫ(MID($A315,3,11))</f>
        <v>775117884</v>
      </c>
      <c r="C318" s="2"/>
      <c r="D318" s="2"/>
      <c r="E318" s="2"/>
      <c r="F318" s="2"/>
      <c r="G318" t="str">
        <f>_xlfn.LET(_xlpm.Searching,"61",_xlpm.inStr,IFERROR(FIND(_xlpm.Searching,$A323)&gt;=1,FALSE),IF(AND(_xlpm.inStr,LEN(A323)&lt;=6),$A324,""))</f>
        <v/>
      </c>
      <c r="H318" t="str">
        <f>_xlfn.LET(_xlpm.Searching,"63",_xlpm.inStr,IFERROR(FIND(_xlpm.Searching,$A323)&gt;=1,FALSE),IF(AND(_xlpm.inStr,LEN(A323)&lt;=6),$A324,""))</f>
        <v/>
      </c>
      <c r="J318" s="6"/>
    </row>
    <row r="319" spans="1:10" x14ac:dyDescent="0.25">
      <c r="A319" s="6" t="s">
        <v>50</v>
      </c>
      <c r="B319" t="str" cm="1">
        <f t="array" ref="B319">БУКВЫ(MID($A315,3,11))</f>
        <v>775117884</v>
      </c>
      <c r="C319" s="2"/>
      <c r="D319" s="2"/>
      <c r="E319" s="2"/>
      <c r="F319" s="2"/>
      <c r="G319" s="2"/>
      <c r="H319" t="str">
        <f>_xlfn.LET(_xlpm.Searching,"63",_xlpm.inStr,IFERROR(FIND(_xlpm.Searching,$A325)&gt;=1,FALSE),IF(AND(_xlpm.inStr,LEN(A325)&lt;=6),$A326,""))</f>
        <v/>
      </c>
      <c r="J319" s="6"/>
    </row>
    <row r="320" spans="1:10" x14ac:dyDescent="0.25">
      <c r="A320" s="6" t="s">
        <v>131</v>
      </c>
      <c r="B320" s="6"/>
      <c r="C320" s="6"/>
      <c r="D320" s="6"/>
      <c r="E320" s="6"/>
      <c r="F320" s="6"/>
      <c r="G320" s="6"/>
      <c r="H320" s="6"/>
      <c r="I320" s="7"/>
      <c r="J320" s="6"/>
    </row>
    <row r="321" spans="1:10" x14ac:dyDescent="0.25">
      <c r="A321" s="6" t="s">
        <v>132</v>
      </c>
      <c r="B321" s="1" t="s">
        <v>1</v>
      </c>
      <c r="C321" s="1" t="s">
        <v>0</v>
      </c>
      <c r="D321" s="1">
        <v>55</v>
      </c>
      <c r="E321" s="1">
        <v>57</v>
      </c>
      <c r="F321" s="1">
        <v>59</v>
      </c>
      <c r="G321" s="1">
        <v>61</v>
      </c>
      <c r="H321" s="1">
        <v>63</v>
      </c>
      <c r="I321" s="3" t="s">
        <v>2</v>
      </c>
      <c r="J321" s="6"/>
    </row>
    <row r="322" spans="1:10" x14ac:dyDescent="0.25">
      <c r="A322" s="6" t="s">
        <v>133</v>
      </c>
      <c r="B322" t="str" cm="1">
        <f t="array" ref="B322">БУКВЫ(MID($A322,3,11))</f>
        <v>775118522</v>
      </c>
      <c r="C322">
        <f>_xlfn.LET(_xlpm.Searching,"OSFA",_xlpm.inStr,IFERROR(FIND(_xlpm.Searching,$A324)&gt;=1,FALSE),IF(AND(_xlpm.inStr,LEN(A324)&lt;=6),A325,""))</f>
        <v>90</v>
      </c>
      <c r="D322" t="str">
        <f>_xlfn.LET(_xlpm.Searching,"55",_xlpm.inStr,IFERROR(FIND(_xlpm.Searching,$A324)&gt;=1,FALSE),IF(AND(_xlpm.inStr,LEN(A324)&lt;=6),A325,""))</f>
        <v/>
      </c>
      <c r="E322" t="str">
        <f>_xlfn.LET(_xlpm.Searching,"57",_xlpm.inStr,IFERROR(FIND(_xlpm.Searching,$A324)&gt;=1,FALSE),IF(AND(_xlpm.inStr,LEN(A324)&lt;=6),$A325,""))&amp;E323</f>
        <v/>
      </c>
      <c r="F322" t="str">
        <f>_xlfn.LET(_xlpm.Searching,"59",_xlpm.inStr,IFERROR(FIND(_xlpm.Searching,$A324)&gt;=1,FALSE),IF(AND(_xlpm.inStr,LEN(A324)&lt;=6),$A325,""))&amp;F323&amp;F324</f>
        <v/>
      </c>
      <c r="G322" t="str">
        <f>_xlfn.LET(_xlpm.Searching,"61",_xlpm.inStr,IFERROR(FIND(_xlpm.Searching,$A324)&gt;=1,FALSE),IF(AND(_xlpm.inStr,LEN(A324)&lt;=6),$A325,""))&amp;G323&amp;G324&amp;G325</f>
        <v/>
      </c>
      <c r="H322" t="str">
        <f>_xlfn.LET(_xlpm.Searching,"63",_xlpm.inStr,IFERROR(FIND(_xlpm.Searching,$A324)&gt;=1,FALSE),IF(AND(_xlpm.inStr,LEN(A324)&lt;=6),$A325,""))&amp;H323&amp;H324&amp;H325&amp;H326</f>
        <v/>
      </c>
      <c r="I322" s="4">
        <f>MID(TRIM(RIGHT(A322,10)),1,LEN(TRIM(RIGHT(A322,10)))-3)*0.8</f>
        <v>11.920000000000002</v>
      </c>
      <c r="J322" s="6"/>
    </row>
    <row r="323" spans="1:10" x14ac:dyDescent="0.25">
      <c r="A323" s="6" t="s">
        <v>134</v>
      </c>
      <c r="B323" t="str" cm="1">
        <f t="array" ref="B323">БУКВЫ(MID($A322,3,11))</f>
        <v>775118522</v>
      </c>
      <c r="C323" s="2"/>
      <c r="D323" s="2"/>
      <c r="E323" t="str">
        <f>_xlfn.LET(_xlpm.Searching,"57",_xlpm.inStr,IFERROR(FIND(_xlpm.Searching,$A326)&gt;=1,FALSE),IF(AND(_xlpm.inStr,LEN(A326)&lt;=6),$A327,""))</f>
        <v/>
      </c>
      <c r="F323" t="str">
        <f>_xlfn.LET(_xlpm.Searching,"59",_xlpm.inStr,IFERROR(FIND(_xlpm.Searching,$A326)&gt;=1,FALSE),IF(AND(_xlpm.inStr,LEN(A326)&lt;=6),$A327,""))</f>
        <v/>
      </c>
      <c r="G323" t="str">
        <f>_xlfn.LET(_xlpm.Searching,"61",_xlpm.inStr,IFERROR(FIND(_xlpm.Searching,$A326)&gt;=1,FALSE),IF(AND(_xlpm.inStr,LEN(A326)&lt;=6),$A327,""))</f>
        <v/>
      </c>
      <c r="H323" t="str">
        <f>_xlfn.LET(_xlpm.Searching,"63",_xlpm.inStr,IFERROR(FIND(_xlpm.Searching,$A326)&gt;=1,FALSE),IF(AND(_xlpm.inStr,LEN(A326)&lt;=6),$A327,""))</f>
        <v/>
      </c>
      <c r="J323" s="6"/>
    </row>
    <row r="324" spans="1:10" x14ac:dyDescent="0.25">
      <c r="A324" s="6" t="s">
        <v>0</v>
      </c>
      <c r="B324" t="str" cm="1">
        <f t="array" ref="B324">БУКВЫ(MID($A322,3,11))</f>
        <v>775118522</v>
      </c>
      <c r="C324" s="2"/>
      <c r="D324" s="2"/>
      <c r="E324" s="2"/>
      <c r="F324" t="str">
        <f>_xlfn.LET(_xlpm.Searching,"59",_xlpm.inStr,IFERROR(FIND(_xlpm.Searching,$A328)&gt;=1,FALSE),IF(AND(_xlpm.inStr,LEN(A328)&lt;=6),$A329,""))</f>
        <v/>
      </c>
      <c r="G324" t="str">
        <f>_xlfn.LET(_xlpm.Searching,"61",_xlpm.inStr,IFERROR(FIND(_xlpm.Searching,$A328)&gt;=1,FALSE),IF(AND(_xlpm.inStr,LEN(A328)&lt;=6),$A329,""))</f>
        <v/>
      </c>
      <c r="H324" t="str">
        <f>_xlfn.LET(_xlpm.Searching,"63",_xlpm.inStr,IFERROR(FIND(_xlpm.Searching,$A328)&gt;=1,FALSE),IF(AND(_xlpm.inStr,LEN(A328)&lt;=6),$A329,""))</f>
        <v/>
      </c>
      <c r="J324" s="6"/>
    </row>
    <row r="325" spans="1:10" x14ac:dyDescent="0.25">
      <c r="A325" s="6">
        <v>90</v>
      </c>
      <c r="B325" t="str" cm="1">
        <f t="array" ref="B325">БУКВЫ(MID($A322,3,11))</f>
        <v>775118522</v>
      </c>
      <c r="C325" s="2"/>
      <c r="D325" s="2"/>
      <c r="E325" s="2"/>
      <c r="F325" s="2"/>
      <c r="G325" t="str">
        <f>_xlfn.LET(_xlpm.Searching,"61",_xlpm.inStr,IFERROR(FIND(_xlpm.Searching,$A330)&gt;=1,FALSE),IF(AND(_xlpm.inStr,LEN(A330)&lt;=6),$A331,""))</f>
        <v/>
      </c>
      <c r="H325" t="str">
        <f>_xlfn.LET(_xlpm.Searching,"63",_xlpm.inStr,IFERROR(FIND(_xlpm.Searching,$A330)&gt;=1,FALSE),IF(AND(_xlpm.inStr,LEN(A330)&lt;=6),$A331,""))</f>
        <v/>
      </c>
      <c r="J325" s="6"/>
    </row>
    <row r="326" spans="1:10" x14ac:dyDescent="0.25">
      <c r="A326" s="6" t="s">
        <v>50</v>
      </c>
      <c r="B326" t="str" cm="1">
        <f t="array" ref="B326">БУКВЫ(MID($A322,3,11))</f>
        <v>775118522</v>
      </c>
      <c r="C326" s="2"/>
      <c r="D326" s="2"/>
      <c r="E326" s="2"/>
      <c r="F326" s="2"/>
      <c r="G326" s="2"/>
      <c r="H326" t="str">
        <f>_xlfn.LET(_xlpm.Searching,"63",_xlpm.inStr,IFERROR(FIND(_xlpm.Searching,$A332)&gt;=1,FALSE),IF(AND(_xlpm.inStr,LEN(A332)&lt;=6),$A333,""))</f>
        <v/>
      </c>
      <c r="J326" s="6"/>
    </row>
    <row r="327" spans="1:10" x14ac:dyDescent="0.25">
      <c r="A327" s="6" t="s">
        <v>135</v>
      </c>
      <c r="B327" s="6"/>
      <c r="C327" s="6"/>
      <c r="D327" s="6"/>
      <c r="E327" s="6"/>
      <c r="F327" s="6"/>
      <c r="G327" s="6"/>
      <c r="H327" s="6"/>
      <c r="I327" s="7"/>
      <c r="J327" s="6"/>
    </row>
    <row r="328" spans="1:10" x14ac:dyDescent="0.25">
      <c r="A328" s="6" t="s">
        <v>136</v>
      </c>
      <c r="B328" s="1" t="s">
        <v>1</v>
      </c>
      <c r="C328" s="1" t="s">
        <v>0</v>
      </c>
      <c r="D328" s="1">
        <v>55</v>
      </c>
      <c r="E328" s="1">
        <v>57</v>
      </c>
      <c r="F328" s="1">
        <v>59</v>
      </c>
      <c r="G328" s="1">
        <v>61</v>
      </c>
      <c r="H328" s="1">
        <v>63</v>
      </c>
      <c r="I328" s="3" t="s">
        <v>2</v>
      </c>
      <c r="J328" s="6"/>
    </row>
    <row r="329" spans="1:10" x14ac:dyDescent="0.25">
      <c r="A329" s="6" t="s">
        <v>137</v>
      </c>
      <c r="B329" t="str" cm="1">
        <f t="array" ref="B329">БУКВЫ(MID($A329,3,11))</f>
        <v>775118667</v>
      </c>
      <c r="C329">
        <f>_xlfn.LET(_xlpm.Searching,"OSFA",_xlpm.inStr,IFERROR(FIND(_xlpm.Searching,$A331)&gt;=1,FALSE),IF(AND(_xlpm.inStr,LEN(A331)&lt;=6),A332,""))</f>
        <v>130</v>
      </c>
      <c r="D329" t="str">
        <f>_xlfn.LET(_xlpm.Searching,"55",_xlpm.inStr,IFERROR(FIND(_xlpm.Searching,$A331)&gt;=1,FALSE),IF(AND(_xlpm.inStr,LEN(A331)&lt;=6),A332,""))</f>
        <v/>
      </c>
      <c r="E329" t="str">
        <f>_xlfn.LET(_xlpm.Searching,"57",_xlpm.inStr,IFERROR(FIND(_xlpm.Searching,$A331)&gt;=1,FALSE),IF(AND(_xlpm.inStr,LEN(A331)&lt;=6),$A332,""))&amp;E330</f>
        <v/>
      </c>
      <c r="F329" t="str">
        <f>_xlfn.LET(_xlpm.Searching,"59",_xlpm.inStr,IFERROR(FIND(_xlpm.Searching,$A331)&gt;=1,FALSE),IF(AND(_xlpm.inStr,LEN(A331)&lt;=6),$A332,""))&amp;F330&amp;F331</f>
        <v/>
      </c>
      <c r="G329" t="str">
        <f>_xlfn.LET(_xlpm.Searching,"61",_xlpm.inStr,IFERROR(FIND(_xlpm.Searching,$A331)&gt;=1,FALSE),IF(AND(_xlpm.inStr,LEN(A331)&lt;=6),$A332,""))&amp;G330&amp;G331&amp;G332</f>
        <v/>
      </c>
      <c r="H329" t="str">
        <f>_xlfn.LET(_xlpm.Searching,"63",_xlpm.inStr,IFERROR(FIND(_xlpm.Searching,$A331)&gt;=1,FALSE),IF(AND(_xlpm.inStr,LEN(A331)&lt;=6),$A332,""))&amp;H330&amp;H331&amp;H332&amp;H333</f>
        <v/>
      </c>
      <c r="I329" s="4">
        <f>MID(TRIM(RIGHT(A329,10)),1,LEN(TRIM(RIGHT(A329,10)))-3)*0.8</f>
        <v>11.920000000000002</v>
      </c>
      <c r="J329" s="6"/>
    </row>
    <row r="330" spans="1:10" x14ac:dyDescent="0.25">
      <c r="A330" s="6" t="s">
        <v>138</v>
      </c>
      <c r="B330" t="str" cm="1">
        <f t="array" ref="B330">БУКВЫ(MID($A329,3,11))</f>
        <v>775118667</v>
      </c>
      <c r="C330" s="2"/>
      <c r="D330" s="2"/>
      <c r="E330" t="str">
        <f>_xlfn.LET(_xlpm.Searching,"57",_xlpm.inStr,IFERROR(FIND(_xlpm.Searching,$A333)&gt;=1,FALSE),IF(AND(_xlpm.inStr,LEN(A333)&lt;=6),$A334,""))</f>
        <v/>
      </c>
      <c r="F330" t="str">
        <f>_xlfn.LET(_xlpm.Searching,"59",_xlpm.inStr,IFERROR(FIND(_xlpm.Searching,$A333)&gt;=1,FALSE),IF(AND(_xlpm.inStr,LEN(A333)&lt;=6),$A334,""))</f>
        <v/>
      </c>
      <c r="G330" t="str">
        <f>_xlfn.LET(_xlpm.Searching,"61",_xlpm.inStr,IFERROR(FIND(_xlpm.Searching,$A333)&gt;=1,FALSE),IF(AND(_xlpm.inStr,LEN(A333)&lt;=6),$A334,""))</f>
        <v/>
      </c>
      <c r="H330" t="str">
        <f>_xlfn.LET(_xlpm.Searching,"63",_xlpm.inStr,IFERROR(FIND(_xlpm.Searching,$A333)&gt;=1,FALSE),IF(AND(_xlpm.inStr,LEN(A333)&lt;=6),$A334,""))</f>
        <v/>
      </c>
      <c r="J330" s="6"/>
    </row>
    <row r="331" spans="1:10" x14ac:dyDescent="0.25">
      <c r="A331" s="6" t="s">
        <v>0</v>
      </c>
      <c r="B331" t="str" cm="1">
        <f t="array" ref="B331">БУКВЫ(MID($A329,3,11))</f>
        <v>775118667</v>
      </c>
      <c r="C331" s="2"/>
      <c r="D331" s="2"/>
      <c r="E331" s="2"/>
      <c r="F331" t="str">
        <f>_xlfn.LET(_xlpm.Searching,"59",_xlpm.inStr,IFERROR(FIND(_xlpm.Searching,$A335)&gt;=1,FALSE),IF(AND(_xlpm.inStr,LEN(A335)&lt;=6),$A336,""))</f>
        <v/>
      </c>
      <c r="G331" t="str">
        <f>_xlfn.LET(_xlpm.Searching,"61",_xlpm.inStr,IFERROR(FIND(_xlpm.Searching,$A335)&gt;=1,FALSE),IF(AND(_xlpm.inStr,LEN(A335)&lt;=6),$A336,""))</f>
        <v/>
      </c>
      <c r="H331" t="str">
        <f>_xlfn.LET(_xlpm.Searching,"63",_xlpm.inStr,IFERROR(FIND(_xlpm.Searching,$A335)&gt;=1,FALSE),IF(AND(_xlpm.inStr,LEN(A335)&lt;=6),$A336,""))</f>
        <v/>
      </c>
      <c r="J331" s="6"/>
    </row>
    <row r="332" spans="1:10" x14ac:dyDescent="0.25">
      <c r="A332" s="6">
        <v>130</v>
      </c>
      <c r="B332" t="str" cm="1">
        <f t="array" ref="B332">БУКВЫ(MID($A329,3,11))</f>
        <v>775118667</v>
      </c>
      <c r="C332" s="2"/>
      <c r="D332" s="2"/>
      <c r="E332" s="2"/>
      <c r="F332" s="2"/>
      <c r="G332" t="str">
        <f>_xlfn.LET(_xlpm.Searching,"61",_xlpm.inStr,IFERROR(FIND(_xlpm.Searching,$A337)&gt;=1,FALSE),IF(AND(_xlpm.inStr,LEN(A337)&lt;=6),$A338,""))</f>
        <v/>
      </c>
      <c r="H332" t="str">
        <f>_xlfn.LET(_xlpm.Searching,"63",_xlpm.inStr,IFERROR(FIND(_xlpm.Searching,$A337)&gt;=1,FALSE),IF(AND(_xlpm.inStr,LEN(A337)&lt;=6),$A338,""))</f>
        <v/>
      </c>
      <c r="J332" s="6"/>
    </row>
    <row r="333" spans="1:10" x14ac:dyDescent="0.25">
      <c r="A333" s="6" t="s">
        <v>50</v>
      </c>
      <c r="B333" t="str" cm="1">
        <f t="array" ref="B333">БУКВЫ(MID($A329,3,11))</f>
        <v>775118667</v>
      </c>
      <c r="C333" s="2"/>
      <c r="D333" s="2"/>
      <c r="E333" s="2"/>
      <c r="F333" s="2"/>
      <c r="G333" s="2"/>
      <c r="H333" t="str">
        <f>_xlfn.LET(_xlpm.Searching,"63",_xlpm.inStr,IFERROR(FIND(_xlpm.Searching,$A339)&gt;=1,FALSE),IF(AND(_xlpm.inStr,LEN(A339)&lt;=6),$A340,""))</f>
        <v/>
      </c>
      <c r="J333" s="6"/>
    </row>
    <row r="334" spans="1:10" x14ac:dyDescent="0.25">
      <c r="A334" s="6" t="s">
        <v>103</v>
      </c>
      <c r="B334" s="6"/>
      <c r="C334" s="6"/>
      <c r="D334" s="6"/>
      <c r="E334" s="6"/>
      <c r="F334" s="6"/>
      <c r="G334" s="6"/>
      <c r="H334" s="6"/>
      <c r="I334" s="7"/>
      <c r="J334" s="6"/>
    </row>
    <row r="335" spans="1:10" x14ac:dyDescent="0.25">
      <c r="A335" s="6" t="s">
        <v>104</v>
      </c>
      <c r="B335" s="6"/>
      <c r="C335" s="6"/>
      <c r="D335" s="6"/>
      <c r="E335" s="6"/>
      <c r="F335" s="6"/>
      <c r="G335" s="6"/>
      <c r="H335" s="6"/>
      <c r="I335" s="7"/>
      <c r="J335" s="6"/>
    </row>
    <row r="336" spans="1:10" x14ac:dyDescent="0.25">
      <c r="A336" s="6" t="s">
        <v>139</v>
      </c>
      <c r="B336" s="6"/>
      <c r="C336" s="6"/>
      <c r="D336" s="6"/>
      <c r="E336" s="6"/>
      <c r="F336" s="6"/>
      <c r="G336" s="6"/>
      <c r="H336" s="6"/>
      <c r="I336" s="7"/>
      <c r="J336" s="6"/>
    </row>
    <row r="337" spans="1:10" x14ac:dyDescent="0.25">
      <c r="A337" s="6" t="s">
        <v>140</v>
      </c>
      <c r="B337" s="6"/>
      <c r="C337" s="6"/>
      <c r="D337" s="6"/>
      <c r="E337" s="6"/>
      <c r="F337" s="6"/>
      <c r="G337" s="6"/>
      <c r="H337" s="6"/>
      <c r="I337" s="7"/>
      <c r="J337" s="6"/>
    </row>
    <row r="338" spans="1:10" x14ac:dyDescent="0.25">
      <c r="A338" s="6" t="s">
        <v>0</v>
      </c>
      <c r="B338" s="6"/>
      <c r="C338" s="6"/>
      <c r="D338" s="6"/>
      <c r="E338" s="6"/>
      <c r="F338" s="6"/>
      <c r="G338" s="6"/>
      <c r="H338" s="6"/>
      <c r="I338" s="7"/>
      <c r="J338" s="6"/>
    </row>
    <row r="339" spans="1:10" x14ac:dyDescent="0.25">
      <c r="A339" s="6">
        <v>130</v>
      </c>
      <c r="B339" s="6"/>
      <c r="C339" s="6"/>
      <c r="D339" s="6"/>
      <c r="E339" s="6"/>
      <c r="F339" s="6"/>
      <c r="G339" s="6"/>
      <c r="H339" s="6"/>
      <c r="I339" s="7"/>
      <c r="J339" s="6"/>
    </row>
    <row r="340" spans="1:10" x14ac:dyDescent="0.25">
      <c r="A340" s="6" t="s">
        <v>50</v>
      </c>
      <c r="B340" s="8"/>
      <c r="C340" s="8"/>
      <c r="D340" s="8"/>
      <c r="E340" s="8"/>
      <c r="F340" s="8"/>
      <c r="G340" s="8"/>
      <c r="H340" s="8"/>
      <c r="I340" s="9"/>
      <c r="J340" s="6"/>
    </row>
    <row r="341" spans="1:10" x14ac:dyDescent="0.25">
      <c r="A341" s="6" t="s">
        <v>103</v>
      </c>
      <c r="B341" s="6"/>
      <c r="C341" s="6"/>
      <c r="D341" s="6"/>
      <c r="E341" s="6"/>
      <c r="F341" s="6"/>
      <c r="G341" s="6"/>
      <c r="H341" s="6"/>
      <c r="I341" s="7"/>
      <c r="J341" s="6"/>
    </row>
    <row r="342" spans="1:10" x14ac:dyDescent="0.25">
      <c r="A342" s="6" t="s">
        <v>104</v>
      </c>
      <c r="B342" s="6"/>
      <c r="C342" s="6"/>
      <c r="D342" s="6"/>
      <c r="E342" s="6"/>
      <c r="F342" s="6"/>
      <c r="G342" s="6"/>
      <c r="H342" s="6"/>
      <c r="I342" s="7"/>
      <c r="J342" s="6"/>
    </row>
    <row r="343" spans="1:10" x14ac:dyDescent="0.25">
      <c r="A343" s="6" t="s">
        <v>20</v>
      </c>
      <c r="B343" s="6"/>
      <c r="C343" s="6"/>
      <c r="D343" s="6"/>
      <c r="E343" s="6"/>
      <c r="F343" s="6"/>
      <c r="G343" s="6"/>
      <c r="H343" s="6"/>
      <c r="I343" s="7"/>
      <c r="J343" s="6"/>
    </row>
    <row r="344" spans="1:10" x14ac:dyDescent="0.25">
      <c r="A344" s="6" t="s">
        <v>53</v>
      </c>
      <c r="B344" s="6"/>
      <c r="C344" s="6"/>
      <c r="D344" s="6"/>
      <c r="E344" s="6"/>
      <c r="F344" s="6"/>
      <c r="G344" s="6"/>
      <c r="H344" s="6"/>
      <c r="I344" s="7"/>
      <c r="J344" s="6"/>
    </row>
    <row r="345" spans="1:10" x14ac:dyDescent="0.25">
      <c r="A345" s="6" t="s">
        <v>54</v>
      </c>
      <c r="B345" s="6"/>
      <c r="C345" s="6"/>
      <c r="D345" s="6"/>
      <c r="E345" s="6"/>
      <c r="F345" s="6"/>
      <c r="G345" s="6"/>
      <c r="H345" s="6"/>
      <c r="I345" s="7"/>
      <c r="J345" s="6"/>
    </row>
    <row r="346" spans="1:10" x14ac:dyDescent="0.25">
      <c r="A346" s="6" t="s">
        <v>55</v>
      </c>
      <c r="B346" s="6"/>
      <c r="C346" s="6"/>
      <c r="D346" s="6"/>
      <c r="E346" s="6"/>
      <c r="F346" s="6"/>
      <c r="G346" s="6"/>
      <c r="H346" s="6"/>
      <c r="I346" s="7"/>
      <c r="J346" s="6"/>
    </row>
    <row r="347" spans="1:10" x14ac:dyDescent="0.25">
      <c r="A347" s="6" t="s">
        <v>56</v>
      </c>
      <c r="B347" s="8"/>
      <c r="C347" s="8"/>
      <c r="D347" s="8"/>
      <c r="E347" s="8"/>
      <c r="F347" s="8"/>
      <c r="G347" s="8"/>
      <c r="H347" s="8"/>
      <c r="I347" s="9"/>
      <c r="J347" s="6"/>
    </row>
    <row r="348" spans="1:10" x14ac:dyDescent="0.25">
      <c r="A348" s="6" t="s">
        <v>57</v>
      </c>
      <c r="B348" s="6"/>
      <c r="C348" s="6"/>
      <c r="D348" s="6"/>
      <c r="E348" s="6"/>
      <c r="F348" s="6"/>
      <c r="G348" s="6"/>
      <c r="H348" s="6"/>
      <c r="I348" s="7"/>
      <c r="J348" s="6"/>
    </row>
    <row r="349" spans="1:10" x14ac:dyDescent="0.25">
      <c r="A349" s="6" t="s">
        <v>58</v>
      </c>
      <c r="B349" s="6"/>
      <c r="C349" s="6"/>
      <c r="D349" s="6"/>
      <c r="E349" s="6"/>
      <c r="F349" s="6"/>
      <c r="G349" s="6"/>
      <c r="H349" s="6"/>
      <c r="I349" s="7"/>
      <c r="J349" s="6"/>
    </row>
    <row r="350" spans="1:10" x14ac:dyDescent="0.25">
      <c r="A350" s="6" t="s">
        <v>59</v>
      </c>
      <c r="B350" s="6"/>
      <c r="C350" s="6"/>
      <c r="D350" s="6"/>
      <c r="E350" s="6"/>
      <c r="F350" s="6"/>
      <c r="G350" s="6"/>
      <c r="H350" s="6"/>
      <c r="I350" s="7"/>
      <c r="J350" s="6"/>
    </row>
    <row r="351" spans="1:10" x14ac:dyDescent="0.25">
      <c r="A351" s="6" t="s">
        <v>60</v>
      </c>
      <c r="B351" s="6"/>
      <c r="C351" s="6"/>
      <c r="D351" s="6"/>
      <c r="E351" s="6"/>
      <c r="F351" s="6"/>
      <c r="G351" s="6"/>
      <c r="H351" s="6"/>
      <c r="I351" s="7"/>
      <c r="J351" s="6"/>
    </row>
    <row r="352" spans="1:10" x14ac:dyDescent="0.25">
      <c r="A352" s="6" t="s">
        <v>61</v>
      </c>
      <c r="B352" s="6"/>
      <c r="C352" s="6"/>
      <c r="D352" s="6"/>
      <c r="E352" s="6"/>
      <c r="F352" s="6"/>
      <c r="G352" s="6"/>
      <c r="H352" s="6"/>
      <c r="I352" s="7"/>
      <c r="J352" s="6"/>
    </row>
    <row r="353" spans="1:10" x14ac:dyDescent="0.25">
      <c r="A353" s="6" t="s">
        <v>62</v>
      </c>
      <c r="B353" s="6"/>
      <c r="C353" s="6"/>
      <c r="D353" s="6"/>
      <c r="E353" s="6"/>
      <c r="F353" s="6"/>
      <c r="G353" s="6"/>
      <c r="H353" s="6"/>
      <c r="I353" s="7"/>
      <c r="J353" s="6"/>
    </row>
    <row r="354" spans="1:10" x14ac:dyDescent="0.25">
      <c r="A354" s="6" t="s">
        <v>63</v>
      </c>
      <c r="B354" s="8"/>
      <c r="C354" s="8"/>
      <c r="D354" s="8"/>
      <c r="E354" s="8"/>
      <c r="F354" s="8"/>
      <c r="G354" s="8"/>
      <c r="H354" s="8"/>
      <c r="I354" s="9"/>
      <c r="J354" s="6"/>
    </row>
    <row r="355" spans="1:10" x14ac:dyDescent="0.25">
      <c r="A355" s="6" t="s">
        <v>64</v>
      </c>
      <c r="B355" s="6"/>
      <c r="C355" s="6"/>
      <c r="D355" s="6"/>
      <c r="E355" s="6"/>
      <c r="F355" s="6"/>
      <c r="G355" s="6"/>
      <c r="H355" s="6"/>
      <c r="I355" s="7"/>
      <c r="J355" s="6"/>
    </row>
    <row r="356" spans="1:10" x14ac:dyDescent="0.25">
      <c r="A356" s="6" t="s">
        <v>65</v>
      </c>
      <c r="B356" s="6"/>
      <c r="C356" s="6"/>
      <c r="D356" s="6"/>
      <c r="E356" s="6"/>
      <c r="F356" s="6"/>
      <c r="G356" s="6"/>
      <c r="H356" s="6"/>
      <c r="I356" s="7"/>
      <c r="J356" s="6"/>
    </row>
    <row r="357" spans="1:10" x14ac:dyDescent="0.25">
      <c r="A357" s="6" t="s">
        <v>66</v>
      </c>
      <c r="B357" s="6"/>
      <c r="C357" s="6"/>
      <c r="D357" s="6"/>
      <c r="E357" s="6"/>
      <c r="F357" s="6"/>
      <c r="G357" s="6"/>
      <c r="H357" s="6"/>
      <c r="I357" s="7"/>
      <c r="J357" s="6"/>
    </row>
    <row r="358" spans="1:10" x14ac:dyDescent="0.25">
      <c r="A358" s="6" t="s">
        <v>8</v>
      </c>
      <c r="B358" s="6"/>
      <c r="C358" s="6"/>
      <c r="D358" s="6"/>
      <c r="E358" s="6"/>
      <c r="F358" s="6"/>
      <c r="G358" s="6"/>
      <c r="H358" s="6"/>
      <c r="I358" s="7"/>
      <c r="J358" s="6"/>
    </row>
    <row r="359" spans="1:10" x14ac:dyDescent="0.25">
      <c r="A359" s="6" t="s">
        <v>67</v>
      </c>
      <c r="B359" s="6"/>
      <c r="C359" s="6"/>
      <c r="D359" s="6"/>
      <c r="E359" s="6"/>
      <c r="F359" s="6"/>
      <c r="G359" s="6"/>
      <c r="H359" s="6"/>
      <c r="I359" s="7"/>
      <c r="J359" s="6"/>
    </row>
    <row r="360" spans="1:10" x14ac:dyDescent="0.25">
      <c r="A360" s="6" t="s">
        <v>141</v>
      </c>
      <c r="B360" s="6"/>
      <c r="C360" s="6"/>
      <c r="D360" s="6"/>
      <c r="E360" s="6"/>
      <c r="F360" s="6"/>
      <c r="G360" s="6"/>
      <c r="H360" s="6"/>
      <c r="I360" s="7"/>
      <c r="J360" s="6"/>
    </row>
    <row r="361" spans="1:10" x14ac:dyDescent="0.25">
      <c r="A361" s="6" t="s">
        <v>23</v>
      </c>
      <c r="B361" s="6"/>
      <c r="C361" s="6"/>
      <c r="D361" s="6"/>
      <c r="E361" s="6"/>
      <c r="F361" s="6"/>
      <c r="G361" s="6"/>
      <c r="H361" s="6"/>
      <c r="I361" s="7"/>
      <c r="J361" s="6"/>
    </row>
    <row r="362" spans="1:10" x14ac:dyDescent="0.25">
      <c r="A362" s="6" t="s">
        <v>24</v>
      </c>
      <c r="B362" s="6"/>
      <c r="C362" s="6"/>
      <c r="D362" s="6"/>
      <c r="E362" s="6"/>
      <c r="F362" s="6"/>
      <c r="G362" s="6"/>
      <c r="H362" s="6"/>
      <c r="I362" s="7"/>
      <c r="J362" s="6"/>
    </row>
    <row r="363" spans="1:10" x14ac:dyDescent="0.25">
      <c r="A363" s="6" t="s">
        <v>25</v>
      </c>
      <c r="B363" s="6"/>
      <c r="C363" s="6"/>
      <c r="D363" s="6"/>
      <c r="E363" s="6"/>
      <c r="F363" s="6"/>
      <c r="G363" s="6"/>
      <c r="H363" s="6"/>
      <c r="I363" s="7"/>
      <c r="J363" s="6"/>
    </row>
    <row r="364" spans="1:10" x14ac:dyDescent="0.25">
      <c r="A364" s="6" t="s">
        <v>26</v>
      </c>
      <c r="B364" s="6"/>
      <c r="C364" s="6"/>
      <c r="D364" s="6"/>
      <c r="E364" s="6"/>
      <c r="F364" s="6"/>
      <c r="G364" s="6"/>
      <c r="H364" s="6"/>
      <c r="I364" s="7"/>
      <c r="J364" s="6"/>
    </row>
    <row r="365" spans="1:10" x14ac:dyDescent="0.25">
      <c r="A365" s="6" t="s">
        <v>27</v>
      </c>
      <c r="B365" s="6"/>
      <c r="C365" s="6"/>
      <c r="D365" s="6"/>
      <c r="E365" s="6"/>
      <c r="F365" s="6"/>
      <c r="G365" s="6"/>
      <c r="H365" s="6"/>
      <c r="I365" s="7"/>
      <c r="J365" s="6"/>
    </row>
    <row r="366" spans="1:10" x14ac:dyDescent="0.25">
      <c r="A366" s="6" t="s">
        <v>28</v>
      </c>
      <c r="B366" s="6"/>
      <c r="C366" s="6"/>
      <c r="D366" s="6"/>
      <c r="E366" s="6"/>
      <c r="F366" s="6"/>
      <c r="G366" s="6"/>
      <c r="H366" s="6"/>
      <c r="I366" s="7"/>
      <c r="J366" s="6"/>
    </row>
    <row r="367" spans="1:10" x14ac:dyDescent="0.25">
      <c r="A367" s="6" t="s">
        <v>29</v>
      </c>
      <c r="B367" s="1" t="s">
        <v>1</v>
      </c>
      <c r="C367" s="1" t="s">
        <v>0</v>
      </c>
      <c r="D367" s="1">
        <v>55</v>
      </c>
      <c r="E367" s="1">
        <v>57</v>
      </c>
      <c r="F367" s="1">
        <v>59</v>
      </c>
      <c r="G367" s="1">
        <v>61</v>
      </c>
      <c r="H367" s="1">
        <v>63</v>
      </c>
      <c r="I367" s="3" t="s">
        <v>2</v>
      </c>
      <c r="J367" s="6"/>
    </row>
    <row r="368" spans="1:10" x14ac:dyDescent="0.25">
      <c r="A368" s="6" t="s">
        <v>142</v>
      </c>
      <c r="B368" t="str" cm="1">
        <f t="array" ref="B368">БУКВЫ(MID($A368,3,11))</f>
        <v>775610568</v>
      </c>
      <c r="C368">
        <f>_xlfn.LET(_xlpm.Searching,"OSFA",_xlpm.inStr,IFERROR(FIND(_xlpm.Searching,$A370)&gt;=1,FALSE),IF(AND(_xlpm.inStr,LEN(A370)&lt;=6),A371,""))</f>
        <v>25</v>
      </c>
      <c r="D368" t="str">
        <f>_xlfn.LET(_xlpm.Searching,"55",_xlpm.inStr,IFERROR(FIND(_xlpm.Searching,$A370)&gt;=1,FALSE),IF(AND(_xlpm.inStr,LEN(A370)&lt;=6),A371,""))</f>
        <v/>
      </c>
      <c r="E368" t="str">
        <f>_xlfn.LET(_xlpm.Searching,"57",_xlpm.inStr,IFERROR(FIND(_xlpm.Searching,$A370)&gt;=1,FALSE),IF(AND(_xlpm.inStr,LEN(A370)&lt;=6),$A371,""))&amp;E369</f>
        <v/>
      </c>
      <c r="F368" t="str">
        <f>_xlfn.LET(_xlpm.Searching,"59",_xlpm.inStr,IFERROR(FIND(_xlpm.Searching,$A370)&gt;=1,FALSE),IF(AND(_xlpm.inStr,LEN(A370)&lt;=6),$A371,""))&amp;F369&amp;F370</f>
        <v/>
      </c>
      <c r="G368" t="str">
        <f>_xlfn.LET(_xlpm.Searching,"61",_xlpm.inStr,IFERROR(FIND(_xlpm.Searching,$A370)&gt;=1,FALSE),IF(AND(_xlpm.inStr,LEN(A370)&lt;=6),$A371,""))&amp;G369&amp;G370&amp;G371</f>
        <v/>
      </c>
      <c r="H368" t="str">
        <f>_xlfn.LET(_xlpm.Searching,"63",_xlpm.inStr,IFERROR(FIND(_xlpm.Searching,$A370)&gt;=1,FALSE),IF(AND(_xlpm.inStr,LEN(A370)&lt;=6),$A371,""))&amp;H369&amp;H370&amp;H371&amp;H372</f>
        <v/>
      </c>
      <c r="I368" s="4">
        <f>MID(TRIM(RIGHT(A368,10)),1,LEN(TRIM(RIGHT(A368,10)))-3)*0.8</f>
        <v>11.920000000000002</v>
      </c>
      <c r="J368" s="6"/>
    </row>
    <row r="369" spans="1:10" x14ac:dyDescent="0.25">
      <c r="A369" s="6" t="s">
        <v>143</v>
      </c>
      <c r="B369" t="str" cm="1">
        <f t="array" ref="B369">БУКВЫ(MID($A368,3,11))</f>
        <v>775610568</v>
      </c>
      <c r="C369" s="2"/>
      <c r="D369" s="2"/>
      <c r="E369" t="str">
        <f>_xlfn.LET(_xlpm.Searching,"57",_xlpm.inStr,IFERROR(FIND(_xlpm.Searching,$A372)&gt;=1,FALSE),IF(AND(_xlpm.inStr,LEN(A372)&lt;=6),$A373,""))</f>
        <v/>
      </c>
      <c r="F369" t="str">
        <f>_xlfn.LET(_xlpm.Searching,"59",_xlpm.inStr,IFERROR(FIND(_xlpm.Searching,$A372)&gt;=1,FALSE),IF(AND(_xlpm.inStr,LEN(A372)&lt;=6),$A373,""))</f>
        <v/>
      </c>
      <c r="G369" t="str">
        <f>_xlfn.LET(_xlpm.Searching,"61",_xlpm.inStr,IFERROR(FIND(_xlpm.Searching,$A372)&gt;=1,FALSE),IF(AND(_xlpm.inStr,LEN(A372)&lt;=6),$A373,""))</f>
        <v/>
      </c>
      <c r="H369" t="str">
        <f>_xlfn.LET(_xlpm.Searching,"63",_xlpm.inStr,IFERROR(FIND(_xlpm.Searching,$A372)&gt;=1,FALSE),IF(AND(_xlpm.inStr,LEN(A372)&lt;=6),$A373,""))</f>
        <v/>
      </c>
      <c r="J369" s="6"/>
    </row>
    <row r="370" spans="1:10" x14ac:dyDescent="0.25">
      <c r="A370" s="6" t="s">
        <v>0</v>
      </c>
      <c r="B370" t="str" cm="1">
        <f t="array" ref="B370">БУКВЫ(MID($A368,3,11))</f>
        <v>775610568</v>
      </c>
      <c r="C370" s="2"/>
      <c r="D370" s="2"/>
      <c r="E370" s="2"/>
      <c r="F370" t="str">
        <f>_xlfn.LET(_xlpm.Searching,"59",_xlpm.inStr,IFERROR(FIND(_xlpm.Searching,$A374)&gt;=1,FALSE),IF(AND(_xlpm.inStr,LEN(A374)&lt;=6),$A375,""))</f>
        <v/>
      </c>
      <c r="G370" t="str">
        <f>_xlfn.LET(_xlpm.Searching,"61",_xlpm.inStr,IFERROR(FIND(_xlpm.Searching,$A374)&gt;=1,FALSE),IF(AND(_xlpm.inStr,LEN(A374)&lt;=6),$A375,""))</f>
        <v/>
      </c>
      <c r="H370" t="str">
        <f>_xlfn.LET(_xlpm.Searching,"63",_xlpm.inStr,IFERROR(FIND(_xlpm.Searching,$A374)&gt;=1,FALSE),IF(AND(_xlpm.inStr,LEN(A374)&lt;=6),$A375,""))</f>
        <v/>
      </c>
      <c r="J370" s="6"/>
    </row>
    <row r="371" spans="1:10" x14ac:dyDescent="0.25">
      <c r="A371" s="6">
        <v>25</v>
      </c>
      <c r="B371" t="str" cm="1">
        <f t="array" ref="B371">БУКВЫ(MID($A368,3,11))</f>
        <v>775610568</v>
      </c>
      <c r="C371" s="2"/>
      <c r="D371" s="2"/>
      <c r="E371" s="2"/>
      <c r="F371" s="2"/>
      <c r="G371" t="str">
        <f>_xlfn.LET(_xlpm.Searching,"61",_xlpm.inStr,IFERROR(FIND(_xlpm.Searching,$A376)&gt;=1,FALSE),IF(AND(_xlpm.inStr,LEN(A376)&lt;=6),$A377,""))</f>
        <v/>
      </c>
      <c r="H371" t="str">
        <f>_xlfn.LET(_xlpm.Searching,"63",_xlpm.inStr,IFERROR(FIND(_xlpm.Searching,$A376)&gt;=1,FALSE),IF(AND(_xlpm.inStr,LEN(A376)&lt;=6),$A377,""))</f>
        <v/>
      </c>
      <c r="J371" s="6"/>
    </row>
    <row r="372" spans="1:10" x14ac:dyDescent="0.25">
      <c r="A372" s="6" t="s">
        <v>50</v>
      </c>
      <c r="B372" t="str" cm="1">
        <f t="array" ref="B372">БУКВЫ(MID($A368,3,11))</f>
        <v>775610568</v>
      </c>
      <c r="C372" s="2"/>
      <c r="D372" s="2"/>
      <c r="E372" s="2"/>
      <c r="F372" s="2"/>
      <c r="G372" s="2"/>
      <c r="H372" t="str">
        <f>_xlfn.LET(_xlpm.Searching,"63",_xlpm.inStr,IFERROR(FIND(_xlpm.Searching,$A378)&gt;=1,FALSE),IF(AND(_xlpm.inStr,LEN(A378)&lt;=6),$A379,""))</f>
        <v/>
      </c>
      <c r="J372" s="6"/>
    </row>
    <row r="373" spans="1:10" x14ac:dyDescent="0.25">
      <c r="A373" s="6" t="s">
        <v>144</v>
      </c>
      <c r="B373" s="6"/>
      <c r="C373" s="6"/>
      <c r="D373" s="6"/>
      <c r="E373" s="6"/>
      <c r="F373" s="6"/>
      <c r="G373" s="6"/>
      <c r="H373" s="6"/>
      <c r="I373" s="7"/>
      <c r="J373" s="6"/>
    </row>
    <row r="374" spans="1:10" x14ac:dyDescent="0.25">
      <c r="A374" s="6" t="s">
        <v>145</v>
      </c>
      <c r="B374" s="1" t="s">
        <v>1</v>
      </c>
      <c r="C374" s="1" t="s">
        <v>0</v>
      </c>
      <c r="D374" s="1">
        <v>55</v>
      </c>
      <c r="E374" s="1">
        <v>57</v>
      </c>
      <c r="F374" s="1">
        <v>59</v>
      </c>
      <c r="G374" s="1">
        <v>61</v>
      </c>
      <c r="H374" s="1">
        <v>63</v>
      </c>
      <c r="I374" s="3" t="s">
        <v>2</v>
      </c>
      <c r="J374" s="6"/>
    </row>
    <row r="375" spans="1:10" x14ac:dyDescent="0.25">
      <c r="A375" s="6" t="s">
        <v>146</v>
      </c>
      <c r="B375" t="str" cm="1">
        <f t="array" ref="B375">БУКВЫ(MID($A375,3,11))</f>
        <v>77211103</v>
      </c>
      <c r="C375">
        <f>_xlfn.LET(_xlpm.Searching,"OSFA",_xlpm.inStr,IFERROR(FIND(_xlpm.Searching,$A377)&gt;=1,FALSE),IF(AND(_xlpm.inStr,LEN(A377)&lt;=6),A378,""))</f>
        <v>10</v>
      </c>
      <c r="D375" t="str">
        <f>_xlfn.LET(_xlpm.Searching,"55",_xlpm.inStr,IFERROR(FIND(_xlpm.Searching,$A377)&gt;=1,FALSE),IF(AND(_xlpm.inStr,LEN(A377)&lt;=6),A378,""))</f>
        <v/>
      </c>
      <c r="E375" t="str">
        <f>_xlfn.LET(_xlpm.Searching,"57",_xlpm.inStr,IFERROR(FIND(_xlpm.Searching,$A377)&gt;=1,FALSE),IF(AND(_xlpm.inStr,LEN(A377)&lt;=6),$A378,""))&amp;E376</f>
        <v/>
      </c>
      <c r="F375" t="str">
        <f>_xlfn.LET(_xlpm.Searching,"59",_xlpm.inStr,IFERROR(FIND(_xlpm.Searching,$A377)&gt;=1,FALSE),IF(AND(_xlpm.inStr,LEN(A377)&lt;=6),$A378,""))&amp;F376&amp;F377</f>
        <v/>
      </c>
      <c r="G375" t="str">
        <f>_xlfn.LET(_xlpm.Searching,"61",_xlpm.inStr,IFERROR(FIND(_xlpm.Searching,$A377)&gt;=1,FALSE),IF(AND(_xlpm.inStr,LEN(A377)&lt;=6),$A378,""))&amp;G376&amp;G377&amp;G378</f>
        <v/>
      </c>
      <c r="H375" t="str">
        <f>_xlfn.LET(_xlpm.Searching,"63",_xlpm.inStr,IFERROR(FIND(_xlpm.Searching,$A377)&gt;=1,FALSE),IF(AND(_xlpm.inStr,LEN(A377)&lt;=6),$A378,""))&amp;H376&amp;H377&amp;H378&amp;H379</f>
        <v/>
      </c>
      <c r="I375" s="4">
        <f>MID(TRIM(RIGHT(A375,10)),1,LEN(TRIM(RIGHT(A375,10)))-3)*0.8</f>
        <v>11.920000000000002</v>
      </c>
      <c r="J375" s="6"/>
    </row>
    <row r="376" spans="1:10" x14ac:dyDescent="0.25">
      <c r="A376" s="6" t="s">
        <v>147</v>
      </c>
      <c r="B376" t="str" cm="1">
        <f t="array" ref="B376">БУКВЫ(MID($A375,3,11))</f>
        <v>77211103</v>
      </c>
      <c r="C376" s="2"/>
      <c r="D376" s="2"/>
      <c r="E376" t="str">
        <f>_xlfn.LET(_xlpm.Searching,"57",_xlpm.inStr,IFERROR(FIND(_xlpm.Searching,$A379)&gt;=1,FALSE),IF(AND(_xlpm.inStr,LEN(A379)&lt;=6),$A380,""))</f>
        <v/>
      </c>
      <c r="F376" t="str">
        <f>_xlfn.LET(_xlpm.Searching,"59",_xlpm.inStr,IFERROR(FIND(_xlpm.Searching,$A379)&gt;=1,FALSE),IF(AND(_xlpm.inStr,LEN(A379)&lt;=6),$A380,""))</f>
        <v/>
      </c>
      <c r="G376" t="str">
        <f>_xlfn.LET(_xlpm.Searching,"61",_xlpm.inStr,IFERROR(FIND(_xlpm.Searching,$A379)&gt;=1,FALSE),IF(AND(_xlpm.inStr,LEN(A379)&lt;=6),$A380,""))</f>
        <v/>
      </c>
      <c r="H376" t="str">
        <f>_xlfn.LET(_xlpm.Searching,"63",_xlpm.inStr,IFERROR(FIND(_xlpm.Searching,$A379)&gt;=1,FALSE),IF(AND(_xlpm.inStr,LEN(A379)&lt;=6),$A380,""))</f>
        <v/>
      </c>
      <c r="J376" s="6"/>
    </row>
    <row r="377" spans="1:10" x14ac:dyDescent="0.25">
      <c r="A377" s="6" t="s">
        <v>0</v>
      </c>
      <c r="B377" t="str" cm="1">
        <f t="array" ref="B377">БУКВЫ(MID($A375,3,11))</f>
        <v>77211103</v>
      </c>
      <c r="C377" s="2"/>
      <c r="D377" s="2"/>
      <c r="E377" s="2"/>
      <c r="F377" t="str">
        <f>_xlfn.LET(_xlpm.Searching,"59",_xlpm.inStr,IFERROR(FIND(_xlpm.Searching,$A381)&gt;=1,FALSE),IF(AND(_xlpm.inStr,LEN(A381)&lt;=6),$A382,""))</f>
        <v/>
      </c>
      <c r="G377" t="str">
        <f>_xlfn.LET(_xlpm.Searching,"61",_xlpm.inStr,IFERROR(FIND(_xlpm.Searching,$A381)&gt;=1,FALSE),IF(AND(_xlpm.inStr,LEN(A381)&lt;=6),$A382,""))</f>
        <v/>
      </c>
      <c r="H377" t="str">
        <f>_xlfn.LET(_xlpm.Searching,"63",_xlpm.inStr,IFERROR(FIND(_xlpm.Searching,$A381)&gt;=1,FALSE),IF(AND(_xlpm.inStr,LEN(A381)&lt;=6),$A382,""))</f>
        <v/>
      </c>
      <c r="J377" s="6"/>
    </row>
    <row r="378" spans="1:10" x14ac:dyDescent="0.25">
      <c r="A378" s="6">
        <v>10</v>
      </c>
      <c r="B378" t="str" cm="1">
        <f t="array" ref="B378">БУКВЫ(MID($A375,3,11))</f>
        <v>77211103</v>
      </c>
      <c r="C378" s="2"/>
      <c r="D378" s="2"/>
      <c r="E378" s="2"/>
      <c r="F378" s="2"/>
      <c r="G378" t="str">
        <f>_xlfn.LET(_xlpm.Searching,"61",_xlpm.inStr,IFERROR(FIND(_xlpm.Searching,$A383)&gt;=1,FALSE),IF(AND(_xlpm.inStr,LEN(A383)&lt;=6),$A384,""))</f>
        <v/>
      </c>
      <c r="H378" t="str">
        <f>_xlfn.LET(_xlpm.Searching,"63",_xlpm.inStr,IFERROR(FIND(_xlpm.Searching,$A383)&gt;=1,FALSE),IF(AND(_xlpm.inStr,LEN(A383)&lt;=6),$A384,""))</f>
        <v/>
      </c>
      <c r="J378" s="6"/>
    </row>
    <row r="379" spans="1:10" x14ac:dyDescent="0.25">
      <c r="A379" s="6" t="s">
        <v>50</v>
      </c>
      <c r="B379" t="str" cm="1">
        <f t="array" ref="B379">БУКВЫ(MID($A375,3,11))</f>
        <v>77211103</v>
      </c>
      <c r="C379" s="2"/>
      <c r="D379" s="2"/>
      <c r="E379" s="2"/>
      <c r="F379" s="2"/>
      <c r="G379" s="2"/>
      <c r="H379" t="str">
        <f>_xlfn.LET(_xlpm.Searching,"63",_xlpm.inStr,IFERROR(FIND(_xlpm.Searching,$A385)&gt;=1,FALSE),IF(AND(_xlpm.inStr,LEN(A385)&lt;=6),$A386,""))</f>
        <v/>
      </c>
      <c r="J379" s="6"/>
    </row>
    <row r="380" spans="1:10" x14ac:dyDescent="0.25">
      <c r="A380" s="6" t="s">
        <v>148</v>
      </c>
      <c r="B380" s="6"/>
      <c r="C380" s="6"/>
      <c r="D380" s="6"/>
      <c r="E380" s="6"/>
      <c r="F380" s="6"/>
      <c r="G380" s="6"/>
      <c r="H380" s="6"/>
      <c r="I380" s="7"/>
      <c r="J380" s="6"/>
    </row>
    <row r="381" spans="1:10" x14ac:dyDescent="0.25">
      <c r="A381" s="6" t="s">
        <v>149</v>
      </c>
      <c r="B381" s="1" t="s">
        <v>1</v>
      </c>
      <c r="C381" s="1" t="s">
        <v>0</v>
      </c>
      <c r="D381" s="1">
        <v>55</v>
      </c>
      <c r="E381" s="1">
        <v>57</v>
      </c>
      <c r="F381" s="1">
        <v>59</v>
      </c>
      <c r="G381" s="1">
        <v>61</v>
      </c>
      <c r="H381" s="1">
        <v>63</v>
      </c>
      <c r="I381" s="3" t="s">
        <v>2</v>
      </c>
      <c r="J381" s="6"/>
    </row>
    <row r="382" spans="1:10" x14ac:dyDescent="0.25">
      <c r="A382" s="6" t="s">
        <v>150</v>
      </c>
      <c r="B382" t="str" cm="1">
        <f t="array" ref="B382">БУКВЫ(MID($A382,3,11))</f>
        <v>66111052</v>
      </c>
      <c r="C382" t="str">
        <f>_xlfn.LET(_xlpm.Searching,"OSFA",_xlpm.inStr,IFERROR(FIND(_xlpm.Searching,$A384)&gt;=1,FALSE),IF(AND(_xlpm.inStr,LEN(A384)&lt;=6),A385,""))</f>
        <v/>
      </c>
      <c r="D382" t="str">
        <f>_xlfn.LET(_xlpm.Searching,"55",_xlpm.inStr,IFERROR(FIND(_xlpm.Searching,$A384)&gt;=1,FALSE),IF(AND(_xlpm.inStr,LEN(A384)&lt;=6),A385,""))</f>
        <v/>
      </c>
      <c r="E382" t="str">
        <f>_xlfn.LET(_xlpm.Searching,"57",_xlpm.inStr,IFERROR(FIND(_xlpm.Searching,$A384)&gt;=1,FALSE),IF(AND(_xlpm.inStr,LEN(A384)&lt;=6),$A385,""))&amp;E383</f>
        <v/>
      </c>
      <c r="F382" t="str">
        <f>_xlfn.LET(_xlpm.Searching,"59",_xlpm.inStr,IFERROR(FIND(_xlpm.Searching,$A384)&gt;=1,FALSE),IF(AND(_xlpm.inStr,LEN(A384)&lt;=6),$A385,""))&amp;F383&amp;F384</f>
        <v/>
      </c>
      <c r="G382" t="str">
        <f>_xlfn.LET(_xlpm.Searching,"61",_xlpm.inStr,IFERROR(FIND(_xlpm.Searching,$A384)&gt;=1,FALSE),IF(AND(_xlpm.inStr,LEN(A384)&lt;=6),$A385,""))&amp;G383&amp;G384&amp;G385</f>
        <v>1</v>
      </c>
      <c r="H382" t="str">
        <f>_xlfn.LET(_xlpm.Searching,"63",_xlpm.inStr,IFERROR(FIND(_xlpm.Searching,$A384)&gt;=1,FALSE),IF(AND(_xlpm.inStr,LEN(A384)&lt;=6),$A385,""))&amp;H383&amp;H384&amp;H385&amp;H386</f>
        <v/>
      </c>
      <c r="I382" s="4">
        <f>MID(TRIM(RIGHT(A382,10)),1,LEN(TRIM(RIGHT(A382,10)))-3)*0.8</f>
        <v>10.32</v>
      </c>
      <c r="J382" s="6"/>
    </row>
    <row r="383" spans="1:10" x14ac:dyDescent="0.25">
      <c r="A383" s="6" t="s">
        <v>151</v>
      </c>
      <c r="B383" t="str" cm="1">
        <f t="array" ref="B383">БУКВЫ(MID($A382,3,11))</f>
        <v>66111052</v>
      </c>
      <c r="C383" s="2"/>
      <c r="D383" s="2"/>
      <c r="E383" t="str">
        <f>_xlfn.LET(_xlpm.Searching,"57",_xlpm.inStr,IFERROR(FIND(_xlpm.Searching,$A386)&gt;=1,FALSE),IF(AND(_xlpm.inStr,LEN(A386)&lt;=6),$A387,""))</f>
        <v/>
      </c>
      <c r="F383" t="str">
        <f>_xlfn.LET(_xlpm.Searching,"59",_xlpm.inStr,IFERROR(FIND(_xlpm.Searching,$A386)&gt;=1,FALSE),IF(AND(_xlpm.inStr,LEN(A386)&lt;=6),$A387,""))</f>
        <v/>
      </c>
      <c r="G383" t="str">
        <f>_xlfn.LET(_xlpm.Searching,"61",_xlpm.inStr,IFERROR(FIND(_xlpm.Searching,$A386)&gt;=1,FALSE),IF(AND(_xlpm.inStr,LEN(A386)&lt;=6),$A387,""))</f>
        <v/>
      </c>
      <c r="H383" t="str">
        <f>_xlfn.LET(_xlpm.Searching,"63",_xlpm.inStr,IFERROR(FIND(_xlpm.Searching,$A386)&gt;=1,FALSE),IF(AND(_xlpm.inStr,LEN(A386)&lt;=6),$A387,""))</f>
        <v/>
      </c>
      <c r="J383" s="6"/>
    </row>
    <row r="384" spans="1:10" x14ac:dyDescent="0.25">
      <c r="A384" s="6" t="s">
        <v>36</v>
      </c>
      <c r="B384" t="str" cm="1">
        <f t="array" ref="B384">БУКВЫ(MID($A382,3,11))</f>
        <v>66111052</v>
      </c>
      <c r="C384" s="2"/>
      <c r="D384" s="2"/>
      <c r="E384" s="2"/>
      <c r="F384" t="str">
        <f>_xlfn.LET(_xlpm.Searching,"59",_xlpm.inStr,IFERROR(FIND(_xlpm.Searching,$A388)&gt;=1,FALSE),IF(AND(_xlpm.inStr,LEN(A388)&lt;=6),$A389,""))</f>
        <v/>
      </c>
      <c r="G384" t="str">
        <f>_xlfn.LET(_xlpm.Searching,"61",_xlpm.inStr,IFERROR(FIND(_xlpm.Searching,$A388)&gt;=1,FALSE),IF(AND(_xlpm.inStr,LEN(A388)&lt;=6),$A389,""))</f>
        <v/>
      </c>
      <c r="H384" t="str">
        <f>_xlfn.LET(_xlpm.Searching,"63",_xlpm.inStr,IFERROR(FIND(_xlpm.Searching,$A388)&gt;=1,FALSE),IF(AND(_xlpm.inStr,LEN(A388)&lt;=6),$A389,""))</f>
        <v/>
      </c>
      <c r="J384" s="6"/>
    </row>
    <row r="385" spans="1:10" x14ac:dyDescent="0.25">
      <c r="A385" s="6">
        <v>1</v>
      </c>
      <c r="B385" t="str" cm="1">
        <f t="array" ref="B385">БУКВЫ(MID($A382,3,11))</f>
        <v>66111052</v>
      </c>
      <c r="C385" s="2"/>
      <c r="D385" s="2"/>
      <c r="E385" s="2"/>
      <c r="F385" s="2"/>
      <c r="G385" t="str">
        <f>_xlfn.LET(_xlpm.Searching,"61",_xlpm.inStr,IFERROR(FIND(_xlpm.Searching,$A390)&gt;=1,FALSE),IF(AND(_xlpm.inStr,LEN(A390)&lt;=6),$A391,""))</f>
        <v/>
      </c>
      <c r="H385" t="str">
        <f>_xlfn.LET(_xlpm.Searching,"63",_xlpm.inStr,IFERROR(FIND(_xlpm.Searching,$A390)&gt;=1,FALSE),IF(AND(_xlpm.inStr,LEN(A390)&lt;=6),$A391,""))</f>
        <v/>
      </c>
      <c r="J385" s="6"/>
    </row>
    <row r="386" spans="1:10" x14ac:dyDescent="0.25">
      <c r="A386" s="6" t="s">
        <v>152</v>
      </c>
      <c r="B386" t="str" cm="1">
        <f t="array" ref="B386">БУКВЫ(MID($A382,3,11))</f>
        <v>66111052</v>
      </c>
      <c r="C386" s="2"/>
      <c r="D386" s="2"/>
      <c r="E386" s="2"/>
      <c r="F386" s="2"/>
      <c r="G386" s="2"/>
      <c r="H386" t="str">
        <f>_xlfn.LET(_xlpm.Searching,"63",_xlpm.inStr,IFERROR(FIND(_xlpm.Searching,$A392)&gt;=1,FALSE),IF(AND(_xlpm.inStr,LEN(A392)&lt;=6),$A393,""))</f>
        <v/>
      </c>
      <c r="J386" s="6"/>
    </row>
    <row r="387" spans="1:10" x14ac:dyDescent="0.25">
      <c r="A387" s="6" t="s">
        <v>153</v>
      </c>
      <c r="B387" s="8"/>
      <c r="C387" s="8"/>
      <c r="D387" s="8"/>
      <c r="E387" s="8"/>
      <c r="F387" s="8"/>
      <c r="G387" s="8"/>
      <c r="H387" s="8"/>
      <c r="I387" s="9"/>
      <c r="J387" s="6"/>
    </row>
    <row r="388" spans="1:10" x14ac:dyDescent="0.25">
      <c r="A388" s="6" t="s">
        <v>154</v>
      </c>
      <c r="B388" s="1" t="s">
        <v>1</v>
      </c>
      <c r="C388" s="1" t="s">
        <v>0</v>
      </c>
      <c r="D388" s="1">
        <v>55</v>
      </c>
      <c r="E388" s="1">
        <v>57</v>
      </c>
      <c r="F388" s="1">
        <v>59</v>
      </c>
      <c r="G388" s="1">
        <v>61</v>
      </c>
      <c r="H388" s="1">
        <v>63</v>
      </c>
      <c r="I388" s="3" t="s">
        <v>2</v>
      </c>
      <c r="J388" s="6"/>
    </row>
    <row r="389" spans="1:10" x14ac:dyDescent="0.25">
      <c r="A389" s="6" t="s">
        <v>155</v>
      </c>
      <c r="B389" t="str" cm="1">
        <f t="array" ref="B389">БУКВЫ(MID($A389,3,11))</f>
        <v>661110523</v>
      </c>
      <c r="C389" t="str">
        <f>_xlfn.LET(_xlpm.Searching,"OSFA",_xlpm.inStr,IFERROR(FIND(_xlpm.Searching,$A391)&gt;=1,FALSE),IF(AND(_xlpm.inStr,LEN(A391)&lt;=6),A392,""))</f>
        <v/>
      </c>
      <c r="D389" t="str">
        <f>_xlfn.LET(_xlpm.Searching,"55",_xlpm.inStr,IFERROR(FIND(_xlpm.Searching,$A391)&gt;=1,FALSE),IF(AND(_xlpm.inStr,LEN(A391)&lt;=6),A392,""))</f>
        <v/>
      </c>
      <c r="E389" t="str">
        <f>_xlfn.LET(_xlpm.Searching,"57",_xlpm.inStr,IFERROR(FIND(_xlpm.Searching,$A391)&gt;=1,FALSE),IF(AND(_xlpm.inStr,LEN(A391)&lt;=6),$A392,""))&amp;E390</f>
        <v>2</v>
      </c>
      <c r="F389" t="str">
        <f>_xlfn.LET(_xlpm.Searching,"59",_xlpm.inStr,IFERROR(FIND(_xlpm.Searching,$A391)&gt;=1,FALSE),IF(AND(_xlpm.inStr,LEN(A391)&lt;=6),$A392,""))&amp;F390&amp;F391</f>
        <v/>
      </c>
      <c r="G389" t="str">
        <f>_xlfn.LET(_xlpm.Searching,"61",_xlpm.inStr,IFERROR(FIND(_xlpm.Searching,$A391)&gt;=1,FALSE),IF(AND(_xlpm.inStr,LEN(A391)&lt;=6),$A392,""))&amp;G390&amp;G391&amp;G392</f>
        <v/>
      </c>
      <c r="H389" t="str">
        <f>_xlfn.LET(_xlpm.Searching,"63",_xlpm.inStr,IFERROR(FIND(_xlpm.Searching,$A391)&gt;=1,FALSE),IF(AND(_xlpm.inStr,LEN(A391)&lt;=6),$A392,""))&amp;H390&amp;H391&amp;H392&amp;H393</f>
        <v/>
      </c>
      <c r="I389" s="4">
        <f>MID(TRIM(RIGHT(A389,10)),1,LEN(TRIM(RIGHT(A389,10)))-3)*0.8</f>
        <v>10.32</v>
      </c>
      <c r="J389" s="6"/>
    </row>
    <row r="390" spans="1:10" x14ac:dyDescent="0.25">
      <c r="A390" s="6" t="s">
        <v>151</v>
      </c>
      <c r="B390" t="str" cm="1">
        <f t="array" ref="B390">БУКВЫ(MID($A389,3,11))</f>
        <v>661110523</v>
      </c>
      <c r="C390" s="2"/>
      <c r="D390" s="2"/>
      <c r="E390" t="str">
        <f>_xlfn.LET(_xlpm.Searching,"57",_xlpm.inStr,IFERROR(FIND(_xlpm.Searching,$A393)&gt;=1,FALSE),IF(AND(_xlpm.inStr,LEN(A393)&lt;=6),$A394,""))</f>
        <v/>
      </c>
      <c r="F390" t="str">
        <f>_xlfn.LET(_xlpm.Searching,"59",_xlpm.inStr,IFERROR(FIND(_xlpm.Searching,$A393)&gt;=1,FALSE),IF(AND(_xlpm.inStr,LEN(A393)&lt;=6),$A394,""))</f>
        <v/>
      </c>
      <c r="G390" t="str">
        <f>_xlfn.LET(_xlpm.Searching,"61",_xlpm.inStr,IFERROR(FIND(_xlpm.Searching,$A393)&gt;=1,FALSE),IF(AND(_xlpm.inStr,LEN(A393)&lt;=6),$A394,""))</f>
        <v/>
      </c>
      <c r="H390" t="str">
        <f>_xlfn.LET(_xlpm.Searching,"63",_xlpm.inStr,IFERROR(FIND(_xlpm.Searching,$A393)&gt;=1,FALSE),IF(AND(_xlpm.inStr,LEN(A393)&lt;=6),$A394,""))</f>
        <v/>
      </c>
      <c r="J390" s="6"/>
    </row>
    <row r="391" spans="1:10" x14ac:dyDescent="0.25">
      <c r="A391" s="6" t="s">
        <v>43</v>
      </c>
      <c r="B391" t="str" cm="1">
        <f t="array" ref="B391">БУКВЫ(MID($A389,3,11))</f>
        <v>661110523</v>
      </c>
      <c r="C391" s="2"/>
      <c r="D391" s="2"/>
      <c r="E391" s="2"/>
      <c r="F391" t="str">
        <f>_xlfn.LET(_xlpm.Searching,"59",_xlpm.inStr,IFERROR(FIND(_xlpm.Searching,$A395)&gt;=1,FALSE),IF(AND(_xlpm.inStr,LEN(A395)&lt;=6),$A396,""))</f>
        <v/>
      </c>
      <c r="G391" t="str">
        <f>_xlfn.LET(_xlpm.Searching,"61",_xlpm.inStr,IFERROR(FIND(_xlpm.Searching,$A395)&gt;=1,FALSE),IF(AND(_xlpm.inStr,LEN(A395)&lt;=6),$A396,""))</f>
        <v/>
      </c>
      <c r="H391" t="str">
        <f>_xlfn.LET(_xlpm.Searching,"63",_xlpm.inStr,IFERROR(FIND(_xlpm.Searching,$A395)&gt;=1,FALSE),IF(AND(_xlpm.inStr,LEN(A395)&lt;=6),$A396,""))</f>
        <v/>
      </c>
      <c r="J391" s="6"/>
    </row>
    <row r="392" spans="1:10" x14ac:dyDescent="0.25">
      <c r="A392" s="6">
        <v>2</v>
      </c>
      <c r="B392" t="str" cm="1">
        <f t="array" ref="B392">БУКВЫ(MID($A389,3,11))</f>
        <v>661110523</v>
      </c>
      <c r="C392" s="2"/>
      <c r="D392" s="2"/>
      <c r="E392" s="2"/>
      <c r="F392" s="2"/>
      <c r="G392" t="str">
        <f>_xlfn.LET(_xlpm.Searching,"61",_xlpm.inStr,IFERROR(FIND(_xlpm.Searching,$A397)&gt;=1,FALSE),IF(AND(_xlpm.inStr,LEN(A397)&lt;=6),$A398,""))</f>
        <v/>
      </c>
      <c r="H392" t="str">
        <f>_xlfn.LET(_xlpm.Searching,"63",_xlpm.inStr,IFERROR(FIND(_xlpm.Searching,$A397)&gt;=1,FALSE),IF(AND(_xlpm.inStr,LEN(A397)&lt;=6),$A398,""))</f>
        <v/>
      </c>
      <c r="J392" s="6"/>
    </row>
    <row r="393" spans="1:10" x14ac:dyDescent="0.25">
      <c r="A393" s="6" t="s">
        <v>152</v>
      </c>
      <c r="B393" t="str" cm="1">
        <f t="array" ref="B393">БУКВЫ(MID($A389,3,11))</f>
        <v>661110523</v>
      </c>
      <c r="C393" s="2"/>
      <c r="D393" s="2"/>
      <c r="E393" s="2"/>
      <c r="F393" s="2"/>
      <c r="G393" s="2"/>
      <c r="H393" t="str">
        <f>_xlfn.LET(_xlpm.Searching,"63",_xlpm.inStr,IFERROR(FIND(_xlpm.Searching,$A399)&gt;=1,FALSE),IF(AND(_xlpm.inStr,LEN(A399)&lt;=6),$A400,""))</f>
        <v/>
      </c>
      <c r="J393" s="6"/>
    </row>
    <row r="394" spans="1:10" x14ac:dyDescent="0.25">
      <c r="A394" s="6" t="s">
        <v>156</v>
      </c>
      <c r="B394" s="6"/>
      <c r="C394" s="6"/>
      <c r="D394" s="6"/>
      <c r="E394" s="6"/>
      <c r="F394" s="6"/>
      <c r="G394" s="6"/>
      <c r="H394" s="6"/>
      <c r="I394" s="7"/>
      <c r="J394" s="6"/>
    </row>
    <row r="395" spans="1:10" x14ac:dyDescent="0.25">
      <c r="A395" s="6" t="s">
        <v>157</v>
      </c>
      <c r="B395" s="1" t="s">
        <v>1</v>
      </c>
      <c r="C395" s="1" t="s">
        <v>0</v>
      </c>
      <c r="D395" s="1">
        <v>55</v>
      </c>
      <c r="E395" s="1">
        <v>57</v>
      </c>
      <c r="F395" s="1">
        <v>59</v>
      </c>
      <c r="G395" s="1">
        <v>61</v>
      </c>
      <c r="H395" s="1">
        <v>63</v>
      </c>
      <c r="I395" s="3" t="s">
        <v>2</v>
      </c>
      <c r="J395" s="6"/>
    </row>
    <row r="396" spans="1:10" x14ac:dyDescent="0.25">
      <c r="A396" s="6" t="s">
        <v>158</v>
      </c>
      <c r="B396" t="str" cm="1">
        <f t="array" ref="B396">БУКВЫ(MID($A396,3,11))</f>
        <v>74311011</v>
      </c>
      <c r="C396" t="str">
        <f>_xlfn.LET(_xlpm.Searching,"OSFA",_xlpm.inStr,IFERROR(FIND(_xlpm.Searching,$A398)&gt;=1,FALSE),IF(AND(_xlpm.inStr,LEN(A398)&lt;=6),A399,""))</f>
        <v/>
      </c>
      <c r="D396">
        <f>_xlfn.LET(_xlpm.Searching,"55",_xlpm.inStr,IFERROR(FIND(_xlpm.Searching,$A398)&gt;=1,FALSE),IF(AND(_xlpm.inStr,LEN(A398)&lt;=6),A399,""))</f>
        <v>1</v>
      </c>
      <c r="E396" t="str">
        <f>_xlfn.LET(_xlpm.Searching,"57",_xlpm.inStr,IFERROR(FIND(_xlpm.Searching,$A398)&gt;=1,FALSE),IF(AND(_xlpm.inStr,LEN(A398)&lt;=6),$A399,""))&amp;E397</f>
        <v/>
      </c>
      <c r="F396" t="str">
        <f>_xlfn.LET(_xlpm.Searching,"59",_xlpm.inStr,IFERROR(FIND(_xlpm.Searching,$A398)&gt;=1,FALSE),IF(AND(_xlpm.inStr,LEN(A398)&lt;=6),$A399,""))&amp;F397&amp;F398</f>
        <v/>
      </c>
      <c r="G396" t="str">
        <f>_xlfn.LET(_xlpm.Searching,"61",_xlpm.inStr,IFERROR(FIND(_xlpm.Searching,$A398)&gt;=1,FALSE),IF(AND(_xlpm.inStr,LEN(A398)&lt;=6),$A399,""))&amp;G397&amp;G398&amp;G399</f>
        <v/>
      </c>
      <c r="H396" t="str">
        <f>_xlfn.LET(_xlpm.Searching,"63",_xlpm.inStr,IFERROR(FIND(_xlpm.Searching,$A398)&gt;=1,FALSE),IF(AND(_xlpm.inStr,LEN(A398)&lt;=6),$A399,""))&amp;H397&amp;H398&amp;H399&amp;H400</f>
        <v/>
      </c>
      <c r="I396" s="4">
        <f>MID(TRIM(RIGHT(A396,10)),1,LEN(TRIM(RIGHT(A396,10)))-3)*0.8</f>
        <v>11.920000000000002</v>
      </c>
      <c r="J396" s="6"/>
    </row>
    <row r="397" spans="1:10" x14ac:dyDescent="0.25">
      <c r="A397" s="6" t="s">
        <v>159</v>
      </c>
      <c r="B397" t="str" cm="1">
        <f t="array" ref="B397">БУКВЫ(MID($A396,3,11))</f>
        <v>74311011</v>
      </c>
      <c r="C397" s="2"/>
      <c r="D397" s="2"/>
      <c r="E397" t="str">
        <f>_xlfn.LET(_xlpm.Searching,"57",_xlpm.inStr,IFERROR(FIND(_xlpm.Searching,$A400)&gt;=1,FALSE),IF(AND(_xlpm.inStr,LEN(A400)&lt;=6),$A401,""))</f>
        <v/>
      </c>
      <c r="F397" t="str">
        <f>_xlfn.LET(_xlpm.Searching,"59",_xlpm.inStr,IFERROR(FIND(_xlpm.Searching,$A400)&gt;=1,FALSE),IF(AND(_xlpm.inStr,LEN(A400)&lt;=6),$A401,""))</f>
        <v/>
      </c>
      <c r="G397" t="str">
        <f>_xlfn.LET(_xlpm.Searching,"61",_xlpm.inStr,IFERROR(FIND(_xlpm.Searching,$A400)&gt;=1,FALSE),IF(AND(_xlpm.inStr,LEN(A400)&lt;=6),$A401,""))</f>
        <v/>
      </c>
      <c r="H397" t="str">
        <f>_xlfn.LET(_xlpm.Searching,"63",_xlpm.inStr,IFERROR(FIND(_xlpm.Searching,$A400)&gt;=1,FALSE),IF(AND(_xlpm.inStr,LEN(A400)&lt;=6),$A401,""))</f>
        <v/>
      </c>
      <c r="J397" s="6"/>
    </row>
    <row r="398" spans="1:10" x14ac:dyDescent="0.25">
      <c r="A398" s="6" t="s">
        <v>42</v>
      </c>
      <c r="B398" t="str" cm="1">
        <f t="array" ref="B398">БУКВЫ(MID($A396,3,11))</f>
        <v>74311011</v>
      </c>
      <c r="C398" s="2"/>
      <c r="D398" s="2"/>
      <c r="E398" s="2"/>
      <c r="F398" t="str">
        <f>_xlfn.LET(_xlpm.Searching,"59",_xlpm.inStr,IFERROR(FIND(_xlpm.Searching,$A402)&gt;=1,FALSE),IF(AND(_xlpm.inStr,LEN(A402)&lt;=6),$A403,""))</f>
        <v/>
      </c>
      <c r="G398" t="str">
        <f>_xlfn.LET(_xlpm.Searching,"61",_xlpm.inStr,IFERROR(FIND(_xlpm.Searching,$A402)&gt;=1,FALSE),IF(AND(_xlpm.inStr,LEN(A402)&lt;=6),$A403,""))</f>
        <v/>
      </c>
      <c r="H398" t="str">
        <f>_xlfn.LET(_xlpm.Searching,"63",_xlpm.inStr,IFERROR(FIND(_xlpm.Searching,$A402)&gt;=1,FALSE),IF(AND(_xlpm.inStr,LEN(A402)&lt;=6),$A403,""))</f>
        <v/>
      </c>
      <c r="J398" s="6"/>
    </row>
    <row r="399" spans="1:10" x14ac:dyDescent="0.25">
      <c r="A399" s="6">
        <v>1</v>
      </c>
      <c r="B399" t="str" cm="1">
        <f t="array" ref="B399">БУКВЫ(MID($A396,3,11))</f>
        <v>74311011</v>
      </c>
      <c r="C399" s="2"/>
      <c r="D399" s="2"/>
      <c r="E399" s="2"/>
      <c r="F399" s="2"/>
      <c r="G399" t="str">
        <f>_xlfn.LET(_xlpm.Searching,"61",_xlpm.inStr,IFERROR(FIND(_xlpm.Searching,$A404)&gt;=1,FALSE),IF(AND(_xlpm.inStr,LEN(A404)&lt;=6),$A405,""))</f>
        <v/>
      </c>
      <c r="H399" t="str">
        <f>_xlfn.LET(_xlpm.Searching,"63",_xlpm.inStr,IFERROR(FIND(_xlpm.Searching,$A404)&gt;=1,FALSE),IF(AND(_xlpm.inStr,LEN(A404)&lt;=6),$A405,""))</f>
        <v/>
      </c>
      <c r="J399" s="6"/>
    </row>
    <row r="400" spans="1:10" x14ac:dyDescent="0.25">
      <c r="A400" s="6" t="s">
        <v>160</v>
      </c>
      <c r="B400" t="str" cm="1">
        <f t="array" ref="B400">БУКВЫ(MID($A396,3,11))</f>
        <v>74311011</v>
      </c>
      <c r="C400" s="2"/>
      <c r="D400" s="2"/>
      <c r="E400" s="2"/>
      <c r="F400" s="2"/>
      <c r="G400" s="2"/>
      <c r="H400" t="str">
        <f>_xlfn.LET(_xlpm.Searching,"63",_xlpm.inStr,IFERROR(FIND(_xlpm.Searching,$A406)&gt;=1,FALSE),IF(AND(_xlpm.inStr,LEN(A406)&lt;=6),$A407,""))</f>
        <v/>
      </c>
      <c r="J400" s="6"/>
    </row>
    <row r="401" spans="1:10" x14ac:dyDescent="0.25">
      <c r="A401" s="6" t="s">
        <v>161</v>
      </c>
      <c r="B401" s="6"/>
      <c r="C401" s="6"/>
      <c r="D401" s="6"/>
      <c r="E401" s="6"/>
      <c r="F401" s="6"/>
      <c r="G401" s="6"/>
      <c r="H401" s="6"/>
      <c r="I401" s="7"/>
      <c r="J401" s="6"/>
    </row>
    <row r="402" spans="1:10" x14ac:dyDescent="0.25">
      <c r="A402" s="6" t="s">
        <v>162</v>
      </c>
      <c r="B402" s="1" t="s">
        <v>1</v>
      </c>
      <c r="C402" s="1" t="s">
        <v>0</v>
      </c>
      <c r="D402" s="1">
        <v>55</v>
      </c>
      <c r="E402" s="1">
        <v>57</v>
      </c>
      <c r="F402" s="1">
        <v>59</v>
      </c>
      <c r="G402" s="1">
        <v>61</v>
      </c>
      <c r="H402" s="1">
        <v>63</v>
      </c>
      <c r="I402" s="3" t="s">
        <v>2</v>
      </c>
      <c r="J402" s="6"/>
    </row>
    <row r="403" spans="1:10" x14ac:dyDescent="0.25">
      <c r="A403" s="6" t="s">
        <v>163</v>
      </c>
      <c r="B403" t="str" cm="1">
        <f t="array" ref="B403">БУКВЫ(MID($A403,3,11))</f>
        <v>212850371</v>
      </c>
      <c r="C403" t="str">
        <f>_xlfn.LET(_xlpm.Searching,"OSFA",_xlpm.inStr,IFERROR(FIND(_xlpm.Searching,$A405)&gt;=1,FALSE),IF(AND(_xlpm.inStr,LEN(A405)&lt;=6),A406,""))</f>
        <v/>
      </c>
      <c r="D403" t="str">
        <f>_xlfn.LET(_xlpm.Searching,"55",_xlpm.inStr,IFERROR(FIND(_xlpm.Searching,$A405)&gt;=1,FALSE),IF(AND(_xlpm.inStr,LEN(A405)&lt;=6),A406,""))</f>
        <v/>
      </c>
      <c r="E403" t="str">
        <f>_xlfn.LET(_xlpm.Searching,"57",_xlpm.inStr,IFERROR(FIND(_xlpm.Searching,$A405)&gt;=1,FALSE),IF(AND(_xlpm.inStr,LEN(A405)&lt;=6),$A406,""))&amp;E404</f>
        <v>1</v>
      </c>
      <c r="F403" t="str">
        <f>_xlfn.LET(_xlpm.Searching,"59",_xlpm.inStr,IFERROR(FIND(_xlpm.Searching,$A405)&gt;=1,FALSE),IF(AND(_xlpm.inStr,LEN(A405)&lt;=6),$A406,""))&amp;F404&amp;F405</f>
        <v>4</v>
      </c>
      <c r="G403" t="str">
        <f>_xlfn.LET(_xlpm.Searching,"61",_xlpm.inStr,IFERROR(FIND(_xlpm.Searching,$A405)&gt;=1,FALSE),IF(AND(_xlpm.inStr,LEN(A405)&lt;=6),$A406,""))&amp;G404&amp;G405&amp;G406</f>
        <v>3</v>
      </c>
      <c r="H403" t="str">
        <f>_xlfn.LET(_xlpm.Searching,"63",_xlpm.inStr,IFERROR(FIND(_xlpm.Searching,$A405)&gt;=1,FALSE),IF(AND(_xlpm.inStr,LEN(A405)&lt;=6),$A406,""))&amp;H404&amp;H405&amp;H406&amp;H407</f>
        <v/>
      </c>
      <c r="I403" s="4">
        <f>MID(TRIM(RIGHT(A403,10)),1,LEN(TRIM(RIGHT(A403,10)))-3)*0.8</f>
        <v>27.12</v>
      </c>
      <c r="J403" s="6"/>
    </row>
    <row r="404" spans="1:10" x14ac:dyDescent="0.25">
      <c r="A404" s="6" t="s">
        <v>164</v>
      </c>
      <c r="B404" t="str" cm="1">
        <f t="array" ref="B404">БУКВЫ(MID($A403,3,11))</f>
        <v>212850371</v>
      </c>
      <c r="C404" s="2"/>
      <c r="D404" s="2"/>
      <c r="E404" t="str">
        <f>_xlfn.LET(_xlpm.Searching,"57",_xlpm.inStr,IFERROR(FIND(_xlpm.Searching,$A407)&gt;=1,FALSE),IF(AND(_xlpm.inStr,LEN(A407)&lt;=6),$A408,""))</f>
        <v/>
      </c>
      <c r="F404">
        <f>_xlfn.LET(_xlpm.Searching,"59",_xlpm.inStr,IFERROR(FIND(_xlpm.Searching,$A407)&gt;=1,FALSE),IF(AND(_xlpm.inStr,LEN(A407)&lt;=6),$A408,""))</f>
        <v>4</v>
      </c>
      <c r="G404" t="str">
        <f>_xlfn.LET(_xlpm.Searching,"61",_xlpm.inStr,IFERROR(FIND(_xlpm.Searching,$A407)&gt;=1,FALSE),IF(AND(_xlpm.inStr,LEN(A407)&lt;=6),$A408,""))</f>
        <v/>
      </c>
      <c r="H404" t="str">
        <f>_xlfn.LET(_xlpm.Searching,"63",_xlpm.inStr,IFERROR(FIND(_xlpm.Searching,$A407)&gt;=1,FALSE),IF(AND(_xlpm.inStr,LEN(A407)&lt;=6),$A408,""))</f>
        <v/>
      </c>
      <c r="J404" s="6"/>
    </row>
    <row r="405" spans="1:10" x14ac:dyDescent="0.25">
      <c r="A405" s="6" t="s">
        <v>43</v>
      </c>
      <c r="B405" t="str" cm="1">
        <f t="array" ref="B405">БУКВЫ(MID($A403,3,11))</f>
        <v>212850371</v>
      </c>
      <c r="C405" s="2"/>
      <c r="D405" s="2"/>
      <c r="E405" s="2"/>
      <c r="F405" t="str">
        <f>_xlfn.LET(_xlpm.Searching,"59",_xlpm.inStr,IFERROR(FIND(_xlpm.Searching,$A409)&gt;=1,FALSE),IF(AND(_xlpm.inStr,LEN(A409)&lt;=6),$A410,""))</f>
        <v/>
      </c>
      <c r="G405">
        <f>_xlfn.LET(_xlpm.Searching,"61",_xlpm.inStr,IFERROR(FIND(_xlpm.Searching,$A409)&gt;=1,FALSE),IF(AND(_xlpm.inStr,LEN(A409)&lt;=6),$A410,""))</f>
        <v>3</v>
      </c>
      <c r="H405" t="str">
        <f>_xlfn.LET(_xlpm.Searching,"63",_xlpm.inStr,IFERROR(FIND(_xlpm.Searching,$A409)&gt;=1,FALSE),IF(AND(_xlpm.inStr,LEN(A409)&lt;=6),$A410,""))</f>
        <v/>
      </c>
      <c r="J405" s="6"/>
    </row>
    <row r="406" spans="1:10" x14ac:dyDescent="0.25">
      <c r="A406" s="6">
        <v>1</v>
      </c>
      <c r="B406" t="str" cm="1">
        <f t="array" ref="B406">БУКВЫ(MID($A403,3,11))</f>
        <v>212850371</v>
      </c>
      <c r="C406" s="2"/>
      <c r="D406" s="2"/>
      <c r="E406" s="2"/>
      <c r="F406" s="2"/>
      <c r="G406" t="str">
        <f>_xlfn.LET(_xlpm.Searching,"61",_xlpm.inStr,IFERROR(FIND(_xlpm.Searching,$A411)&gt;=1,FALSE),IF(AND(_xlpm.inStr,LEN(A411)&lt;=6),$A412,""))</f>
        <v/>
      </c>
      <c r="H406" t="str">
        <f>_xlfn.LET(_xlpm.Searching,"63",_xlpm.inStr,IFERROR(FIND(_xlpm.Searching,$A411)&gt;=1,FALSE),IF(AND(_xlpm.inStr,LEN(A411)&lt;=6),$A412,""))</f>
        <v/>
      </c>
      <c r="J406" s="6"/>
    </row>
    <row r="407" spans="1:10" x14ac:dyDescent="0.25">
      <c r="A407" s="6" t="s">
        <v>35</v>
      </c>
      <c r="B407" t="str" cm="1">
        <f t="array" ref="B407">БУКВЫ(MID($A403,3,11))</f>
        <v>212850371</v>
      </c>
      <c r="C407" s="2"/>
      <c r="D407" s="2"/>
      <c r="E407" s="2"/>
      <c r="F407" s="2"/>
      <c r="G407" s="2"/>
      <c r="H407" t="str">
        <f>_xlfn.LET(_xlpm.Searching,"63",_xlpm.inStr,IFERROR(FIND(_xlpm.Searching,$A413)&gt;=1,FALSE),IF(AND(_xlpm.inStr,LEN(A413)&lt;=6),$A414,""))</f>
        <v/>
      </c>
      <c r="J407" s="6"/>
    </row>
    <row r="408" spans="1:10" x14ac:dyDescent="0.25">
      <c r="A408" s="6">
        <v>4</v>
      </c>
      <c r="B408" s="6"/>
      <c r="C408" s="6"/>
      <c r="D408" s="6"/>
      <c r="E408" s="6"/>
      <c r="F408" s="6"/>
      <c r="G408" s="6"/>
      <c r="H408" s="6"/>
      <c r="I408" s="7"/>
      <c r="J408" s="6"/>
    </row>
    <row r="409" spans="1:10" x14ac:dyDescent="0.25">
      <c r="A409" s="6" t="s">
        <v>36</v>
      </c>
      <c r="B409" s="8"/>
      <c r="C409" s="8"/>
      <c r="D409" s="8"/>
      <c r="E409" s="8"/>
      <c r="F409" s="8"/>
      <c r="G409" s="8"/>
      <c r="H409" s="8"/>
      <c r="I409" s="9"/>
      <c r="J409" s="6"/>
    </row>
    <row r="410" spans="1:10" x14ac:dyDescent="0.25">
      <c r="A410" s="6">
        <v>3</v>
      </c>
      <c r="B410" s="6"/>
      <c r="C410" s="6"/>
      <c r="D410" s="6"/>
      <c r="E410" s="6"/>
      <c r="F410" s="6"/>
      <c r="G410" s="6"/>
      <c r="H410" s="6"/>
      <c r="I410" s="7"/>
      <c r="J410" s="6"/>
    </row>
    <row r="411" spans="1:10" x14ac:dyDescent="0.25">
      <c r="A411" s="6" t="s">
        <v>165</v>
      </c>
      <c r="B411" s="6"/>
      <c r="C411" s="6"/>
      <c r="D411" s="6"/>
      <c r="E411" s="6"/>
      <c r="F411" s="6"/>
      <c r="G411" s="6"/>
      <c r="H411" s="6"/>
      <c r="I411" s="7"/>
      <c r="J411" s="6"/>
    </row>
    <row r="412" spans="1:10" x14ac:dyDescent="0.25">
      <c r="A412" s="6" t="s">
        <v>166</v>
      </c>
      <c r="B412" s="6"/>
      <c r="C412" s="6"/>
      <c r="D412" s="6"/>
      <c r="E412" s="6"/>
      <c r="F412" s="6"/>
      <c r="G412" s="6"/>
      <c r="H412" s="6"/>
      <c r="I412" s="7"/>
      <c r="J412" s="6"/>
    </row>
    <row r="413" spans="1:10" x14ac:dyDescent="0.25">
      <c r="A413" s="6" t="s">
        <v>167</v>
      </c>
      <c r="B413" s="6"/>
      <c r="C413" s="6"/>
      <c r="D413" s="6"/>
      <c r="E413" s="6"/>
      <c r="F413" s="6"/>
      <c r="G413" s="6"/>
      <c r="H413" s="6"/>
      <c r="I413" s="7"/>
      <c r="J413" s="6"/>
    </row>
    <row r="414" spans="1:10" x14ac:dyDescent="0.25">
      <c r="A414" s="6" t="s">
        <v>20</v>
      </c>
      <c r="B414" s="6"/>
      <c r="C414" s="6"/>
      <c r="D414" s="6"/>
      <c r="E414" s="6"/>
      <c r="F414" s="6"/>
      <c r="G414" s="6"/>
      <c r="H414" s="6"/>
      <c r="I414" s="7"/>
      <c r="J414" s="6"/>
    </row>
    <row r="415" spans="1:10" x14ac:dyDescent="0.25">
      <c r="A415" s="6" t="s">
        <v>53</v>
      </c>
      <c r="B415" s="6"/>
      <c r="C415" s="6"/>
      <c r="D415" s="6"/>
      <c r="E415" s="6"/>
      <c r="F415" s="6"/>
      <c r="G415" s="6"/>
      <c r="H415" s="6"/>
      <c r="I415" s="7"/>
      <c r="J415" s="6"/>
    </row>
    <row r="416" spans="1:10" x14ac:dyDescent="0.25">
      <c r="A416" s="6" t="s">
        <v>54</v>
      </c>
      <c r="B416" s="6"/>
      <c r="C416" s="6"/>
      <c r="D416" s="6"/>
      <c r="E416" s="6"/>
      <c r="F416" s="6"/>
      <c r="G416" s="6"/>
      <c r="H416" s="6"/>
      <c r="I416" s="7"/>
      <c r="J416" s="6"/>
    </row>
    <row r="417" spans="1:10" x14ac:dyDescent="0.25">
      <c r="A417" s="6" t="s">
        <v>55</v>
      </c>
      <c r="B417" s="6"/>
      <c r="C417" s="6"/>
      <c r="D417" s="6"/>
      <c r="E417" s="6"/>
      <c r="F417" s="6"/>
      <c r="G417" s="6"/>
      <c r="H417" s="6"/>
      <c r="I417" s="7"/>
      <c r="J417" s="6"/>
    </row>
    <row r="418" spans="1:10" x14ac:dyDescent="0.25">
      <c r="A418" s="6" t="s">
        <v>56</v>
      </c>
      <c r="B418" s="6"/>
      <c r="C418" s="6"/>
      <c r="D418" s="6"/>
      <c r="E418" s="6"/>
      <c r="F418" s="6"/>
      <c r="G418" s="6"/>
      <c r="H418" s="6"/>
      <c r="I418" s="7"/>
      <c r="J418" s="6"/>
    </row>
    <row r="419" spans="1:10" x14ac:dyDescent="0.25">
      <c r="A419" s="6" t="s">
        <v>57</v>
      </c>
      <c r="B419" s="6"/>
      <c r="C419" s="6"/>
      <c r="D419" s="6"/>
      <c r="E419" s="6"/>
      <c r="F419" s="6"/>
      <c r="G419" s="6"/>
      <c r="H419" s="6"/>
      <c r="I419" s="7"/>
      <c r="J419" s="6"/>
    </row>
    <row r="420" spans="1:10" x14ac:dyDescent="0.25">
      <c r="A420" s="6" t="s">
        <v>58</v>
      </c>
      <c r="B420" s="6"/>
      <c r="C420" s="6"/>
      <c r="D420" s="6"/>
      <c r="E420" s="6"/>
      <c r="F420" s="6"/>
      <c r="G420" s="6"/>
      <c r="H420" s="6"/>
      <c r="I420" s="7"/>
      <c r="J420" s="6"/>
    </row>
    <row r="421" spans="1:10" x14ac:dyDescent="0.25">
      <c r="A421" s="6" t="s">
        <v>59</v>
      </c>
      <c r="B421" s="6"/>
      <c r="C421" s="6"/>
      <c r="D421" s="6"/>
      <c r="E421" s="6"/>
      <c r="F421" s="6"/>
      <c r="G421" s="6"/>
      <c r="H421" s="6"/>
      <c r="I421" s="7"/>
      <c r="J421" s="6"/>
    </row>
    <row r="422" spans="1:10" x14ac:dyDescent="0.25">
      <c r="A422" s="6" t="s">
        <v>60</v>
      </c>
      <c r="B422" s="6"/>
      <c r="C422" s="6"/>
      <c r="D422" s="6"/>
      <c r="E422" s="6"/>
      <c r="F422" s="6"/>
      <c r="G422" s="6"/>
      <c r="H422" s="6"/>
      <c r="I422" s="7"/>
      <c r="J422" s="6"/>
    </row>
    <row r="423" spans="1:10" x14ac:dyDescent="0.25">
      <c r="A423" s="6" t="s">
        <v>61</v>
      </c>
      <c r="B423" s="6"/>
      <c r="C423" s="6"/>
      <c r="D423" s="6"/>
      <c r="E423" s="6"/>
      <c r="F423" s="6"/>
      <c r="G423" s="6"/>
      <c r="H423" s="6"/>
      <c r="I423" s="7"/>
      <c r="J423" s="6"/>
    </row>
    <row r="424" spans="1:10" x14ac:dyDescent="0.25">
      <c r="A424" s="6" t="s">
        <v>62</v>
      </c>
      <c r="B424" s="6"/>
      <c r="C424" s="6"/>
      <c r="D424" s="6"/>
      <c r="E424" s="6"/>
      <c r="F424" s="6"/>
      <c r="G424" s="6"/>
      <c r="H424" s="6"/>
      <c r="I424" s="7"/>
      <c r="J424" s="6"/>
    </row>
    <row r="425" spans="1:10" x14ac:dyDescent="0.25">
      <c r="A425" s="6" t="s">
        <v>63</v>
      </c>
      <c r="B425" s="6"/>
      <c r="C425" s="6"/>
      <c r="D425" s="6"/>
      <c r="E425" s="6"/>
      <c r="F425" s="6"/>
      <c r="G425" s="6"/>
      <c r="H425" s="6"/>
      <c r="I425" s="7"/>
      <c r="J425" s="6"/>
    </row>
    <row r="426" spans="1:10" x14ac:dyDescent="0.25">
      <c r="A426" s="6" t="s">
        <v>64</v>
      </c>
      <c r="B426" s="8"/>
      <c r="C426" s="8"/>
      <c r="D426" s="8"/>
      <c r="E426" s="8"/>
      <c r="F426" s="8"/>
      <c r="G426" s="8"/>
      <c r="H426" s="8"/>
      <c r="I426" s="9"/>
      <c r="J426" s="6"/>
    </row>
    <row r="427" spans="1:10" x14ac:dyDescent="0.25">
      <c r="A427" s="6" t="s">
        <v>65</v>
      </c>
      <c r="B427" s="6"/>
      <c r="C427" s="6"/>
      <c r="D427" s="6"/>
      <c r="E427" s="6"/>
      <c r="F427" s="6"/>
      <c r="G427" s="6"/>
      <c r="H427" s="6"/>
      <c r="I427" s="7"/>
      <c r="J427" s="6"/>
    </row>
    <row r="428" spans="1:10" x14ac:dyDescent="0.25">
      <c r="A428" s="6" t="s">
        <v>66</v>
      </c>
      <c r="B428" s="6"/>
      <c r="C428" s="6"/>
      <c r="D428" s="6"/>
      <c r="E428" s="6"/>
      <c r="F428" s="6"/>
      <c r="G428" s="6"/>
      <c r="H428" s="6"/>
      <c r="I428" s="7"/>
      <c r="J428" s="6"/>
    </row>
    <row r="429" spans="1:10" x14ac:dyDescent="0.25">
      <c r="A429" s="6" t="s">
        <v>8</v>
      </c>
      <c r="B429" s="6"/>
      <c r="C429" s="6"/>
      <c r="D429" s="6"/>
      <c r="E429" s="6"/>
      <c r="F429" s="6"/>
      <c r="G429" s="6"/>
      <c r="H429" s="6"/>
      <c r="I429" s="7"/>
      <c r="J429" s="6"/>
    </row>
    <row r="430" spans="1:10" x14ac:dyDescent="0.25">
      <c r="A430" s="6" t="s">
        <v>67</v>
      </c>
      <c r="B430" s="6"/>
      <c r="C430" s="6"/>
      <c r="D430" s="6"/>
      <c r="E430" s="6"/>
      <c r="F430" s="6"/>
      <c r="G430" s="6"/>
      <c r="H430" s="6"/>
      <c r="I430" s="7"/>
      <c r="J430" s="6"/>
    </row>
    <row r="431" spans="1:10" x14ac:dyDescent="0.25">
      <c r="A431" s="6" t="s">
        <v>168</v>
      </c>
      <c r="B431" s="6"/>
      <c r="C431" s="6"/>
      <c r="D431" s="6"/>
      <c r="E431" s="6"/>
      <c r="F431" s="6"/>
      <c r="G431" s="6"/>
      <c r="H431" s="6"/>
      <c r="I431" s="7"/>
      <c r="J431" s="6"/>
    </row>
    <row r="432" spans="1:10" x14ac:dyDescent="0.25">
      <c r="A432" s="6" t="s">
        <v>23</v>
      </c>
      <c r="B432" s="6"/>
      <c r="C432" s="6"/>
      <c r="D432" s="6"/>
      <c r="E432" s="6"/>
      <c r="F432" s="6"/>
      <c r="G432" s="6"/>
      <c r="H432" s="6"/>
      <c r="I432" s="7"/>
      <c r="J432" s="6"/>
    </row>
    <row r="433" spans="1:10" x14ac:dyDescent="0.25">
      <c r="A433" s="6" t="s">
        <v>24</v>
      </c>
      <c r="B433" s="6"/>
      <c r="C433" s="6"/>
      <c r="D433" s="6"/>
      <c r="E433" s="6"/>
      <c r="F433" s="6"/>
      <c r="G433" s="6"/>
      <c r="H433" s="6"/>
      <c r="I433" s="7"/>
      <c r="J433" s="6"/>
    </row>
    <row r="434" spans="1:10" x14ac:dyDescent="0.25">
      <c r="A434" s="6" t="s">
        <v>25</v>
      </c>
      <c r="B434" s="6"/>
      <c r="C434" s="6"/>
      <c r="D434" s="6"/>
      <c r="E434" s="6"/>
      <c r="F434" s="6"/>
      <c r="G434" s="6"/>
      <c r="H434" s="6"/>
      <c r="I434" s="7"/>
      <c r="J434" s="6"/>
    </row>
    <row r="435" spans="1:10" x14ac:dyDescent="0.25">
      <c r="A435" s="6" t="s">
        <v>26</v>
      </c>
      <c r="B435" s="6"/>
      <c r="C435" s="6"/>
      <c r="D435" s="6"/>
      <c r="E435" s="6"/>
      <c r="F435" s="6"/>
      <c r="G435" s="6"/>
      <c r="H435" s="6"/>
      <c r="I435" s="7"/>
      <c r="J435" s="6"/>
    </row>
    <row r="436" spans="1:10" x14ac:dyDescent="0.25">
      <c r="A436" s="6" t="s">
        <v>27</v>
      </c>
      <c r="B436" s="6"/>
      <c r="C436" s="6"/>
      <c r="D436" s="6"/>
      <c r="E436" s="6"/>
      <c r="F436" s="6"/>
      <c r="G436" s="6"/>
      <c r="H436" s="6"/>
      <c r="I436" s="7"/>
      <c r="J436" s="6"/>
    </row>
    <row r="437" spans="1:10" x14ac:dyDescent="0.25">
      <c r="A437" s="6" t="s">
        <v>28</v>
      </c>
      <c r="B437" s="6"/>
      <c r="C437" s="6"/>
      <c r="D437" s="6"/>
      <c r="E437" s="6"/>
      <c r="F437" s="6"/>
      <c r="G437" s="6"/>
      <c r="H437" s="6"/>
      <c r="I437" s="7"/>
      <c r="J437" s="6"/>
    </row>
    <row r="438" spans="1:10" x14ac:dyDescent="0.25">
      <c r="A438" s="6" t="s">
        <v>29</v>
      </c>
      <c r="B438" s="1" t="s">
        <v>1</v>
      </c>
      <c r="C438" s="1" t="s">
        <v>0</v>
      </c>
      <c r="D438" s="1">
        <v>55</v>
      </c>
      <c r="E438" s="1">
        <v>57</v>
      </c>
      <c r="F438" s="1">
        <v>59</v>
      </c>
      <c r="G438" s="1">
        <v>61</v>
      </c>
      <c r="H438" s="1">
        <v>63</v>
      </c>
      <c r="I438" s="3" t="s">
        <v>2</v>
      </c>
      <c r="J438" s="6"/>
    </row>
    <row r="439" spans="1:10" x14ac:dyDescent="0.25">
      <c r="A439" s="6" t="s">
        <v>169</v>
      </c>
      <c r="B439" t="str" cm="1">
        <f t="array" ref="B439">БУКВЫ(MID($A439,3,11))</f>
        <v>123855177</v>
      </c>
      <c r="C439" t="str">
        <f>_xlfn.LET(_xlpm.Searching,"OSFA",_xlpm.inStr,IFERROR(FIND(_xlpm.Searching,$A441)&gt;=1,FALSE),IF(AND(_xlpm.inStr,LEN(A441)&lt;=6),A442,""))</f>
        <v/>
      </c>
      <c r="D439" t="str">
        <f>_xlfn.LET(_xlpm.Searching,"55",_xlpm.inStr,IFERROR(FIND(_xlpm.Searching,$A441)&gt;=1,FALSE),IF(AND(_xlpm.inStr,LEN(A441)&lt;=6),A442,""))</f>
        <v/>
      </c>
      <c r="E439" t="str">
        <f>_xlfn.LET(_xlpm.Searching,"57",_xlpm.inStr,IFERROR(FIND(_xlpm.Searching,$A441)&gt;=1,FALSE),IF(AND(_xlpm.inStr,LEN(A441)&lt;=6),$A442,""))&amp;E440</f>
        <v>2</v>
      </c>
      <c r="F439" t="str">
        <f>_xlfn.LET(_xlpm.Searching,"59",_xlpm.inStr,IFERROR(FIND(_xlpm.Searching,$A441)&gt;=1,FALSE),IF(AND(_xlpm.inStr,LEN(A441)&lt;=6),$A442,""))&amp;F440&amp;F441</f>
        <v/>
      </c>
      <c r="G439" t="str">
        <f>_xlfn.LET(_xlpm.Searching,"61",_xlpm.inStr,IFERROR(FIND(_xlpm.Searching,$A441)&gt;=1,FALSE),IF(AND(_xlpm.inStr,LEN(A441)&lt;=6),$A442,""))&amp;G440&amp;G441&amp;G442</f>
        <v/>
      </c>
      <c r="H439" t="str">
        <f>_xlfn.LET(_xlpm.Searching,"63",_xlpm.inStr,IFERROR(FIND(_xlpm.Searching,$A441)&gt;=1,FALSE),IF(AND(_xlpm.inStr,LEN(A441)&lt;=6),$A442,""))&amp;H440&amp;H441&amp;H442&amp;H443</f>
        <v/>
      </c>
      <c r="I439" s="4">
        <f>MID(TRIM(RIGHT(A439,10)),1,LEN(TRIM(RIGHT(A439,10)))-3)*0.8</f>
        <v>18.32</v>
      </c>
      <c r="J439" s="6"/>
    </row>
    <row r="440" spans="1:10" x14ac:dyDescent="0.25">
      <c r="A440" s="6" t="s">
        <v>170</v>
      </c>
      <c r="B440" t="str" cm="1">
        <f t="array" ref="B440">БУКВЫ(MID($A439,3,11))</f>
        <v>123855177</v>
      </c>
      <c r="C440" s="2"/>
      <c r="D440" s="2"/>
      <c r="E440" t="str">
        <f>_xlfn.LET(_xlpm.Searching,"57",_xlpm.inStr,IFERROR(FIND(_xlpm.Searching,$A443)&gt;=1,FALSE),IF(AND(_xlpm.inStr,LEN(A443)&lt;=6),$A444,""))</f>
        <v/>
      </c>
      <c r="F440" t="str">
        <f>_xlfn.LET(_xlpm.Searching,"59",_xlpm.inStr,IFERROR(FIND(_xlpm.Searching,$A443)&gt;=1,FALSE),IF(AND(_xlpm.inStr,LEN(A443)&lt;=6),$A444,""))</f>
        <v/>
      </c>
      <c r="G440" t="str">
        <f>_xlfn.LET(_xlpm.Searching,"61",_xlpm.inStr,IFERROR(FIND(_xlpm.Searching,$A443)&gt;=1,FALSE),IF(AND(_xlpm.inStr,LEN(A443)&lt;=6),$A444,""))</f>
        <v/>
      </c>
      <c r="H440" t="str">
        <f>_xlfn.LET(_xlpm.Searching,"63",_xlpm.inStr,IFERROR(FIND(_xlpm.Searching,$A443)&gt;=1,FALSE),IF(AND(_xlpm.inStr,LEN(A443)&lt;=6),$A444,""))</f>
        <v/>
      </c>
      <c r="J440" s="6"/>
    </row>
    <row r="441" spans="1:10" x14ac:dyDescent="0.25">
      <c r="A441" s="6" t="s">
        <v>43</v>
      </c>
      <c r="B441" t="str" cm="1">
        <f t="array" ref="B441">БУКВЫ(MID($A439,3,11))</f>
        <v>123855177</v>
      </c>
      <c r="C441" s="2"/>
      <c r="D441" s="2"/>
      <c r="E441" s="2"/>
      <c r="F441" t="str">
        <f>_xlfn.LET(_xlpm.Searching,"59",_xlpm.inStr,IFERROR(FIND(_xlpm.Searching,$A445)&gt;=1,FALSE),IF(AND(_xlpm.inStr,LEN(A445)&lt;=6),$A446,""))</f>
        <v/>
      </c>
      <c r="G441" t="str">
        <f>_xlfn.LET(_xlpm.Searching,"61",_xlpm.inStr,IFERROR(FIND(_xlpm.Searching,$A445)&gt;=1,FALSE),IF(AND(_xlpm.inStr,LEN(A445)&lt;=6),$A446,""))</f>
        <v/>
      </c>
      <c r="H441" t="str">
        <f>_xlfn.LET(_xlpm.Searching,"63",_xlpm.inStr,IFERROR(FIND(_xlpm.Searching,$A445)&gt;=1,FALSE),IF(AND(_xlpm.inStr,LEN(A445)&lt;=6),$A446,""))</f>
        <v/>
      </c>
      <c r="J441" s="6"/>
    </row>
    <row r="442" spans="1:10" x14ac:dyDescent="0.25">
      <c r="A442" s="6">
        <v>2</v>
      </c>
      <c r="B442" t="str" cm="1">
        <f t="array" ref="B442">БУКВЫ(MID($A439,3,11))</f>
        <v>123855177</v>
      </c>
      <c r="C442" s="2"/>
      <c r="D442" s="2"/>
      <c r="E442" s="2"/>
      <c r="F442" s="2"/>
      <c r="G442" t="str">
        <f>_xlfn.LET(_xlpm.Searching,"61",_xlpm.inStr,IFERROR(FIND(_xlpm.Searching,$A447)&gt;=1,FALSE),IF(AND(_xlpm.inStr,LEN(A447)&lt;=6),$A448,""))</f>
        <v/>
      </c>
      <c r="H442" t="str">
        <f>_xlfn.LET(_xlpm.Searching,"63",_xlpm.inStr,IFERROR(FIND(_xlpm.Searching,$A447)&gt;=1,FALSE),IF(AND(_xlpm.inStr,LEN(A447)&lt;=6),$A448,""))</f>
        <v/>
      </c>
      <c r="J442" s="6"/>
    </row>
    <row r="443" spans="1:10" x14ac:dyDescent="0.25">
      <c r="A443" s="6" t="s">
        <v>165</v>
      </c>
      <c r="B443" t="str" cm="1">
        <f t="array" ref="B443">БУКВЫ(MID($A439,3,11))</f>
        <v>123855177</v>
      </c>
      <c r="C443" s="2"/>
      <c r="D443" s="2"/>
      <c r="E443" s="2"/>
      <c r="F443" s="2"/>
      <c r="G443" s="2"/>
      <c r="H443" t="str">
        <f>_xlfn.LET(_xlpm.Searching,"63",_xlpm.inStr,IFERROR(FIND(_xlpm.Searching,$A449)&gt;=1,FALSE),IF(AND(_xlpm.inStr,LEN(A449)&lt;=6),$A450,""))</f>
        <v/>
      </c>
      <c r="J443" s="6"/>
    </row>
    <row r="444" spans="1:10" x14ac:dyDescent="0.25">
      <c r="A444" s="6" t="s">
        <v>171</v>
      </c>
      <c r="B444" s="6"/>
      <c r="C444" s="6"/>
      <c r="D444" s="6"/>
      <c r="E444" s="6"/>
      <c r="F444" s="6"/>
      <c r="G444" s="6"/>
      <c r="H444" s="6"/>
      <c r="I444" s="7"/>
      <c r="J444" s="6"/>
    </row>
    <row r="445" spans="1:10" x14ac:dyDescent="0.25">
      <c r="A445" s="6" t="s">
        <v>172</v>
      </c>
      <c r="B445" s="1" t="s">
        <v>1</v>
      </c>
      <c r="C445" s="1" t="s">
        <v>0</v>
      </c>
      <c r="D445" s="1">
        <v>55</v>
      </c>
      <c r="E445" s="1">
        <v>57</v>
      </c>
      <c r="F445" s="1">
        <v>59</v>
      </c>
      <c r="G445" s="1">
        <v>61</v>
      </c>
      <c r="H445" s="1">
        <v>63</v>
      </c>
      <c r="I445" s="3" t="s">
        <v>2</v>
      </c>
      <c r="J445" s="6"/>
    </row>
    <row r="446" spans="1:10" x14ac:dyDescent="0.25">
      <c r="A446" s="6" t="s">
        <v>173</v>
      </c>
      <c r="B446" t="str" cm="1">
        <f t="array" ref="B446">БУКВЫ(MID($A446,3,11))</f>
        <v>169850977</v>
      </c>
      <c r="C446" t="str">
        <f>_xlfn.LET(_xlpm.Searching,"OSFA",_xlpm.inStr,IFERROR(FIND(_xlpm.Searching,$A448)&gt;=1,FALSE),IF(AND(_xlpm.inStr,LEN(A448)&lt;=6),A449,""))</f>
        <v/>
      </c>
      <c r="D446">
        <f>_xlfn.LET(_xlpm.Searching,"55",_xlpm.inStr,IFERROR(FIND(_xlpm.Searching,$A448)&gt;=1,FALSE),IF(AND(_xlpm.inStr,LEN(A448)&lt;=6),A449,""))</f>
        <v>2</v>
      </c>
      <c r="E446" t="str">
        <f>_xlfn.LET(_xlpm.Searching,"57",_xlpm.inStr,IFERROR(FIND(_xlpm.Searching,$A448)&gt;=1,FALSE),IF(AND(_xlpm.inStr,LEN(A448)&lt;=6),$A449,""))&amp;E447</f>
        <v>5</v>
      </c>
      <c r="F446" t="str">
        <f>_xlfn.LET(_xlpm.Searching,"59",_xlpm.inStr,IFERROR(FIND(_xlpm.Searching,$A448)&gt;=1,FALSE),IF(AND(_xlpm.inStr,LEN(A448)&lt;=6),$A449,""))&amp;F447&amp;F448</f>
        <v>7</v>
      </c>
      <c r="G446" t="str">
        <f>_xlfn.LET(_xlpm.Searching,"61",_xlpm.inStr,IFERROR(FIND(_xlpm.Searching,$A448)&gt;=1,FALSE),IF(AND(_xlpm.inStr,LEN(A448)&lt;=6),$A449,""))&amp;G447&amp;G448&amp;G449</f>
        <v>5</v>
      </c>
      <c r="H446" t="str">
        <f>_xlfn.LET(_xlpm.Searching,"63",_xlpm.inStr,IFERROR(FIND(_xlpm.Searching,$A448)&gt;=1,FALSE),IF(AND(_xlpm.inStr,LEN(A448)&lt;=6),$A449,""))&amp;H447&amp;H448&amp;H449&amp;H450</f>
        <v>2</v>
      </c>
      <c r="I446" s="4">
        <f>MID(TRIM(RIGHT(A446,10)),1,LEN(TRIM(RIGHT(A446,10)))-3)*0.8</f>
        <v>18.32</v>
      </c>
      <c r="J446" s="6"/>
    </row>
    <row r="447" spans="1:10" x14ac:dyDescent="0.25">
      <c r="A447" s="6" t="s">
        <v>174</v>
      </c>
      <c r="B447" t="str" cm="1">
        <f t="array" ref="B447">БУКВЫ(MID($A446,3,11))</f>
        <v>169850977</v>
      </c>
      <c r="C447" s="2"/>
      <c r="D447" s="2"/>
      <c r="E447">
        <f>_xlfn.LET(_xlpm.Searching,"57",_xlpm.inStr,IFERROR(FIND(_xlpm.Searching,$A450)&gt;=1,FALSE),IF(AND(_xlpm.inStr,LEN(A450)&lt;=6),$A451,""))</f>
        <v>5</v>
      </c>
      <c r="F447" t="str">
        <f>_xlfn.LET(_xlpm.Searching,"59",_xlpm.inStr,IFERROR(FIND(_xlpm.Searching,$A450)&gt;=1,FALSE),IF(AND(_xlpm.inStr,LEN(A450)&lt;=6),$A451,""))</f>
        <v/>
      </c>
      <c r="G447" t="str">
        <f>_xlfn.LET(_xlpm.Searching,"61",_xlpm.inStr,IFERROR(FIND(_xlpm.Searching,$A450)&gt;=1,FALSE),IF(AND(_xlpm.inStr,LEN(A450)&lt;=6),$A451,""))</f>
        <v/>
      </c>
      <c r="H447" t="str">
        <f>_xlfn.LET(_xlpm.Searching,"63",_xlpm.inStr,IFERROR(FIND(_xlpm.Searching,$A450)&gt;=1,FALSE),IF(AND(_xlpm.inStr,LEN(A450)&lt;=6),$A451,""))</f>
        <v/>
      </c>
      <c r="J447" s="6"/>
    </row>
    <row r="448" spans="1:10" x14ac:dyDescent="0.25">
      <c r="A448" s="6" t="s">
        <v>42</v>
      </c>
      <c r="B448" t="str" cm="1">
        <f t="array" ref="B448">БУКВЫ(MID($A446,3,11))</f>
        <v>169850977</v>
      </c>
      <c r="C448" s="2"/>
      <c r="D448" s="2"/>
      <c r="E448" s="2"/>
      <c r="F448">
        <f>_xlfn.LET(_xlpm.Searching,"59",_xlpm.inStr,IFERROR(FIND(_xlpm.Searching,$A452)&gt;=1,FALSE),IF(AND(_xlpm.inStr,LEN(A452)&lt;=6),$A453,""))</f>
        <v>7</v>
      </c>
      <c r="G448" t="str">
        <f>_xlfn.LET(_xlpm.Searching,"61",_xlpm.inStr,IFERROR(FIND(_xlpm.Searching,$A452)&gt;=1,FALSE),IF(AND(_xlpm.inStr,LEN(A452)&lt;=6),$A453,""))</f>
        <v/>
      </c>
      <c r="H448" t="str">
        <f>_xlfn.LET(_xlpm.Searching,"63",_xlpm.inStr,IFERROR(FIND(_xlpm.Searching,$A452)&gt;=1,FALSE),IF(AND(_xlpm.inStr,LEN(A452)&lt;=6),$A453,""))</f>
        <v/>
      </c>
      <c r="J448" s="6"/>
    </row>
    <row r="449" spans="1:10" x14ac:dyDescent="0.25">
      <c r="A449" s="6">
        <v>2</v>
      </c>
      <c r="B449" t="str" cm="1">
        <f t="array" ref="B449">БУКВЫ(MID($A446,3,11))</f>
        <v>169850977</v>
      </c>
      <c r="C449" s="2"/>
      <c r="D449" s="2"/>
      <c r="E449" s="2"/>
      <c r="F449" s="2"/>
      <c r="G449">
        <f>_xlfn.LET(_xlpm.Searching,"61",_xlpm.inStr,IFERROR(FIND(_xlpm.Searching,$A454)&gt;=1,FALSE),IF(AND(_xlpm.inStr,LEN(A454)&lt;=6),$A455,""))</f>
        <v>5</v>
      </c>
      <c r="H449" t="str">
        <f>_xlfn.LET(_xlpm.Searching,"63",_xlpm.inStr,IFERROR(FIND(_xlpm.Searching,$A454)&gt;=1,FALSE),IF(AND(_xlpm.inStr,LEN(A454)&lt;=6),$A455,""))</f>
        <v/>
      </c>
      <c r="J449" s="6"/>
    </row>
    <row r="450" spans="1:10" x14ac:dyDescent="0.25">
      <c r="A450" s="6" t="s">
        <v>43</v>
      </c>
      <c r="B450" t="str" cm="1">
        <f t="array" ref="B450">БУКВЫ(MID($A446,3,11))</f>
        <v>169850977</v>
      </c>
      <c r="C450" s="2"/>
      <c r="D450" s="2"/>
      <c r="E450" s="2"/>
      <c r="F450" s="2"/>
      <c r="G450" s="2"/>
      <c r="H450">
        <f>_xlfn.LET(_xlpm.Searching,"63",_xlpm.inStr,IFERROR(FIND(_xlpm.Searching,$A456)&gt;=1,FALSE),IF(AND(_xlpm.inStr,LEN(A456)&lt;=6),$A457,""))</f>
        <v>2</v>
      </c>
      <c r="J450" s="6"/>
    </row>
    <row r="451" spans="1:10" x14ac:dyDescent="0.25">
      <c r="A451" s="6">
        <v>5</v>
      </c>
      <c r="B451" s="6"/>
      <c r="C451" s="6"/>
      <c r="D451" s="6"/>
      <c r="E451" s="6"/>
      <c r="F451" s="6"/>
      <c r="G451" s="6"/>
      <c r="H451" s="6"/>
      <c r="I451" s="7"/>
      <c r="J451" s="6"/>
    </row>
    <row r="452" spans="1:10" x14ac:dyDescent="0.25">
      <c r="A452" s="6" t="s">
        <v>35</v>
      </c>
      <c r="B452" s="6"/>
      <c r="C452" s="6"/>
      <c r="D452" s="6"/>
      <c r="E452" s="6"/>
      <c r="F452" s="6"/>
      <c r="G452" s="6"/>
      <c r="H452" s="6"/>
      <c r="I452" s="7"/>
      <c r="J452" s="6"/>
    </row>
    <row r="453" spans="1:10" x14ac:dyDescent="0.25">
      <c r="A453" s="6">
        <v>7</v>
      </c>
      <c r="B453" s="6"/>
      <c r="C453" s="6"/>
      <c r="D453" s="6"/>
      <c r="E453" s="6"/>
      <c r="F453" s="6"/>
      <c r="G453" s="6"/>
      <c r="H453" s="6"/>
      <c r="I453" s="7"/>
      <c r="J453" s="6"/>
    </row>
    <row r="454" spans="1:10" x14ac:dyDescent="0.25">
      <c r="A454" s="6" t="s">
        <v>36</v>
      </c>
      <c r="B454" s="6"/>
      <c r="C454" s="6"/>
      <c r="D454" s="6"/>
      <c r="E454" s="6"/>
      <c r="F454" s="6"/>
      <c r="G454" s="6"/>
      <c r="H454" s="6"/>
      <c r="I454" s="7"/>
      <c r="J454" s="6"/>
    </row>
    <row r="455" spans="1:10" x14ac:dyDescent="0.25">
      <c r="A455" s="6">
        <v>5</v>
      </c>
      <c r="B455" s="6"/>
      <c r="C455" s="6"/>
      <c r="D455" s="6"/>
      <c r="E455" s="6"/>
      <c r="F455" s="6"/>
      <c r="G455" s="6"/>
      <c r="H455" s="6"/>
      <c r="I455" s="7"/>
      <c r="J455" s="6"/>
    </row>
    <row r="456" spans="1:10" x14ac:dyDescent="0.25">
      <c r="A456" s="6" t="s">
        <v>44</v>
      </c>
      <c r="B456" s="8"/>
      <c r="C456" s="8"/>
      <c r="D456" s="8"/>
      <c r="E456" s="8"/>
      <c r="F456" s="8"/>
      <c r="G456" s="8"/>
      <c r="H456" s="8"/>
      <c r="I456" s="9"/>
      <c r="J456" s="6"/>
    </row>
    <row r="457" spans="1:10" x14ac:dyDescent="0.25">
      <c r="A457" s="6">
        <v>2</v>
      </c>
      <c r="B457" s="6"/>
      <c r="C457" s="6"/>
      <c r="D457" s="6"/>
      <c r="E457" s="6"/>
      <c r="F457" s="6"/>
      <c r="G457" s="6"/>
      <c r="H457" s="6"/>
      <c r="I457" s="7"/>
      <c r="J457" s="6"/>
    </row>
    <row r="458" spans="1:10" x14ac:dyDescent="0.25">
      <c r="A458" s="6" t="s">
        <v>175</v>
      </c>
      <c r="B458" s="6"/>
      <c r="C458" s="6"/>
      <c r="D458" s="6"/>
      <c r="E458" s="6"/>
      <c r="F458" s="6"/>
      <c r="G458" s="6"/>
      <c r="H458" s="6"/>
      <c r="I458" s="7"/>
      <c r="J458" s="6"/>
    </row>
    <row r="459" spans="1:10" x14ac:dyDescent="0.25">
      <c r="A459" s="6" t="s">
        <v>176</v>
      </c>
      <c r="B459" s="6"/>
      <c r="C459" s="6"/>
      <c r="D459" s="6"/>
      <c r="E459" s="6"/>
      <c r="F459" s="6"/>
      <c r="G459" s="6"/>
      <c r="H459" s="6"/>
      <c r="I459" s="7"/>
      <c r="J459" s="6"/>
    </row>
    <row r="460" spans="1:10" x14ac:dyDescent="0.25">
      <c r="A460" s="6" t="s">
        <v>177</v>
      </c>
      <c r="B460" s="1" t="s">
        <v>1</v>
      </c>
      <c r="C460" s="1" t="s">
        <v>0</v>
      </c>
      <c r="D460" s="1">
        <v>55</v>
      </c>
      <c r="E460" s="1">
        <v>57</v>
      </c>
      <c r="F460" s="1">
        <v>59</v>
      </c>
      <c r="G460" s="1">
        <v>61</v>
      </c>
      <c r="H460" s="1">
        <v>63</v>
      </c>
      <c r="I460" s="3" t="s">
        <v>2</v>
      </c>
      <c r="J460" s="6"/>
    </row>
    <row r="461" spans="1:10" x14ac:dyDescent="0.25">
      <c r="A461" s="6" t="s">
        <v>178</v>
      </c>
      <c r="B461" t="str" cm="1">
        <f t="array" ref="B461">БУКВЫ(MID($A461,3,11))</f>
        <v>169850967</v>
      </c>
      <c r="C461" t="str">
        <f>_xlfn.LET(_xlpm.Searching,"OSFA",_xlpm.inStr,IFERROR(FIND(_xlpm.Searching,$A463)&gt;=1,FALSE),IF(AND(_xlpm.inStr,LEN(A463)&lt;=6),A464,""))</f>
        <v/>
      </c>
      <c r="D461">
        <f>_xlfn.LET(_xlpm.Searching,"55",_xlpm.inStr,IFERROR(FIND(_xlpm.Searching,$A463)&gt;=1,FALSE),IF(AND(_xlpm.inStr,LEN(A463)&lt;=6),A464,""))</f>
        <v>2</v>
      </c>
      <c r="E461" t="str">
        <f>_xlfn.LET(_xlpm.Searching,"57",_xlpm.inStr,IFERROR(FIND(_xlpm.Searching,$A463)&gt;=1,FALSE),IF(AND(_xlpm.inStr,LEN(A463)&lt;=6),$A464,""))&amp;E462</f>
        <v>5</v>
      </c>
      <c r="F461" t="str">
        <f>_xlfn.LET(_xlpm.Searching,"59",_xlpm.inStr,IFERROR(FIND(_xlpm.Searching,$A463)&gt;=1,FALSE),IF(AND(_xlpm.inStr,LEN(A463)&lt;=6),$A464,""))&amp;F462&amp;F463</f>
        <v>7</v>
      </c>
      <c r="G461" t="str">
        <f>_xlfn.LET(_xlpm.Searching,"61",_xlpm.inStr,IFERROR(FIND(_xlpm.Searching,$A463)&gt;=1,FALSE),IF(AND(_xlpm.inStr,LEN(A463)&lt;=6),$A464,""))&amp;G462&amp;G463&amp;G464</f>
        <v>5</v>
      </c>
      <c r="H461" t="str">
        <f>_xlfn.LET(_xlpm.Searching,"63",_xlpm.inStr,IFERROR(FIND(_xlpm.Searching,$A463)&gt;=1,FALSE),IF(AND(_xlpm.inStr,LEN(A463)&lt;=6),$A464,""))&amp;H462&amp;H463&amp;H464&amp;H465</f>
        <v>2</v>
      </c>
      <c r="I461" s="4">
        <f>MID(TRIM(RIGHT(A461,10)),1,LEN(TRIM(RIGHT(A461,10)))-3)*0.8</f>
        <v>18.32</v>
      </c>
      <c r="J461" s="6"/>
    </row>
    <row r="462" spans="1:10" x14ac:dyDescent="0.25">
      <c r="A462" s="6" t="s">
        <v>174</v>
      </c>
      <c r="B462" t="str" cm="1">
        <f t="array" ref="B462">БУКВЫ(MID($A461,3,11))</f>
        <v>169850967</v>
      </c>
      <c r="C462" s="2"/>
      <c r="D462" s="2"/>
      <c r="E462">
        <f>_xlfn.LET(_xlpm.Searching,"57",_xlpm.inStr,IFERROR(FIND(_xlpm.Searching,$A465)&gt;=1,FALSE),IF(AND(_xlpm.inStr,LEN(A465)&lt;=6),$A466,""))</f>
        <v>5</v>
      </c>
      <c r="F462" t="str">
        <f>_xlfn.LET(_xlpm.Searching,"59",_xlpm.inStr,IFERROR(FIND(_xlpm.Searching,$A465)&gt;=1,FALSE),IF(AND(_xlpm.inStr,LEN(A465)&lt;=6),$A466,""))</f>
        <v/>
      </c>
      <c r="G462" t="str">
        <f>_xlfn.LET(_xlpm.Searching,"61",_xlpm.inStr,IFERROR(FIND(_xlpm.Searching,$A465)&gt;=1,FALSE),IF(AND(_xlpm.inStr,LEN(A465)&lt;=6),$A466,""))</f>
        <v/>
      </c>
      <c r="H462" t="str">
        <f>_xlfn.LET(_xlpm.Searching,"63",_xlpm.inStr,IFERROR(FIND(_xlpm.Searching,$A465)&gt;=1,FALSE),IF(AND(_xlpm.inStr,LEN(A465)&lt;=6),$A466,""))</f>
        <v/>
      </c>
      <c r="J462" s="6"/>
    </row>
    <row r="463" spans="1:10" x14ac:dyDescent="0.25">
      <c r="A463" s="6" t="s">
        <v>42</v>
      </c>
      <c r="B463" t="str" cm="1">
        <f t="array" ref="B463">БУКВЫ(MID($A461,3,11))</f>
        <v>169850967</v>
      </c>
      <c r="C463" s="2"/>
      <c r="D463" s="2"/>
      <c r="E463" s="2"/>
      <c r="F463">
        <f>_xlfn.LET(_xlpm.Searching,"59",_xlpm.inStr,IFERROR(FIND(_xlpm.Searching,$A467)&gt;=1,FALSE),IF(AND(_xlpm.inStr,LEN(A467)&lt;=6),$A468,""))</f>
        <v>7</v>
      </c>
      <c r="G463" t="str">
        <f>_xlfn.LET(_xlpm.Searching,"61",_xlpm.inStr,IFERROR(FIND(_xlpm.Searching,$A467)&gt;=1,FALSE),IF(AND(_xlpm.inStr,LEN(A467)&lt;=6),$A468,""))</f>
        <v/>
      </c>
      <c r="H463" t="str">
        <f>_xlfn.LET(_xlpm.Searching,"63",_xlpm.inStr,IFERROR(FIND(_xlpm.Searching,$A467)&gt;=1,FALSE),IF(AND(_xlpm.inStr,LEN(A467)&lt;=6),$A468,""))</f>
        <v/>
      </c>
      <c r="J463" s="6"/>
    </row>
    <row r="464" spans="1:10" x14ac:dyDescent="0.25">
      <c r="A464" s="6">
        <v>2</v>
      </c>
      <c r="B464" t="str" cm="1">
        <f t="array" ref="B464">БУКВЫ(MID($A461,3,11))</f>
        <v>169850967</v>
      </c>
      <c r="C464" s="2"/>
      <c r="D464" s="2"/>
      <c r="E464" s="2"/>
      <c r="F464" s="2"/>
      <c r="G464">
        <f>_xlfn.LET(_xlpm.Searching,"61",_xlpm.inStr,IFERROR(FIND(_xlpm.Searching,$A469)&gt;=1,FALSE),IF(AND(_xlpm.inStr,LEN(A469)&lt;=6),$A470,""))</f>
        <v>5</v>
      </c>
      <c r="H464" t="str">
        <f>_xlfn.LET(_xlpm.Searching,"63",_xlpm.inStr,IFERROR(FIND(_xlpm.Searching,$A469)&gt;=1,FALSE),IF(AND(_xlpm.inStr,LEN(A469)&lt;=6),$A470,""))</f>
        <v/>
      </c>
      <c r="J464" s="6"/>
    </row>
    <row r="465" spans="1:10" x14ac:dyDescent="0.25">
      <c r="A465" s="6" t="s">
        <v>43</v>
      </c>
      <c r="B465" t="str" cm="1">
        <f t="array" ref="B465">БУКВЫ(MID($A461,3,11))</f>
        <v>169850967</v>
      </c>
      <c r="C465" s="2"/>
      <c r="D465" s="2"/>
      <c r="E465" s="2"/>
      <c r="F465" s="2"/>
      <c r="G465" s="2"/>
      <c r="H465">
        <f>_xlfn.LET(_xlpm.Searching,"63",_xlpm.inStr,IFERROR(FIND(_xlpm.Searching,$A471)&gt;=1,FALSE),IF(AND(_xlpm.inStr,LEN(A471)&lt;=6),$A472,""))</f>
        <v>2</v>
      </c>
      <c r="J465" s="6"/>
    </row>
    <row r="466" spans="1:10" x14ac:dyDescent="0.25">
      <c r="A466" s="6">
        <v>5</v>
      </c>
      <c r="B466" s="6"/>
      <c r="C466" s="6"/>
      <c r="D466" s="6"/>
      <c r="E466" s="6"/>
      <c r="F466" s="6"/>
      <c r="G466" s="6"/>
      <c r="H466" s="6"/>
      <c r="I466" s="7"/>
      <c r="J466" s="6"/>
    </row>
    <row r="467" spans="1:10" x14ac:dyDescent="0.25">
      <c r="A467" s="6" t="s">
        <v>35</v>
      </c>
      <c r="B467" s="8"/>
      <c r="C467" s="8"/>
      <c r="D467" s="8"/>
      <c r="E467" s="8"/>
      <c r="F467" s="8"/>
      <c r="G467" s="8"/>
      <c r="H467" s="8"/>
      <c r="I467" s="9"/>
      <c r="J467" s="6"/>
    </row>
    <row r="468" spans="1:10" x14ac:dyDescent="0.25">
      <c r="A468" s="6">
        <v>7</v>
      </c>
      <c r="B468" s="6"/>
      <c r="C468" s="6"/>
      <c r="D468" s="6"/>
      <c r="E468" s="6"/>
      <c r="F468" s="6"/>
      <c r="G468" s="6"/>
      <c r="H468" s="6"/>
      <c r="I468" s="7"/>
      <c r="J468" s="6"/>
    </row>
    <row r="469" spans="1:10" x14ac:dyDescent="0.25">
      <c r="A469" s="6" t="s">
        <v>36</v>
      </c>
      <c r="B469" s="6"/>
      <c r="C469" s="6"/>
      <c r="D469" s="6"/>
      <c r="E469" s="6"/>
      <c r="F469" s="6"/>
      <c r="G469" s="6"/>
      <c r="H469" s="6"/>
      <c r="I469" s="7"/>
      <c r="J469" s="6"/>
    </row>
    <row r="470" spans="1:10" x14ac:dyDescent="0.25">
      <c r="A470" s="6">
        <v>5</v>
      </c>
      <c r="B470" s="6"/>
      <c r="C470" s="6"/>
      <c r="D470" s="6"/>
      <c r="E470" s="6"/>
      <c r="F470" s="6"/>
      <c r="G470" s="6"/>
      <c r="H470" s="6"/>
      <c r="I470" s="7"/>
      <c r="J470" s="6"/>
    </row>
    <row r="471" spans="1:10" x14ac:dyDescent="0.25">
      <c r="A471" s="6" t="s">
        <v>44</v>
      </c>
      <c r="B471" s="6"/>
      <c r="C471" s="6"/>
      <c r="D471" s="6"/>
      <c r="E471" s="6"/>
      <c r="F471" s="6"/>
      <c r="G471" s="6"/>
      <c r="H471" s="6"/>
      <c r="I471" s="7"/>
      <c r="J471" s="6"/>
    </row>
    <row r="472" spans="1:10" x14ac:dyDescent="0.25">
      <c r="A472" s="6">
        <v>2</v>
      </c>
      <c r="B472" s="6"/>
      <c r="C472" s="6"/>
      <c r="D472" s="6"/>
      <c r="E472" s="6"/>
      <c r="F472" s="6"/>
      <c r="G472" s="6"/>
      <c r="H472" s="6"/>
      <c r="I472" s="7"/>
      <c r="J472" s="6"/>
    </row>
    <row r="473" spans="1:10" x14ac:dyDescent="0.25">
      <c r="A473" s="6" t="s">
        <v>175</v>
      </c>
      <c r="B473" s="6"/>
      <c r="C473" s="6"/>
      <c r="D473" s="6"/>
      <c r="E473" s="6"/>
      <c r="F473" s="6"/>
      <c r="G473" s="6"/>
      <c r="H473" s="6"/>
      <c r="I473" s="7"/>
      <c r="J473" s="6"/>
    </row>
    <row r="474" spans="1:10" x14ac:dyDescent="0.25">
      <c r="A474" s="6" t="s">
        <v>176</v>
      </c>
      <c r="B474" s="8"/>
      <c r="C474" s="8"/>
      <c r="D474" s="8"/>
      <c r="E474" s="8"/>
      <c r="F474" s="8"/>
      <c r="G474" s="8"/>
      <c r="H474" s="8"/>
      <c r="I474" s="9"/>
      <c r="J474" s="6"/>
    </row>
    <row r="475" spans="1:10" x14ac:dyDescent="0.25">
      <c r="A475" s="6" t="s">
        <v>177</v>
      </c>
      <c r="B475" s="1" t="s">
        <v>1</v>
      </c>
      <c r="C475" s="1" t="s">
        <v>0</v>
      </c>
      <c r="D475" s="1">
        <v>55</v>
      </c>
      <c r="E475" s="1">
        <v>57</v>
      </c>
      <c r="F475" s="1">
        <v>59</v>
      </c>
      <c r="G475" s="1">
        <v>61</v>
      </c>
      <c r="H475" s="1">
        <v>63</v>
      </c>
      <c r="I475" s="3" t="s">
        <v>2</v>
      </c>
      <c r="J475" s="6"/>
    </row>
    <row r="476" spans="1:10" x14ac:dyDescent="0.25">
      <c r="A476" s="6" t="s">
        <v>179</v>
      </c>
      <c r="B476" t="str" cm="1">
        <f t="array" ref="B476">БУКВЫ(MID($A476,3,11))</f>
        <v>293851067</v>
      </c>
      <c r="C476" t="str">
        <f>_xlfn.LET(_xlpm.Searching,"OSFA",_xlpm.inStr,IFERROR(FIND(_xlpm.Searching,$A478)&gt;=1,FALSE),IF(AND(_xlpm.inStr,LEN(A478)&lt;=6),A479,""))</f>
        <v/>
      </c>
      <c r="D476">
        <f>_xlfn.LET(_xlpm.Searching,"55",_xlpm.inStr,IFERROR(FIND(_xlpm.Searching,$A478)&gt;=1,FALSE),IF(AND(_xlpm.inStr,LEN(A478)&lt;=6),A479,""))</f>
        <v>1</v>
      </c>
      <c r="E476" t="str">
        <f>_xlfn.LET(_xlpm.Searching,"57",_xlpm.inStr,IFERROR(FIND(_xlpm.Searching,$A478)&gt;=1,FALSE),IF(AND(_xlpm.inStr,LEN(A478)&lt;=6),$A479,""))&amp;E477</f>
        <v>4</v>
      </c>
      <c r="F476" t="str">
        <f>_xlfn.LET(_xlpm.Searching,"59",_xlpm.inStr,IFERROR(FIND(_xlpm.Searching,$A478)&gt;=1,FALSE),IF(AND(_xlpm.inStr,LEN(A478)&lt;=6),$A479,""))&amp;F477&amp;F478</f>
        <v>6</v>
      </c>
      <c r="G476" t="str">
        <f>_xlfn.LET(_xlpm.Searching,"61",_xlpm.inStr,IFERROR(FIND(_xlpm.Searching,$A478)&gt;=1,FALSE),IF(AND(_xlpm.inStr,LEN(A478)&lt;=6),$A479,""))&amp;G477&amp;G478&amp;G479</f>
        <v>4</v>
      </c>
      <c r="H476" t="str">
        <f>_xlfn.LET(_xlpm.Searching,"63",_xlpm.inStr,IFERROR(FIND(_xlpm.Searching,$A478)&gt;=1,FALSE),IF(AND(_xlpm.inStr,LEN(A478)&lt;=6),$A479,""))&amp;H477&amp;H478&amp;H479&amp;H480</f>
        <v>1</v>
      </c>
      <c r="I476" s="4">
        <f>MID(TRIM(RIGHT(A476,10)),1,LEN(TRIM(RIGHT(A476,10)))-3)*0.8</f>
        <v>30.32</v>
      </c>
      <c r="J476" s="6"/>
    </row>
    <row r="477" spans="1:10" x14ac:dyDescent="0.25">
      <c r="A477" s="6" t="s">
        <v>180</v>
      </c>
      <c r="B477" t="str" cm="1">
        <f t="array" ref="B477">БУКВЫ(MID($A476,3,11))</f>
        <v>293851067</v>
      </c>
      <c r="C477" s="2"/>
      <c r="D477" s="2"/>
      <c r="E477">
        <f>_xlfn.LET(_xlpm.Searching,"57",_xlpm.inStr,IFERROR(FIND(_xlpm.Searching,$A480)&gt;=1,FALSE),IF(AND(_xlpm.inStr,LEN(A480)&lt;=6),$A481,""))</f>
        <v>4</v>
      </c>
      <c r="F477" t="str">
        <f>_xlfn.LET(_xlpm.Searching,"59",_xlpm.inStr,IFERROR(FIND(_xlpm.Searching,$A480)&gt;=1,FALSE),IF(AND(_xlpm.inStr,LEN(A480)&lt;=6),$A481,""))</f>
        <v/>
      </c>
      <c r="G477" t="str">
        <f>_xlfn.LET(_xlpm.Searching,"61",_xlpm.inStr,IFERROR(FIND(_xlpm.Searching,$A480)&gt;=1,FALSE),IF(AND(_xlpm.inStr,LEN(A480)&lt;=6),$A481,""))</f>
        <v/>
      </c>
      <c r="H477" t="str">
        <f>_xlfn.LET(_xlpm.Searching,"63",_xlpm.inStr,IFERROR(FIND(_xlpm.Searching,$A480)&gt;=1,FALSE),IF(AND(_xlpm.inStr,LEN(A480)&lt;=6),$A481,""))</f>
        <v/>
      </c>
      <c r="J477" s="6"/>
    </row>
    <row r="478" spans="1:10" x14ac:dyDescent="0.25">
      <c r="A478" s="6" t="s">
        <v>42</v>
      </c>
      <c r="B478" t="str" cm="1">
        <f t="array" ref="B478">БУКВЫ(MID($A476,3,11))</f>
        <v>293851067</v>
      </c>
      <c r="C478" s="2"/>
      <c r="D478" s="2"/>
      <c r="E478" s="2"/>
      <c r="F478">
        <f>_xlfn.LET(_xlpm.Searching,"59",_xlpm.inStr,IFERROR(FIND(_xlpm.Searching,$A482)&gt;=1,FALSE),IF(AND(_xlpm.inStr,LEN(A482)&lt;=6),$A483,""))</f>
        <v>6</v>
      </c>
      <c r="G478" t="str">
        <f>_xlfn.LET(_xlpm.Searching,"61",_xlpm.inStr,IFERROR(FIND(_xlpm.Searching,$A482)&gt;=1,FALSE),IF(AND(_xlpm.inStr,LEN(A482)&lt;=6),$A483,""))</f>
        <v/>
      </c>
      <c r="H478" t="str">
        <f>_xlfn.LET(_xlpm.Searching,"63",_xlpm.inStr,IFERROR(FIND(_xlpm.Searching,$A482)&gt;=1,FALSE),IF(AND(_xlpm.inStr,LEN(A482)&lt;=6),$A483,""))</f>
        <v/>
      </c>
      <c r="J478" s="6"/>
    </row>
    <row r="479" spans="1:10" x14ac:dyDescent="0.25">
      <c r="A479" s="6">
        <v>1</v>
      </c>
      <c r="B479" t="str" cm="1">
        <f t="array" ref="B479">БУКВЫ(MID($A476,3,11))</f>
        <v>293851067</v>
      </c>
      <c r="C479" s="2"/>
      <c r="D479" s="2"/>
      <c r="E479" s="2"/>
      <c r="F479" s="2"/>
      <c r="G479">
        <f>_xlfn.LET(_xlpm.Searching,"61",_xlpm.inStr,IFERROR(FIND(_xlpm.Searching,$A484)&gt;=1,FALSE),IF(AND(_xlpm.inStr,LEN(A484)&lt;=6),$A485,""))</f>
        <v>4</v>
      </c>
      <c r="H479" t="str">
        <f>_xlfn.LET(_xlpm.Searching,"63",_xlpm.inStr,IFERROR(FIND(_xlpm.Searching,$A484)&gt;=1,FALSE),IF(AND(_xlpm.inStr,LEN(A484)&lt;=6),$A485,""))</f>
        <v/>
      </c>
      <c r="J479" s="6"/>
    </row>
    <row r="480" spans="1:10" x14ac:dyDescent="0.25">
      <c r="A480" s="6" t="s">
        <v>43</v>
      </c>
      <c r="B480" t="str" cm="1">
        <f t="array" ref="B480">БУКВЫ(MID($A476,3,11))</f>
        <v>293851067</v>
      </c>
      <c r="C480" s="2"/>
      <c r="D480" s="2"/>
      <c r="E480" s="2"/>
      <c r="F480" s="2"/>
      <c r="G480" s="2"/>
      <c r="H480">
        <f>_xlfn.LET(_xlpm.Searching,"63",_xlpm.inStr,IFERROR(FIND(_xlpm.Searching,$A486)&gt;=1,FALSE),IF(AND(_xlpm.inStr,LEN(A486)&lt;=6),$A487,""))</f>
        <v>1</v>
      </c>
      <c r="J480" s="6"/>
    </row>
    <row r="481" spans="1:10" x14ac:dyDescent="0.25">
      <c r="A481" s="6">
        <v>4</v>
      </c>
      <c r="B481" s="8"/>
      <c r="C481" s="8"/>
      <c r="D481" s="8"/>
      <c r="E481" s="8"/>
      <c r="F481" s="8"/>
      <c r="G481" s="8"/>
      <c r="H481" s="8"/>
      <c r="I481" s="9"/>
      <c r="J481" s="6"/>
    </row>
    <row r="482" spans="1:10" x14ac:dyDescent="0.25">
      <c r="A482" s="6" t="s">
        <v>35</v>
      </c>
      <c r="B482" s="6"/>
      <c r="C482" s="6"/>
      <c r="D482" s="6"/>
      <c r="E482" s="6"/>
      <c r="F482" s="6"/>
      <c r="G482" s="6"/>
      <c r="H482" s="6"/>
      <c r="I482" s="7"/>
      <c r="J482" s="6"/>
    </row>
    <row r="483" spans="1:10" x14ac:dyDescent="0.25">
      <c r="A483" s="6">
        <v>6</v>
      </c>
      <c r="B483" s="6"/>
      <c r="C483" s="6"/>
      <c r="D483" s="6"/>
      <c r="E483" s="6"/>
      <c r="F483" s="6"/>
      <c r="G483" s="6"/>
      <c r="H483" s="6"/>
      <c r="I483" s="7"/>
      <c r="J483" s="6"/>
    </row>
    <row r="484" spans="1:10" x14ac:dyDescent="0.25">
      <c r="A484" s="6" t="s">
        <v>36</v>
      </c>
      <c r="B484" s="6"/>
      <c r="C484" s="6"/>
      <c r="D484" s="6"/>
      <c r="E484" s="6"/>
      <c r="F484" s="6"/>
      <c r="G484" s="6"/>
      <c r="H484" s="6"/>
      <c r="I484" s="7"/>
      <c r="J484" s="6"/>
    </row>
    <row r="485" spans="1:10" x14ac:dyDescent="0.25">
      <c r="A485" s="6">
        <v>4</v>
      </c>
      <c r="B485" s="6"/>
      <c r="C485" s="6"/>
      <c r="D485" s="6"/>
      <c r="E485" s="6"/>
      <c r="F485" s="6"/>
      <c r="G485" s="6"/>
      <c r="H485" s="6"/>
      <c r="I485" s="7"/>
      <c r="J485" s="6"/>
    </row>
    <row r="486" spans="1:10" x14ac:dyDescent="0.25">
      <c r="A486" s="6" t="s">
        <v>44</v>
      </c>
      <c r="B486" s="6"/>
      <c r="C486" s="6"/>
      <c r="D486" s="6"/>
      <c r="E486" s="6"/>
      <c r="F486" s="6"/>
      <c r="G486" s="6"/>
      <c r="H486" s="6"/>
      <c r="I486" s="7"/>
      <c r="J486" s="6"/>
    </row>
    <row r="487" spans="1:10" x14ac:dyDescent="0.25">
      <c r="A487" s="6">
        <v>1</v>
      </c>
      <c r="B487" s="6"/>
      <c r="C487" s="6"/>
      <c r="D487" s="6"/>
      <c r="E487" s="6"/>
      <c r="F487" s="6"/>
      <c r="G487" s="6"/>
      <c r="H487" s="6"/>
      <c r="I487" s="7"/>
      <c r="J487" s="6"/>
    </row>
    <row r="488" spans="1:10" x14ac:dyDescent="0.25">
      <c r="A488" s="6" t="s">
        <v>181</v>
      </c>
      <c r="B488" s="8"/>
      <c r="C488" s="8"/>
      <c r="D488" s="8"/>
      <c r="E488" s="8"/>
      <c r="F488" s="8"/>
      <c r="G488" s="8"/>
      <c r="H488" s="8"/>
      <c r="I488" s="9"/>
      <c r="J488" s="6"/>
    </row>
    <row r="489" spans="1:10" x14ac:dyDescent="0.25">
      <c r="A489" s="6" t="s">
        <v>182</v>
      </c>
      <c r="B489" s="6"/>
      <c r="C489" s="6"/>
      <c r="D489" s="6"/>
      <c r="E489" s="6"/>
      <c r="F489" s="6"/>
      <c r="G489" s="6"/>
      <c r="H489" s="6"/>
      <c r="I489" s="7"/>
      <c r="J489" s="6"/>
    </row>
    <row r="490" spans="1:10" x14ac:dyDescent="0.25">
      <c r="A490" s="6" t="s">
        <v>183</v>
      </c>
      <c r="B490" s="1" t="s">
        <v>1</v>
      </c>
      <c r="C490" s="1" t="s">
        <v>0</v>
      </c>
      <c r="D490" s="1">
        <v>55</v>
      </c>
      <c r="E490" s="1">
        <v>57</v>
      </c>
      <c r="F490" s="1">
        <v>59</v>
      </c>
      <c r="G490" s="1">
        <v>61</v>
      </c>
      <c r="H490" s="1">
        <v>63</v>
      </c>
      <c r="I490" s="3" t="s">
        <v>2</v>
      </c>
      <c r="J490" s="6"/>
    </row>
    <row r="491" spans="1:10" x14ac:dyDescent="0.25">
      <c r="A491" s="6" t="s">
        <v>184</v>
      </c>
      <c r="B491" t="str" cm="1">
        <f t="array" ref="B491">БУКВЫ(MID($A491,3,11))</f>
        <v>29285017</v>
      </c>
      <c r="C491">
        <f>_xlfn.LET(_xlpm.Searching,"OSFA",_xlpm.inStr,IFERROR(FIND(_xlpm.Searching,$A493)&gt;=1,FALSE),IF(AND(_xlpm.inStr,LEN(A493)&lt;=6),A494,""))</f>
        <v>6</v>
      </c>
      <c r="D491" t="str">
        <f>_xlfn.LET(_xlpm.Searching,"55",_xlpm.inStr,IFERROR(FIND(_xlpm.Searching,$A493)&gt;=1,FALSE),IF(AND(_xlpm.inStr,LEN(A493)&lt;=6),A494,""))</f>
        <v/>
      </c>
      <c r="E491" t="str">
        <f>_xlfn.LET(_xlpm.Searching,"57",_xlpm.inStr,IFERROR(FIND(_xlpm.Searching,$A493)&gt;=1,FALSE),IF(AND(_xlpm.inStr,LEN(A493)&lt;=6),$A494,""))&amp;E492</f>
        <v/>
      </c>
      <c r="F491" t="str">
        <f>_xlfn.LET(_xlpm.Searching,"59",_xlpm.inStr,IFERROR(FIND(_xlpm.Searching,$A493)&gt;=1,FALSE),IF(AND(_xlpm.inStr,LEN(A493)&lt;=6),$A494,""))&amp;F492&amp;F493</f>
        <v/>
      </c>
      <c r="G491" t="str">
        <f>_xlfn.LET(_xlpm.Searching,"61",_xlpm.inStr,IFERROR(FIND(_xlpm.Searching,$A493)&gt;=1,FALSE),IF(AND(_xlpm.inStr,LEN(A493)&lt;=6),$A494,""))&amp;G492&amp;G493&amp;G494</f>
        <v/>
      </c>
      <c r="H491" t="str">
        <f>_xlfn.LET(_xlpm.Searching,"63",_xlpm.inStr,IFERROR(FIND(_xlpm.Searching,$A493)&gt;=1,FALSE),IF(AND(_xlpm.inStr,LEN(A493)&lt;=6),$A494,""))&amp;H492&amp;H493&amp;H494&amp;H495</f>
        <v/>
      </c>
      <c r="I491" s="4">
        <f>MID(TRIM(RIGHT(A491,10)),1,LEN(TRIM(RIGHT(A491,10)))-3)*0.8</f>
        <v>23.92</v>
      </c>
      <c r="J491" s="6"/>
    </row>
    <row r="492" spans="1:10" x14ac:dyDescent="0.25">
      <c r="A492" s="6" t="s">
        <v>185</v>
      </c>
      <c r="B492" t="str" cm="1">
        <f t="array" ref="B492">БУКВЫ(MID($A491,3,11))</f>
        <v>29285017</v>
      </c>
      <c r="C492" s="2"/>
      <c r="D492" s="2"/>
      <c r="E492" t="str">
        <f>_xlfn.LET(_xlpm.Searching,"57",_xlpm.inStr,IFERROR(FIND(_xlpm.Searching,$A495)&gt;=1,FALSE),IF(AND(_xlpm.inStr,LEN(A495)&lt;=6),$A496,""))</f>
        <v/>
      </c>
      <c r="F492" t="str">
        <f>_xlfn.LET(_xlpm.Searching,"59",_xlpm.inStr,IFERROR(FIND(_xlpm.Searching,$A495)&gt;=1,FALSE),IF(AND(_xlpm.inStr,LEN(A495)&lt;=6),$A496,""))</f>
        <v/>
      </c>
      <c r="G492" t="str">
        <f>_xlfn.LET(_xlpm.Searching,"61",_xlpm.inStr,IFERROR(FIND(_xlpm.Searching,$A495)&gt;=1,FALSE),IF(AND(_xlpm.inStr,LEN(A495)&lt;=6),$A496,""))</f>
        <v/>
      </c>
      <c r="H492" t="str">
        <f>_xlfn.LET(_xlpm.Searching,"63",_xlpm.inStr,IFERROR(FIND(_xlpm.Searching,$A495)&gt;=1,FALSE),IF(AND(_xlpm.inStr,LEN(A495)&lt;=6),$A496,""))</f>
        <v/>
      </c>
      <c r="J492" s="6"/>
    </row>
    <row r="493" spans="1:10" x14ac:dyDescent="0.25">
      <c r="A493" s="6" t="s">
        <v>0</v>
      </c>
      <c r="B493" t="str" cm="1">
        <f t="array" ref="B493">БУКВЫ(MID($A491,3,11))</f>
        <v>29285017</v>
      </c>
      <c r="C493" s="2"/>
      <c r="D493" s="2"/>
      <c r="E493" s="2"/>
      <c r="F493" t="str">
        <f>_xlfn.LET(_xlpm.Searching,"59",_xlpm.inStr,IFERROR(FIND(_xlpm.Searching,$A497)&gt;=1,FALSE),IF(AND(_xlpm.inStr,LEN(A497)&lt;=6),$A498,""))</f>
        <v/>
      </c>
      <c r="G493" t="str">
        <f>_xlfn.LET(_xlpm.Searching,"61",_xlpm.inStr,IFERROR(FIND(_xlpm.Searching,$A497)&gt;=1,FALSE),IF(AND(_xlpm.inStr,LEN(A497)&lt;=6),$A498,""))</f>
        <v/>
      </c>
      <c r="H493" t="str">
        <f>_xlfn.LET(_xlpm.Searching,"63",_xlpm.inStr,IFERROR(FIND(_xlpm.Searching,$A497)&gt;=1,FALSE),IF(AND(_xlpm.inStr,LEN(A497)&lt;=6),$A498,""))</f>
        <v/>
      </c>
      <c r="J493" s="6"/>
    </row>
    <row r="494" spans="1:10" x14ac:dyDescent="0.25">
      <c r="A494" s="6">
        <v>6</v>
      </c>
      <c r="B494" t="str" cm="1">
        <f t="array" ref="B494">БУКВЫ(MID($A491,3,11))</f>
        <v>29285017</v>
      </c>
      <c r="C494" s="2"/>
      <c r="D494" s="2"/>
      <c r="E494" s="2"/>
      <c r="F494" s="2"/>
      <c r="G494" t="str">
        <f>_xlfn.LET(_xlpm.Searching,"61",_xlpm.inStr,IFERROR(FIND(_xlpm.Searching,$A499)&gt;=1,FALSE),IF(AND(_xlpm.inStr,LEN(A499)&lt;=6),$A500,""))</f>
        <v/>
      </c>
      <c r="H494" t="str">
        <f>_xlfn.LET(_xlpm.Searching,"63",_xlpm.inStr,IFERROR(FIND(_xlpm.Searching,$A499)&gt;=1,FALSE),IF(AND(_xlpm.inStr,LEN(A499)&lt;=6),$A500,""))</f>
        <v/>
      </c>
      <c r="J494" s="6"/>
    </row>
    <row r="495" spans="1:10" x14ac:dyDescent="0.25">
      <c r="A495" s="6" t="s">
        <v>186</v>
      </c>
      <c r="B495" t="str" cm="1">
        <f t="array" ref="B495">БУКВЫ(MID($A491,3,11))</f>
        <v>29285017</v>
      </c>
      <c r="C495" s="2"/>
      <c r="D495" s="2"/>
      <c r="E495" s="2"/>
      <c r="F495" s="2"/>
      <c r="G495" s="2"/>
      <c r="H495" t="str">
        <f>_xlfn.LET(_xlpm.Searching,"63",_xlpm.inStr,IFERROR(FIND(_xlpm.Searching,$A501)&gt;=1,FALSE),IF(AND(_xlpm.inStr,LEN(A501)&lt;=6),$A502,""))</f>
        <v/>
      </c>
      <c r="J495" s="6"/>
    </row>
    <row r="496" spans="1:10" x14ac:dyDescent="0.25">
      <c r="A496" s="6" t="s">
        <v>187</v>
      </c>
      <c r="B496" s="6"/>
      <c r="C496" s="6"/>
      <c r="D496" s="6"/>
      <c r="E496" s="6"/>
      <c r="F496" s="6"/>
      <c r="G496" s="6"/>
      <c r="H496" s="6"/>
      <c r="I496" s="7"/>
      <c r="J496" s="6"/>
    </row>
    <row r="497" spans="1:10" x14ac:dyDescent="0.25">
      <c r="A497" s="6" t="s">
        <v>188</v>
      </c>
      <c r="B497" s="6"/>
      <c r="C497" s="6"/>
      <c r="D497" s="6"/>
      <c r="E497" s="6"/>
      <c r="F497" s="6"/>
      <c r="G497" s="6"/>
      <c r="H497" s="6"/>
      <c r="I497" s="7"/>
      <c r="J497" s="6"/>
    </row>
    <row r="498" spans="1:10" x14ac:dyDescent="0.25">
      <c r="A498" s="6" t="s">
        <v>189</v>
      </c>
      <c r="B498" s="6"/>
      <c r="C498" s="6"/>
      <c r="D498" s="6"/>
      <c r="E498" s="6"/>
      <c r="F498" s="6"/>
      <c r="G498" s="6"/>
      <c r="H498" s="6"/>
      <c r="I498" s="7"/>
      <c r="J498" s="6"/>
    </row>
    <row r="499" spans="1:10" x14ac:dyDescent="0.25">
      <c r="A499" s="6" t="s">
        <v>190</v>
      </c>
      <c r="B499" s="6"/>
      <c r="C499" s="6"/>
      <c r="D499" s="6"/>
      <c r="E499" s="6"/>
      <c r="F499" s="6"/>
      <c r="G499" s="6"/>
      <c r="H499" s="6"/>
      <c r="I499" s="7"/>
      <c r="J499" s="6"/>
    </row>
    <row r="500" spans="1:10" x14ac:dyDescent="0.25">
      <c r="A500" s="6" t="s">
        <v>191</v>
      </c>
      <c r="B500" s="6"/>
      <c r="C500" s="6"/>
      <c r="D500" s="6"/>
      <c r="E500" s="6"/>
      <c r="F500" s="6"/>
      <c r="G500" s="6"/>
      <c r="H500" s="6"/>
      <c r="I500" s="7"/>
      <c r="J500" s="6"/>
    </row>
    <row r="501" spans="1:10" x14ac:dyDescent="0.25">
      <c r="A501" s="6" t="s">
        <v>192</v>
      </c>
      <c r="B501" s="6"/>
      <c r="C501" s="6"/>
      <c r="D501" s="6"/>
      <c r="E501" s="6"/>
      <c r="F501" s="6"/>
      <c r="G501" s="6"/>
      <c r="H501" s="6"/>
      <c r="I501" s="7"/>
      <c r="J501" s="6"/>
    </row>
    <row r="502" spans="1:10" x14ac:dyDescent="0.25">
      <c r="A502" s="6" t="s">
        <v>193</v>
      </c>
      <c r="B502" s="6"/>
      <c r="C502" s="6"/>
      <c r="D502" s="6"/>
      <c r="E502" s="6"/>
      <c r="F502" s="6"/>
      <c r="G502" s="6"/>
      <c r="H502" s="6"/>
      <c r="I502" s="7"/>
      <c r="J502" s="6"/>
    </row>
    <row r="503" spans="1:10" x14ac:dyDescent="0.25">
      <c r="A503" s="6" t="s">
        <v>20</v>
      </c>
      <c r="B503" s="6"/>
      <c r="C503" s="6"/>
      <c r="D503" s="6"/>
      <c r="E503" s="6"/>
      <c r="F503" s="6"/>
      <c r="G503" s="6"/>
      <c r="H503" s="6"/>
      <c r="I503" s="7"/>
      <c r="J503" s="6"/>
    </row>
    <row r="504" spans="1:10" x14ac:dyDescent="0.25">
      <c r="A504" s="6" t="s">
        <v>53</v>
      </c>
      <c r="B504" s="6"/>
      <c r="C504" s="6"/>
      <c r="D504" s="6"/>
      <c r="E504" s="6"/>
      <c r="F504" s="6"/>
      <c r="G504" s="6"/>
      <c r="H504" s="6"/>
      <c r="I504" s="7"/>
      <c r="J504" s="6"/>
    </row>
    <row r="505" spans="1:10" x14ac:dyDescent="0.25">
      <c r="A505" s="6" t="s">
        <v>54</v>
      </c>
      <c r="B505" s="6"/>
      <c r="C505" s="6"/>
      <c r="D505" s="6"/>
      <c r="E505" s="6"/>
      <c r="F505" s="6"/>
      <c r="G505" s="6"/>
      <c r="H505" s="6"/>
      <c r="I505" s="7"/>
      <c r="J505" s="6"/>
    </row>
    <row r="506" spans="1:10" x14ac:dyDescent="0.25">
      <c r="A506" s="6" t="s">
        <v>55</v>
      </c>
      <c r="B506" s="6"/>
      <c r="C506" s="6"/>
      <c r="D506" s="6"/>
      <c r="E506" s="6"/>
      <c r="F506" s="6"/>
      <c r="G506" s="6"/>
      <c r="H506" s="6"/>
      <c r="I506" s="7"/>
      <c r="J506" s="6"/>
    </row>
    <row r="507" spans="1:10" x14ac:dyDescent="0.25">
      <c r="A507" s="6" t="s">
        <v>56</v>
      </c>
      <c r="B507" s="6"/>
      <c r="C507" s="6"/>
      <c r="D507" s="6"/>
      <c r="E507" s="6"/>
      <c r="F507" s="6"/>
      <c r="G507" s="6"/>
      <c r="H507" s="6"/>
      <c r="I507" s="7"/>
      <c r="J507" s="6"/>
    </row>
    <row r="508" spans="1:10" x14ac:dyDescent="0.25">
      <c r="A508" s="6" t="s">
        <v>57</v>
      </c>
      <c r="B508" s="6"/>
      <c r="C508" s="6"/>
      <c r="D508" s="6"/>
      <c r="E508" s="6"/>
      <c r="F508" s="6"/>
      <c r="G508" s="6"/>
      <c r="H508" s="6"/>
      <c r="I508" s="7"/>
      <c r="J508" s="6"/>
    </row>
    <row r="509" spans="1:10" x14ac:dyDescent="0.25">
      <c r="A509" s="6" t="s">
        <v>58</v>
      </c>
      <c r="B509" s="6"/>
      <c r="C509" s="6"/>
      <c r="D509" s="6"/>
      <c r="E509" s="6"/>
      <c r="F509" s="6"/>
      <c r="G509" s="6"/>
      <c r="H509" s="6"/>
      <c r="I509" s="7"/>
      <c r="J509" s="6"/>
    </row>
    <row r="510" spans="1:10" x14ac:dyDescent="0.25">
      <c r="A510" s="6" t="s">
        <v>59</v>
      </c>
      <c r="B510" s="6"/>
      <c r="C510" s="6"/>
      <c r="D510" s="6"/>
      <c r="E510" s="6"/>
      <c r="F510" s="6"/>
      <c r="G510" s="6"/>
      <c r="H510" s="6"/>
      <c r="I510" s="7"/>
      <c r="J510" s="6"/>
    </row>
    <row r="511" spans="1:10" x14ac:dyDescent="0.25">
      <c r="A511" s="6" t="s">
        <v>60</v>
      </c>
      <c r="B511" s="6"/>
      <c r="C511" s="6"/>
      <c r="D511" s="6"/>
      <c r="E511" s="6"/>
      <c r="F511" s="6"/>
      <c r="G511" s="6"/>
      <c r="H511" s="6"/>
      <c r="I511" s="7"/>
      <c r="J511" s="6"/>
    </row>
    <row r="512" spans="1:10" x14ac:dyDescent="0.25">
      <c r="A512" s="6" t="s">
        <v>61</v>
      </c>
      <c r="B512" s="6"/>
      <c r="C512" s="6"/>
      <c r="D512" s="6"/>
      <c r="E512" s="6"/>
      <c r="F512" s="6"/>
      <c r="G512" s="6"/>
      <c r="H512" s="6"/>
      <c r="I512" s="7"/>
      <c r="J512" s="6"/>
    </row>
    <row r="513" spans="1:10" x14ac:dyDescent="0.25">
      <c r="A513" s="6" t="s">
        <v>62</v>
      </c>
      <c r="B513" s="6"/>
      <c r="C513" s="6"/>
      <c r="D513" s="6"/>
      <c r="E513" s="6"/>
      <c r="F513" s="6"/>
      <c r="G513" s="6"/>
      <c r="H513" s="6"/>
      <c r="I513" s="7"/>
      <c r="J513" s="6"/>
    </row>
    <row r="514" spans="1:10" x14ac:dyDescent="0.25">
      <c r="A514" s="6" t="s">
        <v>63</v>
      </c>
      <c r="B514" s="6"/>
      <c r="C514" s="6"/>
      <c r="D514" s="6"/>
      <c r="E514" s="6"/>
      <c r="F514" s="6"/>
      <c r="G514" s="6"/>
      <c r="H514" s="6"/>
      <c r="I514" s="7"/>
      <c r="J514" s="6"/>
    </row>
    <row r="515" spans="1:10" x14ac:dyDescent="0.25">
      <c r="A515" s="6" t="s">
        <v>64</v>
      </c>
      <c r="B515" s="6"/>
      <c r="C515" s="6"/>
      <c r="D515" s="6"/>
      <c r="E515" s="6"/>
      <c r="F515" s="6"/>
      <c r="G515" s="6"/>
      <c r="H515" s="6"/>
      <c r="I515" s="7"/>
      <c r="J515" s="6"/>
    </row>
    <row r="516" spans="1:10" x14ac:dyDescent="0.25">
      <c r="A516" s="6" t="s">
        <v>65</v>
      </c>
      <c r="B516" s="6"/>
      <c r="C516" s="6"/>
      <c r="D516" s="6"/>
      <c r="E516" s="6"/>
      <c r="F516" s="6"/>
      <c r="G516" s="6"/>
      <c r="H516" s="6"/>
      <c r="I516" s="7"/>
      <c r="J516" s="6"/>
    </row>
    <row r="517" spans="1:10" x14ac:dyDescent="0.25">
      <c r="A517" s="6" t="s">
        <v>66</v>
      </c>
      <c r="B517" s="6"/>
      <c r="C517" s="6"/>
      <c r="D517" s="6"/>
      <c r="E517" s="6"/>
      <c r="F517" s="6"/>
      <c r="G517" s="6"/>
      <c r="H517" s="6"/>
      <c r="I517" s="7"/>
      <c r="J517" s="6"/>
    </row>
    <row r="518" spans="1:10" x14ac:dyDescent="0.25">
      <c r="A518" s="6" t="s">
        <v>8</v>
      </c>
      <c r="B518" s="6"/>
      <c r="C518" s="6"/>
      <c r="D518" s="6"/>
      <c r="E518" s="6"/>
      <c r="F518" s="6"/>
      <c r="G518" s="6"/>
      <c r="H518" s="6"/>
      <c r="I518" s="7"/>
      <c r="J518" s="6"/>
    </row>
    <row r="519" spans="1:10" x14ac:dyDescent="0.25">
      <c r="A519" s="6" t="s">
        <v>67</v>
      </c>
      <c r="B519" s="6"/>
      <c r="C519" s="6"/>
      <c r="D519" s="6"/>
      <c r="E519" s="6"/>
      <c r="F519" s="6"/>
      <c r="G519" s="6"/>
      <c r="H519" s="6"/>
      <c r="I519" s="7"/>
      <c r="J519" s="6"/>
    </row>
    <row r="520" spans="1:10" x14ac:dyDescent="0.25">
      <c r="A520" s="6" t="s">
        <v>194</v>
      </c>
      <c r="B520" s="8"/>
      <c r="C520" s="8"/>
      <c r="D520" s="8"/>
      <c r="E520" s="8"/>
      <c r="F520" s="8"/>
      <c r="G520" s="8"/>
      <c r="H520" s="8"/>
      <c r="I520" s="9"/>
      <c r="J520" s="6"/>
    </row>
    <row r="521" spans="1:10" x14ac:dyDescent="0.25">
      <c r="A521" t="s">
        <v>23</v>
      </c>
      <c r="B521" s="6"/>
      <c r="C521" s="6"/>
      <c r="D521" s="6"/>
      <c r="E521" s="6"/>
      <c r="F521" s="6"/>
      <c r="G521" s="6"/>
      <c r="H521" s="6"/>
      <c r="I521" s="7"/>
      <c r="J521" s="6"/>
    </row>
    <row r="522" spans="1:10" x14ac:dyDescent="0.25">
      <c r="A522" t="s">
        <v>24</v>
      </c>
      <c r="B522" s="6"/>
      <c r="C522" s="6"/>
      <c r="D522" s="6"/>
      <c r="E522" s="6"/>
      <c r="F522" s="6"/>
      <c r="G522" s="6"/>
      <c r="H522" s="6"/>
      <c r="I522" s="7"/>
      <c r="J522" s="6"/>
    </row>
    <row r="523" spans="1:10" x14ac:dyDescent="0.25">
      <c r="A523" t="s">
        <v>25</v>
      </c>
      <c r="B523" s="6"/>
      <c r="C523" s="6"/>
      <c r="D523" s="6"/>
      <c r="E523" s="6"/>
      <c r="F523" s="6"/>
      <c r="G523" s="6"/>
      <c r="H523" s="6"/>
      <c r="I523" s="7"/>
      <c r="J523" s="6"/>
    </row>
    <row r="524" spans="1:10" x14ac:dyDescent="0.25">
      <c r="A524" t="s">
        <v>26</v>
      </c>
      <c r="B524" s="6"/>
      <c r="C524" s="6"/>
      <c r="D524" s="6"/>
      <c r="E524" s="6"/>
      <c r="F524" s="6"/>
      <c r="G524" s="6"/>
      <c r="H524" s="6"/>
      <c r="I524" s="7"/>
      <c r="J524" s="6"/>
    </row>
    <row r="525" spans="1:10" x14ac:dyDescent="0.25">
      <c r="A525" t="s">
        <v>27</v>
      </c>
      <c r="B525" s="6"/>
      <c r="C525" s="6"/>
      <c r="D525" s="6"/>
      <c r="E525" s="6"/>
      <c r="F525" s="6"/>
      <c r="G525" s="6"/>
      <c r="H525" s="6"/>
      <c r="I525" s="7"/>
      <c r="J525" s="6"/>
    </row>
    <row r="526" spans="1:10" x14ac:dyDescent="0.25">
      <c r="A526" t="s">
        <v>28</v>
      </c>
      <c r="B526" s="6"/>
      <c r="C526" s="6"/>
      <c r="D526" s="6"/>
      <c r="E526" s="6"/>
      <c r="F526" s="6"/>
      <c r="G526" s="6"/>
      <c r="H526" s="6"/>
      <c r="I526" s="7"/>
      <c r="J526" s="6"/>
    </row>
    <row r="527" spans="1:10" x14ac:dyDescent="0.25">
      <c r="A527" t="s">
        <v>29</v>
      </c>
      <c r="B527" s="8"/>
      <c r="C527" s="8"/>
      <c r="D527" s="8"/>
      <c r="E527" s="8"/>
      <c r="F527" s="8"/>
      <c r="G527" s="8"/>
      <c r="H527" s="8"/>
      <c r="I527" s="9"/>
      <c r="J527" s="6"/>
    </row>
    <row r="528" spans="1:10" x14ac:dyDescent="0.25">
      <c r="A528" t="s">
        <v>195</v>
      </c>
      <c r="B528" s="6"/>
      <c r="C528" s="6"/>
      <c r="D528" s="6"/>
      <c r="E528" s="6"/>
      <c r="F528" s="6"/>
      <c r="G528" s="6"/>
      <c r="H528" s="6"/>
      <c r="I528" s="7"/>
      <c r="J528" s="6"/>
    </row>
    <row r="529" spans="1:10" x14ac:dyDescent="0.25">
      <c r="A529" t="s">
        <v>196</v>
      </c>
      <c r="B529" s="6"/>
      <c r="C529" s="6"/>
      <c r="D529" s="6"/>
      <c r="E529" s="6"/>
      <c r="F529" s="6"/>
      <c r="G529" s="6"/>
      <c r="H529" s="6"/>
      <c r="I529" s="7"/>
      <c r="J529" s="6"/>
    </row>
    <row r="530" spans="1:10" x14ac:dyDescent="0.25">
      <c r="A530" t="s">
        <v>197</v>
      </c>
      <c r="B530" s="6"/>
      <c r="C530" s="6"/>
      <c r="D530" s="6"/>
      <c r="E530" s="6"/>
      <c r="F530" s="6"/>
      <c r="G530" s="6"/>
      <c r="H530" s="6"/>
      <c r="I530" s="7"/>
      <c r="J530" s="6"/>
    </row>
    <row r="531" spans="1:10" x14ac:dyDescent="0.25">
      <c r="A531" t="s">
        <v>198</v>
      </c>
      <c r="B531" s="6"/>
      <c r="C531" s="6"/>
      <c r="D531" s="6"/>
      <c r="E531" s="6"/>
      <c r="F531" s="6"/>
      <c r="G531" s="6"/>
      <c r="H531" s="6"/>
      <c r="I531" s="7"/>
      <c r="J531" s="6"/>
    </row>
    <row r="532" spans="1:10" x14ac:dyDescent="0.25">
      <c r="A532" t="s">
        <v>199</v>
      </c>
      <c r="B532" s="6"/>
      <c r="C532" s="6"/>
      <c r="D532" s="6"/>
      <c r="E532" s="6"/>
      <c r="F532" s="6"/>
      <c r="G532" s="6"/>
      <c r="H532" s="6"/>
      <c r="I532" s="7"/>
      <c r="J532" s="6"/>
    </row>
    <row r="533" spans="1:10" x14ac:dyDescent="0.25">
      <c r="A533" t="s">
        <v>200</v>
      </c>
      <c r="B533" s="6"/>
      <c r="C533" s="6"/>
      <c r="D533" s="6"/>
      <c r="E533" s="6"/>
      <c r="F533" s="6"/>
      <c r="G533" s="6"/>
      <c r="H533" s="6"/>
      <c r="I533" s="7"/>
      <c r="J533" s="6"/>
    </row>
    <row r="534" spans="1:10" x14ac:dyDescent="0.25">
      <c r="A534" t="s">
        <v>201</v>
      </c>
      <c r="B534" s="8"/>
      <c r="C534" s="8"/>
      <c r="D534" s="8"/>
      <c r="E534" s="8"/>
      <c r="F534" s="8"/>
      <c r="G534" s="8"/>
      <c r="H534" s="8"/>
      <c r="I534" s="9"/>
      <c r="J534" s="6"/>
    </row>
    <row r="535" spans="1:10" x14ac:dyDescent="0.25">
      <c r="A535" t="s">
        <v>202</v>
      </c>
      <c r="B535" s="6"/>
      <c r="C535" s="6"/>
      <c r="D535" s="6"/>
      <c r="E535" s="6"/>
      <c r="F535" s="6"/>
      <c r="G535" s="6"/>
      <c r="H535" s="6"/>
      <c r="I535" s="7"/>
      <c r="J535" s="6"/>
    </row>
    <row r="536" spans="1:10" x14ac:dyDescent="0.25">
      <c r="A536" t="s">
        <v>203</v>
      </c>
      <c r="B536" s="6"/>
      <c r="C536" s="6"/>
      <c r="D536" s="6"/>
      <c r="E536" s="6"/>
      <c r="F536" s="6"/>
      <c r="G536" s="6"/>
      <c r="H536" s="6"/>
      <c r="I536" s="7"/>
      <c r="J536" s="6"/>
    </row>
    <row r="537" spans="1:10" x14ac:dyDescent="0.25">
      <c r="A537" t="s">
        <v>204</v>
      </c>
      <c r="B537" s="6"/>
      <c r="C537" s="6"/>
      <c r="D537" s="6"/>
      <c r="E537" s="6"/>
      <c r="F537" s="6"/>
      <c r="G537" s="6"/>
      <c r="H537" s="6"/>
      <c r="I537" s="7"/>
      <c r="J537" s="6"/>
    </row>
    <row r="538" spans="1:10" x14ac:dyDescent="0.25">
      <c r="A538" t="s">
        <v>20</v>
      </c>
      <c r="B538" s="6"/>
      <c r="C538" s="6"/>
      <c r="D538" s="6"/>
      <c r="E538" s="6"/>
      <c r="F538" s="6"/>
      <c r="G538" s="6"/>
      <c r="H538" s="6"/>
      <c r="I538" s="7"/>
      <c r="J538" s="6"/>
    </row>
    <row r="539" spans="1:10" x14ac:dyDescent="0.25">
      <c r="A539" t="s">
        <v>53</v>
      </c>
      <c r="B539" s="6"/>
      <c r="C539" s="6"/>
      <c r="D539" s="6"/>
      <c r="E539" s="6"/>
      <c r="F539" s="6"/>
      <c r="G539" s="6"/>
      <c r="H539" s="6"/>
      <c r="I539" s="7"/>
      <c r="J539" s="6"/>
    </row>
    <row r="540" spans="1:10" x14ac:dyDescent="0.25">
      <c r="A540" t="s">
        <v>54</v>
      </c>
      <c r="B540" s="6"/>
      <c r="C540" s="6"/>
      <c r="D540" s="6"/>
      <c r="E540" s="6"/>
      <c r="F540" s="6"/>
      <c r="G540" s="6"/>
      <c r="H540" s="6"/>
      <c r="I540" s="7"/>
      <c r="J540" s="6"/>
    </row>
    <row r="541" spans="1:10" x14ac:dyDescent="0.25">
      <c r="A541" t="s">
        <v>55</v>
      </c>
      <c r="B541" s="8"/>
      <c r="C541" s="8"/>
      <c r="D541" s="8"/>
      <c r="E541" s="8"/>
      <c r="F541" s="8"/>
      <c r="G541" s="8"/>
      <c r="H541" s="8"/>
      <c r="I541" s="9"/>
      <c r="J541" s="6"/>
    </row>
    <row r="542" spans="1:10" x14ac:dyDescent="0.25">
      <c r="A542" t="s">
        <v>56</v>
      </c>
      <c r="B542" s="6"/>
      <c r="C542" s="6"/>
      <c r="D542" s="6"/>
      <c r="E542" s="6"/>
      <c r="F542" s="6"/>
      <c r="G542" s="6"/>
      <c r="H542" s="6"/>
      <c r="I542" s="7"/>
      <c r="J542" s="6"/>
    </row>
    <row r="543" spans="1:10" x14ac:dyDescent="0.25">
      <c r="A543" t="s">
        <v>57</v>
      </c>
      <c r="B543" s="6"/>
      <c r="C543" s="6"/>
      <c r="D543" s="6"/>
      <c r="E543" s="6"/>
      <c r="F543" s="6"/>
      <c r="G543" s="6"/>
      <c r="H543" s="6"/>
      <c r="I543" s="7"/>
      <c r="J543" s="6"/>
    </row>
    <row r="544" spans="1:10" x14ac:dyDescent="0.25">
      <c r="A544" t="s">
        <v>58</v>
      </c>
      <c r="B544" s="6"/>
      <c r="C544" s="6"/>
      <c r="D544" s="6"/>
      <c r="E544" s="6"/>
      <c r="F544" s="6"/>
      <c r="G544" s="6"/>
      <c r="H544" s="6"/>
      <c r="I544" s="7"/>
      <c r="J544" s="6"/>
    </row>
    <row r="545" spans="1:10" x14ac:dyDescent="0.25">
      <c r="A545" t="s">
        <v>59</v>
      </c>
      <c r="B545" s="6"/>
      <c r="C545" s="6"/>
      <c r="D545" s="6"/>
      <c r="E545" s="6"/>
      <c r="F545" s="6"/>
      <c r="G545" s="6"/>
      <c r="H545" s="6"/>
      <c r="I545" s="7"/>
      <c r="J545" s="6"/>
    </row>
    <row r="546" spans="1:10" x14ac:dyDescent="0.25">
      <c r="A546" t="s">
        <v>60</v>
      </c>
      <c r="B546" s="6"/>
      <c r="C546" s="6"/>
      <c r="D546" s="6"/>
      <c r="E546" s="6"/>
      <c r="F546" s="6"/>
      <c r="G546" s="6"/>
      <c r="H546" s="6"/>
      <c r="I546" s="7"/>
      <c r="J546" s="6"/>
    </row>
    <row r="547" spans="1:10" x14ac:dyDescent="0.25">
      <c r="A547" t="s">
        <v>61</v>
      </c>
      <c r="B547" s="6"/>
      <c r="C547" s="6"/>
      <c r="D547" s="6"/>
      <c r="E547" s="6"/>
      <c r="F547" s="6"/>
      <c r="G547" s="6"/>
      <c r="H547" s="6"/>
      <c r="I547" s="7"/>
      <c r="J547" s="6"/>
    </row>
    <row r="548" spans="1:10" x14ac:dyDescent="0.25">
      <c r="A548" t="s">
        <v>62</v>
      </c>
      <c r="B548" s="6"/>
      <c r="C548" s="6"/>
      <c r="D548" s="6"/>
      <c r="E548" s="6"/>
      <c r="F548" s="6"/>
      <c r="G548" s="6"/>
      <c r="H548" s="6"/>
      <c r="I548" s="7"/>
      <c r="J548" s="6"/>
    </row>
    <row r="549" spans="1:10" x14ac:dyDescent="0.25">
      <c r="A549" t="s">
        <v>63</v>
      </c>
      <c r="B549" s="6"/>
      <c r="C549" s="6"/>
      <c r="D549" s="6"/>
      <c r="E549" s="6"/>
      <c r="F549" s="6"/>
      <c r="G549" s="6"/>
      <c r="H549" s="6"/>
      <c r="I549" s="7"/>
      <c r="J549" s="6"/>
    </row>
    <row r="550" spans="1:10" x14ac:dyDescent="0.25">
      <c r="A550" t="s">
        <v>64</v>
      </c>
      <c r="B550" s="6"/>
      <c r="C550" s="6"/>
      <c r="D550" s="6"/>
      <c r="E550" s="6"/>
      <c r="F550" s="6"/>
      <c r="G550" s="6"/>
      <c r="H550" s="6"/>
      <c r="I550" s="7"/>
      <c r="J550" s="6"/>
    </row>
    <row r="551" spans="1:10" x14ac:dyDescent="0.25">
      <c r="A551" t="s">
        <v>65</v>
      </c>
    </row>
    <row r="552" spans="1:10" x14ac:dyDescent="0.25">
      <c r="A552" t="s">
        <v>66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N39"/>
  <sheetViews>
    <sheetView tabSelected="1" topLeftCell="A2" workbookViewId="0">
      <selection activeCell="A3" sqref="A3:A37"/>
    </sheetView>
  </sheetViews>
  <sheetFormatPr defaultRowHeight="15" x14ac:dyDescent="0.25"/>
  <cols>
    <col min="1" max="2" width="10.7109375" style="11" customWidth="1"/>
    <col min="3" max="12" width="10.7109375" style="17" customWidth="1"/>
    <col min="13" max="13" width="10.7109375" style="4" customWidth="1"/>
    <col min="14" max="14" width="10.7109375" customWidth="1"/>
  </cols>
  <sheetData>
    <row r="1" spans="1:14" s="1" customFormat="1" hidden="1" x14ac:dyDescent="0.25">
      <c r="A1" s="15" t="e" cm="1" vm="1">
        <f t="array" aca="1" ref="A1" ca="1">_xlfn.UNIQUE(Calculation!B:B,0,0)</f>
        <v>#VALUE!</v>
      </c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3"/>
      <c r="N1" s="14"/>
    </row>
    <row r="2" spans="1:14" x14ac:dyDescent="0.25">
      <c r="A2" s="19"/>
      <c r="B2" s="19"/>
      <c r="C2" s="19" t="str">
        <f>_xlfn.XLOOKUP($A2,Calculation!$B:$B,Calculation!C:C,"ERR",0)</f>
        <v>ERR</v>
      </c>
      <c r="D2" s="19">
        <f>IFERROR(VALUE(_xlfn.XLOOKUP($A2,Calculation!$B:$B,Calculation!D:D,"ERR",0)),"")</f>
        <v>0</v>
      </c>
      <c r="E2" s="19"/>
      <c r="F2" s="19">
        <f>IFERROR(VALUE(_xlfn.XLOOKUP($A2,Calculation!$B:$B,Calculation!E:E,"ERR",0)),"")</f>
        <v>0</v>
      </c>
      <c r="G2" s="19"/>
      <c r="H2" s="19" t="str">
        <f>_xlfn.XLOOKUP($A2,Calculation!$B:$B,Calculation!F:F,"ERR",0)</f>
        <v>ERR</v>
      </c>
      <c r="I2" s="19"/>
      <c r="J2" s="19" t="str">
        <f>_xlfn.XLOOKUP($A2,Calculation!$B:$B,Calculation!G:G,"ERR",0)</f>
        <v>ERR</v>
      </c>
      <c r="K2" s="19"/>
      <c r="L2" s="19" t="str">
        <f>_xlfn.XLOOKUP($A2,Calculation!$B:$B,Calculation!H:H,"ERR",0)</f>
        <v>ERR</v>
      </c>
      <c r="M2" s="20" t="str">
        <f>_xlfn.XLOOKUP($A2,Calculation!$B:$B,Calculation!I:I,"ERR",0)</f>
        <v>ERR</v>
      </c>
      <c r="N2" s="21" t="s">
        <v>205</v>
      </c>
    </row>
    <row r="3" spans="1:14" s="6" customFormat="1" x14ac:dyDescent="0.25">
      <c r="A3" s="12">
        <v>213840271</v>
      </c>
      <c r="B3" s="12">
        <f>VALUE(A3)</f>
        <v>213840271</v>
      </c>
      <c r="C3" s="17" t="str">
        <f>IFERROR(VALUE(_xlfn.XLOOKUP($A3,Calculation!$B:$B,Calculation!C:C,"ERR",0)),"")</f>
        <v/>
      </c>
      <c r="D3" s="17" t="str">
        <f>IFERROR(VALUE(_xlfn.XLOOKUP($A3,Calculation!$B:$B,Calculation!D:D,"ERR",0)),"")</f>
        <v/>
      </c>
      <c r="E3" s="17"/>
      <c r="F3" s="17" t="str">
        <f>IFERROR(VALUE(_xlfn.XLOOKUP($A3,Calculation!$B:$B,Calculation!E:E,"ERR",0)),"")</f>
        <v/>
      </c>
      <c r="G3" s="17"/>
      <c r="H3" s="18" t="str">
        <f>IFERROR(VALUE(_xlfn.XLOOKUP($A3,Calculation!$B:$B,Calculation!F:F,"ERR",0)),"")</f>
        <v/>
      </c>
      <c r="I3" s="18"/>
      <c r="J3" s="18" t="str">
        <f>IFERROR(VALUE(_xlfn.XLOOKUP($A3,Calculation!$B:$B,Calculation!G:G,"ERR",0)),"")</f>
        <v/>
      </c>
      <c r="K3" s="18"/>
      <c r="L3" s="18" t="str">
        <f>IFERROR(VALUE(_xlfn.XLOOKUP($A3,Calculation!$B:$B,Calculation!H:H,"ERR",0)),"")</f>
        <v/>
      </c>
      <c r="M3" s="10" t="e">
        <f>VALUE(_xlfn.XLOOKUP($A3,Calculation!$B:$B,Calculation!I:I,"ERR",0))</f>
        <v>#VALUE!</v>
      </c>
      <c r="N3" s="7" t="e">
        <f>SUM(C3:L3)*M3</f>
        <v>#VALUE!</v>
      </c>
    </row>
    <row r="4" spans="1:14" x14ac:dyDescent="0.25">
      <c r="A4" s="11">
        <v>24785057</v>
      </c>
      <c r="B4" s="12">
        <f t="shared" ref="B4:B37" si="0">VALUE(A4)</f>
        <v>24785057</v>
      </c>
      <c r="C4" s="17" t="str">
        <f>IFERROR(VALUE(_xlfn.XLOOKUP($A4,Calculation!$B:$B,Calculation!C:C,"ERR",0)),"")</f>
        <v/>
      </c>
      <c r="D4" s="17" t="str">
        <f>IFERROR(VALUE(_xlfn.XLOOKUP($A4,Calculation!$B:$B,Calculation!D:D,"ERR",0)),"")</f>
        <v/>
      </c>
      <c r="F4" s="17" t="str">
        <f>IFERROR(VALUE(_xlfn.XLOOKUP($A4,Calculation!$B:$B,Calculation!E:E,"ERR",0)),"")</f>
        <v/>
      </c>
      <c r="H4" s="18" t="str">
        <f>IFERROR(VALUE(_xlfn.XLOOKUP($A4,Calculation!$B:$B,Calculation!F:F,"ERR",0)),"")</f>
        <v/>
      </c>
      <c r="I4" s="18"/>
      <c r="J4" s="18" t="str">
        <f>IFERROR(VALUE(_xlfn.XLOOKUP($A4,Calculation!$B:$B,Calculation!G:G,"ERR",0)),"")</f>
        <v/>
      </c>
      <c r="K4" s="18"/>
      <c r="L4" s="18" t="str">
        <f>IFERROR(VALUE(_xlfn.XLOOKUP($A4,Calculation!$B:$B,Calculation!H:H,"ERR",0)),"")</f>
        <v/>
      </c>
      <c r="M4" s="10" t="e">
        <f>VALUE(_xlfn.XLOOKUP($A4,Calculation!$B:$B,Calculation!I:I,"ERR",0))</f>
        <v>#VALUE!</v>
      </c>
      <c r="N4" s="7" t="e">
        <f t="shared" ref="N4:N37" si="1">SUM(C4:L4)*M4</f>
        <v>#VALUE!</v>
      </c>
    </row>
    <row r="5" spans="1:14" x14ac:dyDescent="0.25">
      <c r="A5" s="11">
        <v>775119082</v>
      </c>
      <c r="B5" s="12">
        <f t="shared" si="0"/>
        <v>775119082</v>
      </c>
      <c r="C5" s="17" t="str">
        <f>IFERROR(VALUE(_xlfn.XLOOKUP($A5,Calculation!$B:$B,Calculation!C:C,"ERR",0)),"")</f>
        <v/>
      </c>
      <c r="D5" s="17" t="str">
        <f>IFERROR(VALUE(_xlfn.XLOOKUP($A5,Calculation!$B:$B,Calculation!D:D,"ERR",0)),"")</f>
        <v/>
      </c>
      <c r="F5" s="17" t="str">
        <f>IFERROR(VALUE(_xlfn.XLOOKUP($A5,Calculation!$B:$B,Calculation!E:E,"ERR",0)),"")</f>
        <v/>
      </c>
      <c r="H5" s="18" t="str">
        <f>IFERROR(VALUE(_xlfn.XLOOKUP($A5,Calculation!$B:$B,Calculation!F:F,"ERR",0)),"")</f>
        <v/>
      </c>
      <c r="I5" s="18"/>
      <c r="J5" s="18" t="str">
        <f>IFERROR(VALUE(_xlfn.XLOOKUP($A5,Calculation!$B:$B,Calculation!G:G,"ERR",0)),"")</f>
        <v/>
      </c>
      <c r="K5" s="18"/>
      <c r="L5" s="18" t="str">
        <f>IFERROR(VALUE(_xlfn.XLOOKUP($A5,Calculation!$B:$B,Calculation!H:H,"ERR",0)),"")</f>
        <v/>
      </c>
      <c r="M5" s="10" t="e">
        <f>VALUE(_xlfn.XLOOKUP($A5,Calculation!$B:$B,Calculation!I:I,"ERR",0))</f>
        <v>#VALUE!</v>
      </c>
      <c r="N5" s="7" t="e">
        <f t="shared" si="1"/>
        <v>#VALUE!</v>
      </c>
    </row>
    <row r="6" spans="1:14" x14ac:dyDescent="0.25">
      <c r="A6" s="11">
        <v>775119222</v>
      </c>
      <c r="B6" s="12">
        <f t="shared" si="0"/>
        <v>775119222</v>
      </c>
      <c r="C6" s="17" t="str">
        <f>IFERROR(VALUE(_xlfn.XLOOKUP($A6,Calculation!$B:$B,Calculation!C:C,"ERR",0)),"")</f>
        <v/>
      </c>
      <c r="D6" s="17" t="str">
        <f>IFERROR(VALUE(_xlfn.XLOOKUP($A6,Calculation!$B:$B,Calculation!D:D,"ERR",0)),"")</f>
        <v/>
      </c>
      <c r="F6" s="17" t="str">
        <f>IFERROR(VALUE(_xlfn.XLOOKUP($A6,Calculation!$B:$B,Calculation!E:E,"ERR",0)),"")</f>
        <v/>
      </c>
      <c r="H6" s="18" t="str">
        <f>IFERROR(VALUE(_xlfn.XLOOKUP($A6,Calculation!$B:$B,Calculation!F:F,"ERR",0)),"")</f>
        <v/>
      </c>
      <c r="I6" s="18"/>
      <c r="J6" s="18" t="str">
        <f>IFERROR(VALUE(_xlfn.XLOOKUP($A6,Calculation!$B:$B,Calculation!G:G,"ERR",0)),"")</f>
        <v/>
      </c>
      <c r="K6" s="18"/>
      <c r="L6" s="18" t="str">
        <f>IFERROR(VALUE(_xlfn.XLOOKUP($A6,Calculation!$B:$B,Calculation!H:H,"ERR",0)),"")</f>
        <v/>
      </c>
      <c r="M6" s="10" t="e">
        <f>VALUE(_xlfn.XLOOKUP($A6,Calculation!$B:$B,Calculation!I:I,"ERR",0))</f>
        <v>#VALUE!</v>
      </c>
      <c r="N6" s="7" t="e">
        <f t="shared" si="1"/>
        <v>#VALUE!</v>
      </c>
    </row>
    <row r="7" spans="1:14" x14ac:dyDescent="0.25">
      <c r="A7" s="11">
        <v>775119283</v>
      </c>
      <c r="B7" s="12">
        <f t="shared" si="0"/>
        <v>775119283</v>
      </c>
      <c r="C7" s="17" t="str">
        <f>IFERROR(VALUE(_xlfn.XLOOKUP($A7,Calculation!$B:$B,Calculation!C:C,"ERR",0)),"")</f>
        <v/>
      </c>
      <c r="D7" s="17" t="str">
        <f>IFERROR(VALUE(_xlfn.XLOOKUP($A7,Calculation!$B:$B,Calculation!D:D,"ERR",0)),"")</f>
        <v/>
      </c>
      <c r="F7" s="17" t="str">
        <f>IFERROR(VALUE(_xlfn.XLOOKUP($A7,Calculation!$B:$B,Calculation!E:E,"ERR",0)),"")</f>
        <v/>
      </c>
      <c r="H7" s="18" t="str">
        <f>IFERROR(VALUE(_xlfn.XLOOKUP($A7,Calculation!$B:$B,Calculation!F:F,"ERR",0)),"")</f>
        <v/>
      </c>
      <c r="I7" s="18"/>
      <c r="J7" s="18" t="str">
        <f>IFERROR(VALUE(_xlfn.XLOOKUP($A7,Calculation!$B:$B,Calculation!G:G,"ERR",0)),"")</f>
        <v/>
      </c>
      <c r="K7" s="18"/>
      <c r="L7" s="18" t="str">
        <f>IFERROR(VALUE(_xlfn.XLOOKUP($A7,Calculation!$B:$B,Calculation!H:H,"ERR",0)),"")</f>
        <v/>
      </c>
      <c r="M7" s="10" t="e">
        <f>VALUE(_xlfn.XLOOKUP($A7,Calculation!$B:$B,Calculation!I:I,"ERR",0))</f>
        <v>#VALUE!</v>
      </c>
      <c r="N7" s="7" t="e">
        <f t="shared" si="1"/>
        <v>#VALUE!</v>
      </c>
    </row>
    <row r="8" spans="1:14" x14ac:dyDescent="0.25">
      <c r="A8" s="11">
        <v>775119526</v>
      </c>
      <c r="B8" s="12">
        <f t="shared" si="0"/>
        <v>775119526</v>
      </c>
      <c r="C8" s="17" t="str">
        <f>IFERROR(VALUE(_xlfn.XLOOKUP($A8,Calculation!$B:$B,Calculation!C:C,"ERR",0)),"")</f>
        <v/>
      </c>
      <c r="D8" s="17" t="str">
        <f>IFERROR(VALUE(_xlfn.XLOOKUP($A8,Calculation!$B:$B,Calculation!D:D,"ERR",0)),"")</f>
        <v/>
      </c>
      <c r="F8" s="17" t="str">
        <f>IFERROR(VALUE(_xlfn.XLOOKUP($A8,Calculation!$B:$B,Calculation!E:E,"ERR",0)),"")</f>
        <v/>
      </c>
      <c r="H8" s="18" t="str">
        <f>IFERROR(VALUE(_xlfn.XLOOKUP($A8,Calculation!$B:$B,Calculation!F:F,"ERR",0)),"")</f>
        <v/>
      </c>
      <c r="I8" s="18"/>
      <c r="J8" s="18" t="str">
        <f>IFERROR(VALUE(_xlfn.XLOOKUP($A8,Calculation!$B:$B,Calculation!G:G,"ERR",0)),"")</f>
        <v/>
      </c>
      <c r="K8" s="18"/>
      <c r="L8" s="18" t="str">
        <f>IFERROR(VALUE(_xlfn.XLOOKUP($A8,Calculation!$B:$B,Calculation!H:H,"ERR",0)),"")</f>
        <v/>
      </c>
      <c r="M8" s="10" t="e">
        <f>VALUE(_xlfn.XLOOKUP($A8,Calculation!$B:$B,Calculation!I:I,"ERR",0))</f>
        <v>#VALUE!</v>
      </c>
      <c r="N8" s="7" t="e">
        <f t="shared" si="1"/>
        <v>#VALUE!</v>
      </c>
    </row>
    <row r="9" spans="1:14" x14ac:dyDescent="0.25">
      <c r="A9" s="11">
        <v>775611527</v>
      </c>
      <c r="B9" s="12">
        <f t="shared" si="0"/>
        <v>775611527</v>
      </c>
      <c r="C9" s="17" t="str">
        <f>IFERROR(VALUE(_xlfn.XLOOKUP($A9,Calculation!$B:$B,Calculation!C:C,"ERR",0)),"")</f>
        <v/>
      </c>
      <c r="D9" s="17" t="str">
        <f>IFERROR(VALUE(_xlfn.XLOOKUP($A9,Calculation!$B:$B,Calculation!D:D,"ERR",0)),"")</f>
        <v/>
      </c>
      <c r="F9" s="17" t="str">
        <f>IFERROR(VALUE(_xlfn.XLOOKUP($A9,Calculation!$B:$B,Calculation!E:E,"ERR",0)),"")</f>
        <v/>
      </c>
      <c r="H9" s="18" t="str">
        <f>IFERROR(VALUE(_xlfn.XLOOKUP($A9,Calculation!$B:$B,Calculation!F:F,"ERR",0)),"")</f>
        <v/>
      </c>
      <c r="I9" s="18"/>
      <c r="J9" s="18" t="str">
        <f>IFERROR(VALUE(_xlfn.XLOOKUP($A9,Calculation!$B:$B,Calculation!G:G,"ERR",0)),"")</f>
        <v/>
      </c>
      <c r="K9" s="18"/>
      <c r="L9" s="18" t="str">
        <f>IFERROR(VALUE(_xlfn.XLOOKUP($A9,Calculation!$B:$B,Calculation!H:H,"ERR",0)),"")</f>
        <v/>
      </c>
      <c r="M9" s="10" t="e">
        <f>VALUE(_xlfn.XLOOKUP($A9,Calculation!$B:$B,Calculation!I:I,"ERR",0))</f>
        <v>#VALUE!</v>
      </c>
      <c r="N9" s="7" t="e">
        <f t="shared" si="1"/>
        <v>#VALUE!</v>
      </c>
    </row>
    <row r="10" spans="1:14" x14ac:dyDescent="0.25">
      <c r="A10" s="11">
        <v>775110153</v>
      </c>
      <c r="B10" s="12">
        <f t="shared" si="0"/>
        <v>775110153</v>
      </c>
      <c r="C10" s="17" t="str">
        <f>IFERROR(VALUE(_xlfn.XLOOKUP($A10,Calculation!$B:$B,Calculation!C:C,"ERR",0)),"")</f>
        <v/>
      </c>
      <c r="D10" s="17" t="str">
        <f>IFERROR(VALUE(_xlfn.XLOOKUP($A10,Calculation!$B:$B,Calculation!D:D,"ERR",0)),"")</f>
        <v/>
      </c>
      <c r="F10" s="17" t="str">
        <f>IFERROR(VALUE(_xlfn.XLOOKUP($A10,Calculation!$B:$B,Calculation!E:E,"ERR",0)),"")</f>
        <v/>
      </c>
      <c r="H10" s="18" t="str">
        <f>IFERROR(VALUE(_xlfn.XLOOKUP($A10,Calculation!$B:$B,Calculation!F:F,"ERR",0)),"")</f>
        <v/>
      </c>
      <c r="I10" s="18"/>
      <c r="J10" s="18" t="str">
        <f>IFERROR(VALUE(_xlfn.XLOOKUP($A10,Calculation!$B:$B,Calculation!G:G,"ERR",0)),"")</f>
        <v/>
      </c>
      <c r="K10" s="18"/>
      <c r="L10" s="18" t="str">
        <f>IFERROR(VALUE(_xlfn.XLOOKUP($A10,Calculation!$B:$B,Calculation!H:H,"ERR",0)),"")</f>
        <v/>
      </c>
      <c r="M10" s="10" t="e">
        <f>VALUE(_xlfn.XLOOKUP($A10,Calculation!$B:$B,Calculation!I:I,"ERR",0))</f>
        <v>#VALUE!</v>
      </c>
      <c r="N10" s="7" t="e">
        <f t="shared" si="1"/>
        <v>#VALUE!</v>
      </c>
    </row>
    <row r="11" spans="1:14" x14ac:dyDescent="0.25">
      <c r="A11" s="11">
        <v>775110317</v>
      </c>
      <c r="B11" s="12">
        <f t="shared" si="0"/>
        <v>775110317</v>
      </c>
      <c r="C11" s="17" t="str">
        <f>IFERROR(VALUE(_xlfn.XLOOKUP($A11,Calculation!$B:$B,Calculation!C:C,"ERR",0)),"")</f>
        <v/>
      </c>
      <c r="D11" s="17" t="str">
        <f>IFERROR(VALUE(_xlfn.XLOOKUP($A11,Calculation!$B:$B,Calculation!D:D,"ERR",0)),"")</f>
        <v/>
      </c>
      <c r="F11" s="17" t="str">
        <f>IFERROR(VALUE(_xlfn.XLOOKUP($A11,Calculation!$B:$B,Calculation!E:E,"ERR",0)),"")</f>
        <v/>
      </c>
      <c r="H11" s="18" t="str">
        <f>IFERROR(VALUE(_xlfn.XLOOKUP($A11,Calculation!$B:$B,Calculation!F:F,"ERR",0)),"")</f>
        <v/>
      </c>
      <c r="I11" s="18"/>
      <c r="J11" s="18" t="str">
        <f>IFERROR(VALUE(_xlfn.XLOOKUP($A11,Calculation!$B:$B,Calculation!G:G,"ERR",0)),"")</f>
        <v/>
      </c>
      <c r="K11" s="18"/>
      <c r="L11" s="18" t="str">
        <f>IFERROR(VALUE(_xlfn.XLOOKUP($A11,Calculation!$B:$B,Calculation!H:H,"ERR",0)),"")</f>
        <v/>
      </c>
      <c r="M11" s="10" t="e">
        <f>VALUE(_xlfn.XLOOKUP($A11,Calculation!$B:$B,Calculation!I:I,"ERR",0))</f>
        <v>#VALUE!</v>
      </c>
      <c r="N11" s="7" t="e">
        <f t="shared" si="1"/>
        <v>#VALUE!</v>
      </c>
    </row>
    <row r="12" spans="1:14" x14ac:dyDescent="0.25">
      <c r="A12" s="11">
        <v>775110387</v>
      </c>
      <c r="B12" s="12">
        <f t="shared" si="0"/>
        <v>775110387</v>
      </c>
      <c r="C12" s="17" t="str">
        <f>IFERROR(VALUE(_xlfn.XLOOKUP($A12,Calculation!$B:$B,Calculation!C:C,"ERR",0)),"")</f>
        <v/>
      </c>
      <c r="D12" s="17" t="str">
        <f>IFERROR(VALUE(_xlfn.XLOOKUP($A12,Calculation!$B:$B,Calculation!D:D,"ERR",0)),"")</f>
        <v/>
      </c>
      <c r="F12" s="17" t="str">
        <f>IFERROR(VALUE(_xlfn.XLOOKUP($A12,Calculation!$B:$B,Calculation!E:E,"ERR",0)),"")</f>
        <v/>
      </c>
      <c r="H12" s="18" t="str">
        <f>IFERROR(VALUE(_xlfn.XLOOKUP($A12,Calculation!$B:$B,Calculation!F:F,"ERR",0)),"")</f>
        <v/>
      </c>
      <c r="I12" s="18"/>
      <c r="J12" s="18" t="str">
        <f>IFERROR(VALUE(_xlfn.XLOOKUP($A12,Calculation!$B:$B,Calculation!G:G,"ERR",0)),"")</f>
        <v/>
      </c>
      <c r="K12" s="18"/>
      <c r="L12" s="18" t="str">
        <f>IFERROR(VALUE(_xlfn.XLOOKUP($A12,Calculation!$B:$B,Calculation!H:H,"ERR",0)),"")</f>
        <v/>
      </c>
      <c r="M12" s="10" t="e">
        <f>VALUE(_xlfn.XLOOKUP($A12,Calculation!$B:$B,Calculation!I:I,"ERR",0))</f>
        <v>#VALUE!</v>
      </c>
      <c r="N12" s="7" t="e">
        <f t="shared" si="1"/>
        <v>#VALUE!</v>
      </c>
    </row>
    <row r="13" spans="1:14" x14ac:dyDescent="0.25">
      <c r="A13" s="11">
        <v>245840271</v>
      </c>
      <c r="B13" s="12">
        <f t="shared" si="0"/>
        <v>245840271</v>
      </c>
      <c r="C13" s="17" t="str">
        <f>IFERROR(VALUE(_xlfn.XLOOKUP($A13,Calculation!$B:$B,Calculation!C:C,"ERR",0)),"")</f>
        <v/>
      </c>
      <c r="D13" s="17" t="str">
        <f>IFERROR(VALUE(_xlfn.XLOOKUP($A13,Calculation!$B:$B,Calculation!D:D,"ERR",0)),"")</f>
        <v/>
      </c>
      <c r="F13" s="17" t="str">
        <f>IFERROR(VALUE(_xlfn.XLOOKUP($A13,Calculation!$B:$B,Calculation!E:E,"ERR",0)),"")</f>
        <v/>
      </c>
      <c r="H13" s="18" t="str">
        <f>IFERROR(VALUE(_xlfn.XLOOKUP($A13,Calculation!$B:$B,Calculation!F:F,"ERR",0)),"")</f>
        <v/>
      </c>
      <c r="I13" s="18"/>
      <c r="J13" s="18" t="str">
        <f>IFERROR(VALUE(_xlfn.XLOOKUP($A13,Calculation!$B:$B,Calculation!G:G,"ERR",0)),"")</f>
        <v/>
      </c>
      <c r="K13" s="18"/>
      <c r="L13" s="18" t="str">
        <f>IFERROR(VALUE(_xlfn.XLOOKUP($A13,Calculation!$B:$B,Calculation!H:H,"ERR",0)),"")</f>
        <v/>
      </c>
      <c r="M13" s="10" t="e">
        <f>VALUE(_xlfn.XLOOKUP($A13,Calculation!$B:$B,Calculation!I:I,"ERR",0))</f>
        <v>#VALUE!</v>
      </c>
      <c r="N13" s="7" t="e">
        <f t="shared" si="1"/>
        <v>#VALUE!</v>
      </c>
    </row>
    <row r="14" spans="1:14" x14ac:dyDescent="0.25">
      <c r="A14" s="11">
        <v>775110327</v>
      </c>
      <c r="B14" s="12">
        <f t="shared" si="0"/>
        <v>775110327</v>
      </c>
      <c r="C14" s="17" t="str">
        <f>IFERROR(VALUE(_xlfn.XLOOKUP($A14,Calculation!$B:$B,Calculation!C:C,"ERR",0)),"")</f>
        <v/>
      </c>
      <c r="D14" s="17" t="str">
        <f>IFERROR(VALUE(_xlfn.XLOOKUP($A14,Calculation!$B:$B,Calculation!D:D,"ERR",0)),"")</f>
        <v/>
      </c>
      <c r="F14" s="17" t="str">
        <f>IFERROR(VALUE(_xlfn.XLOOKUP($A14,Calculation!$B:$B,Calculation!E:E,"ERR",0)),"")</f>
        <v/>
      </c>
      <c r="H14" s="18" t="str">
        <f>IFERROR(VALUE(_xlfn.XLOOKUP($A14,Calculation!$B:$B,Calculation!F:F,"ERR",0)),"")</f>
        <v/>
      </c>
      <c r="I14" s="18"/>
      <c r="J14" s="18" t="str">
        <f>IFERROR(VALUE(_xlfn.XLOOKUP($A14,Calculation!$B:$B,Calculation!G:G,"ERR",0)),"")</f>
        <v/>
      </c>
      <c r="K14" s="18"/>
      <c r="L14" s="18" t="str">
        <f>IFERROR(VALUE(_xlfn.XLOOKUP($A14,Calculation!$B:$B,Calculation!H:H,"ERR",0)),"")</f>
        <v/>
      </c>
      <c r="M14" s="10" t="e">
        <f>VALUE(_xlfn.XLOOKUP($A14,Calculation!$B:$B,Calculation!I:I,"ERR",0))</f>
        <v>#VALUE!</v>
      </c>
      <c r="N14" s="7" t="e">
        <f t="shared" si="1"/>
        <v>#VALUE!</v>
      </c>
    </row>
    <row r="15" spans="1:14" x14ac:dyDescent="0.25">
      <c r="A15" s="11">
        <v>775110728</v>
      </c>
      <c r="B15" s="12">
        <f t="shared" si="0"/>
        <v>775110728</v>
      </c>
      <c r="C15" s="17" t="str">
        <f>IFERROR(VALUE(_xlfn.XLOOKUP($A15,Calculation!$B:$B,Calculation!C:C,"ERR",0)),"")</f>
        <v/>
      </c>
      <c r="D15" s="17" t="str">
        <f>IFERROR(VALUE(_xlfn.XLOOKUP($A15,Calculation!$B:$B,Calculation!D:D,"ERR",0)),"")</f>
        <v/>
      </c>
      <c r="F15" s="17" t="str">
        <f>IFERROR(VALUE(_xlfn.XLOOKUP($A15,Calculation!$B:$B,Calculation!E:E,"ERR",0)),"")</f>
        <v/>
      </c>
      <c r="H15" s="18" t="str">
        <f>IFERROR(VALUE(_xlfn.XLOOKUP($A15,Calculation!$B:$B,Calculation!F:F,"ERR",0)),"")</f>
        <v/>
      </c>
      <c r="I15" s="18"/>
      <c r="J15" s="18" t="str">
        <f>IFERROR(VALUE(_xlfn.XLOOKUP($A15,Calculation!$B:$B,Calculation!G:G,"ERR",0)),"")</f>
        <v/>
      </c>
      <c r="K15" s="18"/>
      <c r="L15" s="18" t="str">
        <f>IFERROR(VALUE(_xlfn.XLOOKUP($A15,Calculation!$B:$B,Calculation!H:H,"ERR",0)),"")</f>
        <v/>
      </c>
      <c r="M15" s="10" t="e">
        <f>VALUE(_xlfn.XLOOKUP($A15,Calculation!$B:$B,Calculation!I:I,"ERR",0))</f>
        <v>#VALUE!</v>
      </c>
      <c r="N15" s="7" t="e">
        <f t="shared" si="1"/>
        <v>#VALUE!</v>
      </c>
    </row>
    <row r="16" spans="1:14" x14ac:dyDescent="0.25">
      <c r="A16" s="11">
        <v>775115225</v>
      </c>
      <c r="B16" s="12">
        <f t="shared" si="0"/>
        <v>775115225</v>
      </c>
      <c r="C16" s="17" t="str">
        <f>IFERROR(VALUE(_xlfn.XLOOKUP($A16,Calculation!$B:$B,Calculation!C:C,"ERR",0)),"")</f>
        <v/>
      </c>
      <c r="D16" s="17" t="str">
        <f>IFERROR(VALUE(_xlfn.XLOOKUP($A16,Calculation!$B:$B,Calculation!D:D,"ERR",0)),"")</f>
        <v/>
      </c>
      <c r="F16" s="17" t="str">
        <f>IFERROR(VALUE(_xlfn.XLOOKUP($A16,Calculation!$B:$B,Calculation!E:E,"ERR",0)),"")</f>
        <v/>
      </c>
      <c r="H16" s="18" t="str">
        <f>IFERROR(VALUE(_xlfn.XLOOKUP($A16,Calculation!$B:$B,Calculation!F:F,"ERR",0)),"")</f>
        <v/>
      </c>
      <c r="I16" s="18"/>
      <c r="J16" s="18" t="str">
        <f>IFERROR(VALUE(_xlfn.XLOOKUP($A16,Calculation!$B:$B,Calculation!G:G,"ERR",0)),"")</f>
        <v/>
      </c>
      <c r="K16" s="18"/>
      <c r="L16" s="18" t="str">
        <f>IFERROR(VALUE(_xlfn.XLOOKUP($A16,Calculation!$B:$B,Calculation!H:H,"ERR",0)),"")</f>
        <v/>
      </c>
      <c r="M16" s="10" t="e">
        <f>VALUE(_xlfn.XLOOKUP($A16,Calculation!$B:$B,Calculation!I:I,"ERR",0))</f>
        <v>#VALUE!</v>
      </c>
      <c r="N16" s="7" t="e">
        <f t="shared" si="1"/>
        <v>#VALUE!</v>
      </c>
    </row>
    <row r="17" spans="1:14" x14ac:dyDescent="0.25">
      <c r="A17" s="11">
        <v>775115429</v>
      </c>
      <c r="B17" s="12">
        <f t="shared" si="0"/>
        <v>775115429</v>
      </c>
      <c r="C17" s="17" t="str">
        <f>IFERROR(VALUE(_xlfn.XLOOKUP($A17,Calculation!$B:$B,Calculation!C:C,"ERR",0)),"")</f>
        <v/>
      </c>
      <c r="D17" s="17" t="str">
        <f>IFERROR(VALUE(_xlfn.XLOOKUP($A17,Calculation!$B:$B,Calculation!D:D,"ERR",0)),"")</f>
        <v/>
      </c>
      <c r="F17" s="17" t="str">
        <f>IFERROR(VALUE(_xlfn.XLOOKUP($A17,Calculation!$B:$B,Calculation!E:E,"ERR",0)),"")</f>
        <v/>
      </c>
      <c r="H17" s="18" t="str">
        <f>IFERROR(VALUE(_xlfn.XLOOKUP($A17,Calculation!$B:$B,Calculation!F:F,"ERR",0)),"")</f>
        <v/>
      </c>
      <c r="I17" s="18"/>
      <c r="J17" s="18" t="str">
        <f>IFERROR(VALUE(_xlfn.XLOOKUP($A17,Calculation!$B:$B,Calculation!G:G,"ERR",0)),"")</f>
        <v/>
      </c>
      <c r="K17" s="18"/>
      <c r="L17" s="18" t="str">
        <f>IFERROR(VALUE(_xlfn.XLOOKUP($A17,Calculation!$B:$B,Calculation!H:H,"ERR",0)),"")</f>
        <v/>
      </c>
      <c r="M17" s="10" t="e">
        <f>VALUE(_xlfn.XLOOKUP($A17,Calculation!$B:$B,Calculation!I:I,"ERR",0))</f>
        <v>#VALUE!</v>
      </c>
      <c r="N17" s="7" t="e">
        <f t="shared" si="1"/>
        <v>#VALUE!</v>
      </c>
    </row>
    <row r="18" spans="1:14" x14ac:dyDescent="0.25">
      <c r="A18" s="11">
        <v>775115557</v>
      </c>
      <c r="B18" s="12">
        <f t="shared" si="0"/>
        <v>775115557</v>
      </c>
      <c r="C18" s="17" t="str">
        <f>IFERROR(VALUE(_xlfn.XLOOKUP($A18,Calculation!$B:$B,Calculation!C:C,"ERR",0)),"")</f>
        <v/>
      </c>
      <c r="D18" s="17" t="str">
        <f>IFERROR(VALUE(_xlfn.XLOOKUP($A18,Calculation!$B:$B,Calculation!D:D,"ERR",0)),"")</f>
        <v/>
      </c>
      <c r="F18" s="17" t="str">
        <f>IFERROR(VALUE(_xlfn.XLOOKUP($A18,Calculation!$B:$B,Calculation!E:E,"ERR",0)),"")</f>
        <v/>
      </c>
      <c r="H18" s="18" t="str">
        <f>IFERROR(VALUE(_xlfn.XLOOKUP($A18,Calculation!$B:$B,Calculation!F:F,"ERR",0)),"")</f>
        <v/>
      </c>
      <c r="I18" s="18"/>
      <c r="J18" s="18" t="str">
        <f>IFERROR(VALUE(_xlfn.XLOOKUP($A18,Calculation!$B:$B,Calculation!G:G,"ERR",0)),"")</f>
        <v/>
      </c>
      <c r="K18" s="18"/>
      <c r="L18" s="18" t="str">
        <f>IFERROR(VALUE(_xlfn.XLOOKUP($A18,Calculation!$B:$B,Calculation!H:H,"ERR",0)),"")</f>
        <v/>
      </c>
      <c r="M18" s="10" t="e">
        <f>VALUE(_xlfn.XLOOKUP($A18,Calculation!$B:$B,Calculation!I:I,"ERR",0))</f>
        <v>#VALUE!</v>
      </c>
      <c r="N18" s="7" t="e">
        <f t="shared" si="1"/>
        <v>#VALUE!</v>
      </c>
    </row>
    <row r="19" spans="1:14" x14ac:dyDescent="0.25">
      <c r="A19" s="11">
        <v>77511715</v>
      </c>
      <c r="B19" s="12">
        <f t="shared" si="0"/>
        <v>77511715</v>
      </c>
      <c r="C19" s="17" t="str">
        <f>IFERROR(VALUE(_xlfn.XLOOKUP($A19,Calculation!$B:$B,Calculation!C:C,"ERR",0)),"")</f>
        <v/>
      </c>
      <c r="D19" s="17" t="str">
        <f>IFERROR(VALUE(_xlfn.XLOOKUP($A19,Calculation!$B:$B,Calculation!D:D,"ERR",0)),"")</f>
        <v/>
      </c>
      <c r="F19" s="17" t="str">
        <f>IFERROR(VALUE(_xlfn.XLOOKUP($A19,Calculation!$B:$B,Calculation!E:E,"ERR",0)),"")</f>
        <v/>
      </c>
      <c r="H19" s="18" t="str">
        <f>IFERROR(VALUE(_xlfn.XLOOKUP($A19,Calculation!$B:$B,Calculation!F:F,"ERR",0)),"")</f>
        <v/>
      </c>
      <c r="I19" s="18"/>
      <c r="J19" s="18" t="str">
        <f>IFERROR(VALUE(_xlfn.XLOOKUP($A19,Calculation!$B:$B,Calculation!G:G,"ERR",0)),"")</f>
        <v/>
      </c>
      <c r="K19" s="18"/>
      <c r="L19" s="18" t="str">
        <f>IFERROR(VALUE(_xlfn.XLOOKUP($A19,Calculation!$B:$B,Calculation!H:H,"ERR",0)),"")</f>
        <v/>
      </c>
      <c r="M19" s="10" t="e">
        <f>VALUE(_xlfn.XLOOKUP($A19,Calculation!$B:$B,Calculation!I:I,"ERR",0))</f>
        <v>#VALUE!</v>
      </c>
      <c r="N19" s="7" t="e">
        <f t="shared" si="1"/>
        <v>#VALUE!</v>
      </c>
    </row>
    <row r="20" spans="1:14" x14ac:dyDescent="0.25">
      <c r="A20" s="11">
        <v>77511717</v>
      </c>
      <c r="B20" s="12">
        <f t="shared" si="0"/>
        <v>77511717</v>
      </c>
      <c r="C20" s="17" t="str">
        <f>IFERROR(VALUE(_xlfn.XLOOKUP($A20,Calculation!$B:$B,Calculation!C:C,"ERR",0)),"")</f>
        <v/>
      </c>
      <c r="D20" s="17" t="str">
        <f>IFERROR(VALUE(_xlfn.XLOOKUP($A20,Calculation!$B:$B,Calculation!D:D,"ERR",0)),"")</f>
        <v/>
      </c>
      <c r="F20" s="17" t="str">
        <f>IFERROR(VALUE(_xlfn.XLOOKUP($A20,Calculation!$B:$B,Calculation!E:E,"ERR",0)),"")</f>
        <v/>
      </c>
      <c r="H20" s="18" t="str">
        <f>IFERROR(VALUE(_xlfn.XLOOKUP($A20,Calculation!$B:$B,Calculation!F:F,"ERR",0)),"")</f>
        <v/>
      </c>
      <c r="I20" s="18"/>
      <c r="J20" s="18" t="str">
        <f>IFERROR(VALUE(_xlfn.XLOOKUP($A20,Calculation!$B:$B,Calculation!G:G,"ERR",0)),"")</f>
        <v/>
      </c>
      <c r="K20" s="18"/>
      <c r="L20" s="18" t="str">
        <f>IFERROR(VALUE(_xlfn.XLOOKUP($A20,Calculation!$B:$B,Calculation!H:H,"ERR",0)),"")</f>
        <v/>
      </c>
      <c r="M20" s="10" t="e">
        <f>VALUE(_xlfn.XLOOKUP($A20,Calculation!$B:$B,Calculation!I:I,"ERR",0))</f>
        <v>#VALUE!</v>
      </c>
      <c r="N20" s="7" t="e">
        <f t="shared" si="1"/>
        <v>#VALUE!</v>
      </c>
    </row>
    <row r="21" spans="1:14" x14ac:dyDescent="0.25">
      <c r="A21" s="11">
        <v>77511718</v>
      </c>
      <c r="B21" s="12">
        <f t="shared" si="0"/>
        <v>77511718</v>
      </c>
      <c r="C21" s="17" t="str">
        <f>IFERROR(VALUE(_xlfn.XLOOKUP($A21,Calculation!$B:$B,Calculation!C:C,"ERR",0)),"")</f>
        <v/>
      </c>
      <c r="D21" s="17" t="str">
        <f>IFERROR(VALUE(_xlfn.XLOOKUP($A21,Calculation!$B:$B,Calculation!D:D,"ERR",0)),"")</f>
        <v/>
      </c>
      <c r="F21" s="17" t="str">
        <f>IFERROR(VALUE(_xlfn.XLOOKUP($A21,Calculation!$B:$B,Calculation!E:E,"ERR",0)),"")</f>
        <v/>
      </c>
      <c r="H21" s="18" t="str">
        <f>IFERROR(VALUE(_xlfn.XLOOKUP($A21,Calculation!$B:$B,Calculation!F:F,"ERR",0)),"")</f>
        <v/>
      </c>
      <c r="I21" s="18"/>
      <c r="J21" s="18" t="str">
        <f>IFERROR(VALUE(_xlfn.XLOOKUP($A21,Calculation!$B:$B,Calculation!G:G,"ERR",0)),"")</f>
        <v/>
      </c>
      <c r="K21" s="18"/>
      <c r="L21" s="18" t="str">
        <f>IFERROR(VALUE(_xlfn.XLOOKUP($A21,Calculation!$B:$B,Calculation!H:H,"ERR",0)),"")</f>
        <v/>
      </c>
      <c r="M21" s="10" t="e">
        <f>VALUE(_xlfn.XLOOKUP($A21,Calculation!$B:$B,Calculation!I:I,"ERR",0))</f>
        <v>#VALUE!</v>
      </c>
      <c r="N21" s="7" t="e">
        <f t="shared" si="1"/>
        <v>#VALUE!</v>
      </c>
    </row>
    <row r="22" spans="1:14" x14ac:dyDescent="0.25">
      <c r="A22" s="11">
        <v>775117665</v>
      </c>
      <c r="B22" s="12">
        <f t="shared" si="0"/>
        <v>775117665</v>
      </c>
      <c r="C22" s="17" t="str">
        <f>IFERROR(VALUE(_xlfn.XLOOKUP($A22,Calculation!$B:$B,Calculation!C:C,"ERR",0)),"")</f>
        <v/>
      </c>
      <c r="D22" s="17" t="str">
        <f>IFERROR(VALUE(_xlfn.XLOOKUP($A22,Calculation!$B:$B,Calculation!D:D,"ERR",0)),"")</f>
        <v/>
      </c>
      <c r="F22" s="17" t="str">
        <f>IFERROR(VALUE(_xlfn.XLOOKUP($A22,Calculation!$B:$B,Calculation!E:E,"ERR",0)),"")</f>
        <v/>
      </c>
      <c r="H22" s="18" t="str">
        <f>IFERROR(VALUE(_xlfn.XLOOKUP($A22,Calculation!$B:$B,Calculation!F:F,"ERR",0)),"")</f>
        <v/>
      </c>
      <c r="I22" s="18"/>
      <c r="J22" s="18" t="str">
        <f>IFERROR(VALUE(_xlfn.XLOOKUP($A22,Calculation!$B:$B,Calculation!G:G,"ERR",0)),"")</f>
        <v/>
      </c>
      <c r="K22" s="18"/>
      <c r="L22" s="18" t="str">
        <f>IFERROR(VALUE(_xlfn.XLOOKUP($A22,Calculation!$B:$B,Calculation!H:H,"ERR",0)),"")</f>
        <v/>
      </c>
      <c r="M22" s="10" t="e">
        <f>VALUE(_xlfn.XLOOKUP($A22,Calculation!$B:$B,Calculation!I:I,"ERR",0))</f>
        <v>#VALUE!</v>
      </c>
      <c r="N22" s="7" t="e">
        <f t="shared" si="1"/>
        <v>#VALUE!</v>
      </c>
    </row>
    <row r="23" spans="1:14" x14ac:dyDescent="0.25">
      <c r="A23" s="11">
        <v>21385047</v>
      </c>
      <c r="B23" s="12">
        <f t="shared" si="0"/>
        <v>21385047</v>
      </c>
      <c r="C23" s="17" t="str">
        <f>IFERROR(VALUE(_xlfn.XLOOKUP($A23,Calculation!$B:$B,Calculation!C:C,"ERR",0)),"")</f>
        <v/>
      </c>
      <c r="D23" s="17" t="str">
        <f>IFERROR(VALUE(_xlfn.XLOOKUP($A23,Calculation!$B:$B,Calculation!D:D,"ERR",0)),"")</f>
        <v/>
      </c>
      <c r="F23" s="17" t="str">
        <f>IFERROR(VALUE(_xlfn.XLOOKUP($A23,Calculation!$B:$B,Calculation!E:E,"ERR",0)),"")</f>
        <v/>
      </c>
      <c r="H23" s="18" t="str">
        <f>IFERROR(VALUE(_xlfn.XLOOKUP($A23,Calculation!$B:$B,Calculation!F:F,"ERR",0)),"")</f>
        <v/>
      </c>
      <c r="I23" s="18"/>
      <c r="J23" s="18" t="str">
        <f>IFERROR(VALUE(_xlfn.XLOOKUP($A23,Calculation!$B:$B,Calculation!G:G,"ERR",0)),"")</f>
        <v/>
      </c>
      <c r="K23" s="18"/>
      <c r="L23" s="18" t="str">
        <f>IFERROR(VALUE(_xlfn.XLOOKUP($A23,Calculation!$B:$B,Calculation!H:H,"ERR",0)),"")</f>
        <v/>
      </c>
      <c r="M23" s="10" t="e">
        <f>VALUE(_xlfn.XLOOKUP($A23,Calculation!$B:$B,Calculation!I:I,"ERR",0))</f>
        <v>#VALUE!</v>
      </c>
      <c r="N23" s="7" t="e">
        <f t="shared" si="1"/>
        <v>#VALUE!</v>
      </c>
    </row>
    <row r="24" spans="1:14" x14ac:dyDescent="0.25">
      <c r="A24" s="11">
        <v>775117884</v>
      </c>
      <c r="B24" s="12">
        <f t="shared" si="0"/>
        <v>775117884</v>
      </c>
      <c r="C24" s="17" t="str">
        <f>IFERROR(VALUE(_xlfn.XLOOKUP($A24,Calculation!$B:$B,Calculation!C:C,"ERR",0)),"")</f>
        <v/>
      </c>
      <c r="D24" s="17" t="str">
        <f>IFERROR(VALUE(_xlfn.XLOOKUP($A24,Calculation!$B:$B,Calculation!D:D,"ERR",0)),"")</f>
        <v/>
      </c>
      <c r="F24" s="17" t="str">
        <f>IFERROR(VALUE(_xlfn.XLOOKUP($A24,Calculation!$B:$B,Calculation!E:E,"ERR",0)),"")</f>
        <v/>
      </c>
      <c r="H24" s="18" t="str">
        <f>IFERROR(VALUE(_xlfn.XLOOKUP($A24,Calculation!$B:$B,Calculation!F:F,"ERR",0)),"")</f>
        <v/>
      </c>
      <c r="I24" s="18"/>
      <c r="J24" s="18" t="str">
        <f>IFERROR(VALUE(_xlfn.XLOOKUP($A24,Calculation!$B:$B,Calculation!G:G,"ERR",0)),"")</f>
        <v/>
      </c>
      <c r="K24" s="18"/>
      <c r="L24" s="18" t="str">
        <f>IFERROR(VALUE(_xlfn.XLOOKUP($A24,Calculation!$B:$B,Calculation!H:H,"ERR",0)),"")</f>
        <v/>
      </c>
      <c r="M24" s="10" t="e">
        <f>VALUE(_xlfn.XLOOKUP($A24,Calculation!$B:$B,Calculation!I:I,"ERR",0))</f>
        <v>#VALUE!</v>
      </c>
      <c r="N24" s="7" t="e">
        <f t="shared" si="1"/>
        <v>#VALUE!</v>
      </c>
    </row>
    <row r="25" spans="1:14" x14ac:dyDescent="0.25">
      <c r="A25" s="11">
        <v>775118522</v>
      </c>
      <c r="B25" s="12">
        <f t="shared" si="0"/>
        <v>775118522</v>
      </c>
      <c r="C25" s="17" t="str">
        <f>IFERROR(VALUE(_xlfn.XLOOKUP($A25,Calculation!$B:$B,Calculation!C:C,"ERR",0)),"")</f>
        <v/>
      </c>
      <c r="D25" s="17" t="str">
        <f>IFERROR(VALUE(_xlfn.XLOOKUP($A25,Calculation!$B:$B,Calculation!D:D,"ERR",0)),"")</f>
        <v/>
      </c>
      <c r="F25" s="17" t="str">
        <f>IFERROR(VALUE(_xlfn.XLOOKUP($A25,Calculation!$B:$B,Calculation!E:E,"ERR",0)),"")</f>
        <v/>
      </c>
      <c r="H25" s="18" t="str">
        <f>IFERROR(VALUE(_xlfn.XLOOKUP($A25,Calculation!$B:$B,Calculation!F:F,"ERR",0)),"")</f>
        <v/>
      </c>
      <c r="I25" s="18"/>
      <c r="J25" s="18" t="str">
        <f>IFERROR(VALUE(_xlfn.XLOOKUP($A25,Calculation!$B:$B,Calculation!G:G,"ERR",0)),"")</f>
        <v/>
      </c>
      <c r="K25" s="18"/>
      <c r="L25" s="18" t="str">
        <f>IFERROR(VALUE(_xlfn.XLOOKUP($A25,Calculation!$B:$B,Calculation!H:H,"ERR",0)),"")</f>
        <v/>
      </c>
      <c r="M25" s="10" t="e">
        <f>VALUE(_xlfn.XLOOKUP($A25,Calculation!$B:$B,Calculation!I:I,"ERR",0))</f>
        <v>#VALUE!</v>
      </c>
      <c r="N25" s="7" t="e">
        <f t="shared" si="1"/>
        <v>#VALUE!</v>
      </c>
    </row>
    <row r="26" spans="1:14" x14ac:dyDescent="0.25">
      <c r="A26" s="11">
        <v>775118667</v>
      </c>
      <c r="B26" s="12">
        <f t="shared" si="0"/>
        <v>775118667</v>
      </c>
      <c r="C26" s="17" t="str">
        <f>IFERROR(VALUE(_xlfn.XLOOKUP($A26,Calculation!$B:$B,Calculation!C:C,"ERR",0)),"")</f>
        <v/>
      </c>
      <c r="D26" s="17" t="str">
        <f>IFERROR(VALUE(_xlfn.XLOOKUP($A26,Calculation!$B:$B,Calculation!D:D,"ERR",0)),"")</f>
        <v/>
      </c>
      <c r="F26" s="17" t="str">
        <f>IFERROR(VALUE(_xlfn.XLOOKUP($A26,Calculation!$B:$B,Calculation!E:E,"ERR",0)),"")</f>
        <v/>
      </c>
      <c r="H26" s="18" t="str">
        <f>IFERROR(VALUE(_xlfn.XLOOKUP($A26,Calculation!$B:$B,Calculation!F:F,"ERR",0)),"")</f>
        <v/>
      </c>
      <c r="I26" s="18"/>
      <c r="J26" s="18" t="str">
        <f>IFERROR(VALUE(_xlfn.XLOOKUP($A26,Calculation!$B:$B,Calculation!G:G,"ERR",0)),"")</f>
        <v/>
      </c>
      <c r="K26" s="18"/>
      <c r="L26" s="18" t="str">
        <f>IFERROR(VALUE(_xlfn.XLOOKUP($A26,Calculation!$B:$B,Calculation!H:H,"ERR",0)),"")</f>
        <v/>
      </c>
      <c r="M26" s="10" t="e">
        <f>VALUE(_xlfn.XLOOKUP($A26,Calculation!$B:$B,Calculation!I:I,"ERR",0))</f>
        <v>#VALUE!</v>
      </c>
      <c r="N26" s="7" t="e">
        <f t="shared" si="1"/>
        <v>#VALUE!</v>
      </c>
    </row>
    <row r="27" spans="1:14" x14ac:dyDescent="0.25">
      <c r="A27" s="11">
        <v>775610568</v>
      </c>
      <c r="B27" s="12">
        <f t="shared" si="0"/>
        <v>775610568</v>
      </c>
      <c r="C27" s="17" t="str">
        <f>IFERROR(VALUE(_xlfn.XLOOKUP($A27,Calculation!$B:$B,Calculation!C:C,"ERR",0)),"")</f>
        <v/>
      </c>
      <c r="D27" s="17" t="str">
        <f>IFERROR(VALUE(_xlfn.XLOOKUP($A27,Calculation!$B:$B,Calculation!D:D,"ERR",0)),"")</f>
        <v/>
      </c>
      <c r="F27" s="17" t="str">
        <f>IFERROR(VALUE(_xlfn.XLOOKUP($A27,Calculation!$B:$B,Calculation!E:E,"ERR",0)),"")</f>
        <v/>
      </c>
      <c r="H27" s="18" t="str">
        <f>IFERROR(VALUE(_xlfn.XLOOKUP($A27,Calculation!$B:$B,Calculation!F:F,"ERR",0)),"")</f>
        <v/>
      </c>
      <c r="I27" s="18"/>
      <c r="J27" s="18" t="str">
        <f>IFERROR(VALUE(_xlfn.XLOOKUP($A27,Calculation!$B:$B,Calculation!G:G,"ERR",0)),"")</f>
        <v/>
      </c>
      <c r="K27" s="18"/>
      <c r="L27" s="18" t="str">
        <f>IFERROR(VALUE(_xlfn.XLOOKUP($A27,Calculation!$B:$B,Calculation!H:H,"ERR",0)),"")</f>
        <v/>
      </c>
      <c r="M27" s="10" t="e">
        <f>VALUE(_xlfn.XLOOKUP($A27,Calculation!$B:$B,Calculation!I:I,"ERR",0))</f>
        <v>#VALUE!</v>
      </c>
      <c r="N27" s="7" t="e">
        <f t="shared" si="1"/>
        <v>#VALUE!</v>
      </c>
    </row>
    <row r="28" spans="1:14" x14ac:dyDescent="0.25">
      <c r="A28" s="11">
        <v>77211103</v>
      </c>
      <c r="B28" s="12">
        <f t="shared" si="0"/>
        <v>77211103</v>
      </c>
      <c r="C28" s="17" t="str">
        <f>IFERROR(VALUE(_xlfn.XLOOKUP($A28,Calculation!$B:$B,Calculation!C:C,"ERR",0)),"")</f>
        <v/>
      </c>
      <c r="D28" s="17" t="str">
        <f>IFERROR(VALUE(_xlfn.XLOOKUP($A28,Calculation!$B:$B,Calculation!D:D,"ERR",0)),"")</f>
        <v/>
      </c>
      <c r="F28" s="17" t="str">
        <f>IFERROR(VALUE(_xlfn.XLOOKUP($A28,Calculation!$B:$B,Calculation!E:E,"ERR",0)),"")</f>
        <v/>
      </c>
      <c r="H28" s="18" t="str">
        <f>IFERROR(VALUE(_xlfn.XLOOKUP($A28,Calculation!$B:$B,Calculation!F:F,"ERR",0)),"")</f>
        <v/>
      </c>
      <c r="I28" s="18"/>
      <c r="J28" s="18" t="str">
        <f>IFERROR(VALUE(_xlfn.XLOOKUP($A28,Calculation!$B:$B,Calculation!G:G,"ERR",0)),"")</f>
        <v/>
      </c>
      <c r="K28" s="18"/>
      <c r="L28" s="18" t="str">
        <f>IFERROR(VALUE(_xlfn.XLOOKUP($A28,Calculation!$B:$B,Calculation!H:H,"ERR",0)),"")</f>
        <v/>
      </c>
      <c r="M28" s="10" t="e">
        <f>VALUE(_xlfn.XLOOKUP($A28,Calculation!$B:$B,Calculation!I:I,"ERR",0))</f>
        <v>#VALUE!</v>
      </c>
      <c r="N28" s="7" t="e">
        <f t="shared" si="1"/>
        <v>#VALUE!</v>
      </c>
    </row>
    <row r="29" spans="1:14" x14ac:dyDescent="0.25">
      <c r="A29" s="11">
        <v>66111052</v>
      </c>
      <c r="B29" s="12">
        <f t="shared" si="0"/>
        <v>66111052</v>
      </c>
      <c r="C29" s="17" t="str">
        <f>IFERROR(VALUE(_xlfn.XLOOKUP($A29,Calculation!$B:$B,Calculation!C:C,"ERR",0)),"")</f>
        <v/>
      </c>
      <c r="D29" s="17" t="str">
        <f>IFERROR(VALUE(_xlfn.XLOOKUP($A29,Calculation!$B:$B,Calculation!D:D,"ERR",0)),"")</f>
        <v/>
      </c>
      <c r="F29" s="17" t="str">
        <f>IFERROR(VALUE(_xlfn.XLOOKUP($A29,Calculation!$B:$B,Calculation!E:E,"ERR",0)),"")</f>
        <v/>
      </c>
      <c r="H29" s="18" t="str">
        <f>IFERROR(VALUE(_xlfn.XLOOKUP($A29,Calculation!$B:$B,Calculation!F:F,"ERR",0)),"")</f>
        <v/>
      </c>
      <c r="I29" s="18"/>
      <c r="J29" s="18" t="str">
        <f>IFERROR(VALUE(_xlfn.XLOOKUP($A29,Calculation!$B:$B,Calculation!G:G,"ERR",0)),"")</f>
        <v/>
      </c>
      <c r="K29" s="18"/>
      <c r="L29" s="18" t="str">
        <f>IFERROR(VALUE(_xlfn.XLOOKUP($A29,Calculation!$B:$B,Calculation!H:H,"ERR",0)),"")</f>
        <v/>
      </c>
      <c r="M29" s="10" t="e">
        <f>VALUE(_xlfn.XLOOKUP($A29,Calculation!$B:$B,Calculation!I:I,"ERR",0))</f>
        <v>#VALUE!</v>
      </c>
      <c r="N29" s="7" t="e">
        <f t="shared" si="1"/>
        <v>#VALUE!</v>
      </c>
    </row>
    <row r="30" spans="1:14" x14ac:dyDescent="0.25">
      <c r="A30" s="11">
        <v>661110523</v>
      </c>
      <c r="B30" s="12">
        <f t="shared" si="0"/>
        <v>661110523</v>
      </c>
      <c r="C30" s="17" t="str">
        <f>IFERROR(VALUE(_xlfn.XLOOKUP($A30,Calculation!$B:$B,Calculation!C:C,"ERR",0)),"")</f>
        <v/>
      </c>
      <c r="D30" s="17" t="str">
        <f>IFERROR(VALUE(_xlfn.XLOOKUP($A30,Calculation!$B:$B,Calculation!D:D,"ERR",0)),"")</f>
        <v/>
      </c>
      <c r="F30" s="17" t="str">
        <f>IFERROR(VALUE(_xlfn.XLOOKUP($A30,Calculation!$B:$B,Calculation!E:E,"ERR",0)),"")</f>
        <v/>
      </c>
      <c r="H30" s="18" t="str">
        <f>IFERROR(VALUE(_xlfn.XLOOKUP($A30,Calculation!$B:$B,Calculation!F:F,"ERR",0)),"")</f>
        <v/>
      </c>
      <c r="I30" s="18"/>
      <c r="J30" s="18" t="str">
        <f>IFERROR(VALUE(_xlfn.XLOOKUP($A30,Calculation!$B:$B,Calculation!G:G,"ERR",0)),"")</f>
        <v/>
      </c>
      <c r="K30" s="18"/>
      <c r="L30" s="18" t="str">
        <f>IFERROR(VALUE(_xlfn.XLOOKUP($A30,Calculation!$B:$B,Calculation!H:H,"ERR",0)),"")</f>
        <v/>
      </c>
      <c r="M30" s="10" t="e">
        <f>VALUE(_xlfn.XLOOKUP($A30,Calculation!$B:$B,Calculation!I:I,"ERR",0))</f>
        <v>#VALUE!</v>
      </c>
      <c r="N30" s="7" t="e">
        <f t="shared" si="1"/>
        <v>#VALUE!</v>
      </c>
    </row>
    <row r="31" spans="1:14" x14ac:dyDescent="0.25">
      <c r="A31" s="11">
        <v>74311011</v>
      </c>
      <c r="B31" s="12">
        <f t="shared" si="0"/>
        <v>74311011</v>
      </c>
      <c r="C31" s="17" t="str">
        <f>IFERROR(VALUE(_xlfn.XLOOKUP($A31,Calculation!$B:$B,Calculation!C:C,"ERR",0)),"")</f>
        <v/>
      </c>
      <c r="D31" s="17" t="str">
        <f>IFERROR(VALUE(_xlfn.XLOOKUP($A31,Calculation!$B:$B,Calculation!D:D,"ERR",0)),"")</f>
        <v/>
      </c>
      <c r="F31" s="17" t="str">
        <f>IFERROR(VALUE(_xlfn.XLOOKUP($A31,Calculation!$B:$B,Calculation!E:E,"ERR",0)),"")</f>
        <v/>
      </c>
      <c r="H31" s="18" t="str">
        <f>IFERROR(VALUE(_xlfn.XLOOKUP($A31,Calculation!$B:$B,Calculation!F:F,"ERR",0)),"")</f>
        <v/>
      </c>
      <c r="I31" s="18"/>
      <c r="J31" s="18" t="str">
        <f>IFERROR(VALUE(_xlfn.XLOOKUP($A31,Calculation!$B:$B,Calculation!G:G,"ERR",0)),"")</f>
        <v/>
      </c>
      <c r="K31" s="18"/>
      <c r="L31" s="18" t="str">
        <f>IFERROR(VALUE(_xlfn.XLOOKUP($A31,Calculation!$B:$B,Calculation!H:H,"ERR",0)),"")</f>
        <v/>
      </c>
      <c r="M31" s="10" t="e">
        <f>VALUE(_xlfn.XLOOKUP($A31,Calculation!$B:$B,Calculation!I:I,"ERR",0))</f>
        <v>#VALUE!</v>
      </c>
      <c r="N31" s="7" t="e">
        <f t="shared" si="1"/>
        <v>#VALUE!</v>
      </c>
    </row>
    <row r="32" spans="1:14" x14ac:dyDescent="0.25">
      <c r="A32" s="11">
        <v>212850371</v>
      </c>
      <c r="B32" s="12">
        <f t="shared" si="0"/>
        <v>212850371</v>
      </c>
      <c r="C32" s="17" t="str">
        <f>IFERROR(VALUE(_xlfn.XLOOKUP($A32,Calculation!$B:$B,Calculation!C:C,"ERR",0)),"")</f>
        <v/>
      </c>
      <c r="D32" s="17" t="str">
        <f>IFERROR(VALUE(_xlfn.XLOOKUP($A32,Calculation!$B:$B,Calculation!D:D,"ERR",0)),"")</f>
        <v/>
      </c>
      <c r="F32" s="17" t="str">
        <f>IFERROR(VALUE(_xlfn.XLOOKUP($A32,Calculation!$B:$B,Calculation!E:E,"ERR",0)),"")</f>
        <v/>
      </c>
      <c r="H32" s="18" t="str">
        <f>IFERROR(VALUE(_xlfn.XLOOKUP($A32,Calculation!$B:$B,Calculation!F:F,"ERR",0)),"")</f>
        <v/>
      </c>
      <c r="I32" s="18"/>
      <c r="J32" s="18" t="str">
        <f>IFERROR(VALUE(_xlfn.XLOOKUP($A32,Calculation!$B:$B,Calculation!G:G,"ERR",0)),"")</f>
        <v/>
      </c>
      <c r="K32" s="18"/>
      <c r="L32" s="18" t="str">
        <f>IFERROR(VALUE(_xlfn.XLOOKUP($A32,Calculation!$B:$B,Calculation!H:H,"ERR",0)),"")</f>
        <v/>
      </c>
      <c r="M32" s="10" t="e">
        <f>VALUE(_xlfn.XLOOKUP($A32,Calculation!$B:$B,Calculation!I:I,"ERR",0))</f>
        <v>#VALUE!</v>
      </c>
      <c r="N32" s="7" t="e">
        <f t="shared" si="1"/>
        <v>#VALUE!</v>
      </c>
    </row>
    <row r="33" spans="1:14" x14ac:dyDescent="0.25">
      <c r="A33" s="11">
        <v>123855177</v>
      </c>
      <c r="B33" s="12">
        <f t="shared" si="0"/>
        <v>123855177</v>
      </c>
      <c r="C33" s="17" t="str">
        <f>IFERROR(VALUE(_xlfn.XLOOKUP($A33,Calculation!$B:$B,Calculation!C:C,"ERR",0)),"")</f>
        <v/>
      </c>
      <c r="D33" s="17" t="str">
        <f>IFERROR(VALUE(_xlfn.XLOOKUP($A33,Calculation!$B:$B,Calculation!D:D,"ERR",0)),"")</f>
        <v/>
      </c>
      <c r="F33" s="17" t="str">
        <f>IFERROR(VALUE(_xlfn.XLOOKUP($A33,Calculation!$B:$B,Calculation!E:E,"ERR",0)),"")</f>
        <v/>
      </c>
      <c r="H33" s="18" t="str">
        <f>IFERROR(VALUE(_xlfn.XLOOKUP($A33,Calculation!$B:$B,Calculation!F:F,"ERR",0)),"")</f>
        <v/>
      </c>
      <c r="I33" s="18"/>
      <c r="J33" s="18" t="str">
        <f>IFERROR(VALUE(_xlfn.XLOOKUP($A33,Calculation!$B:$B,Calculation!G:G,"ERR",0)),"")</f>
        <v/>
      </c>
      <c r="K33" s="18"/>
      <c r="L33" s="18" t="str">
        <f>IFERROR(VALUE(_xlfn.XLOOKUP($A33,Calculation!$B:$B,Calculation!H:H,"ERR",0)),"")</f>
        <v/>
      </c>
      <c r="M33" s="10" t="e">
        <f>VALUE(_xlfn.XLOOKUP($A33,Calculation!$B:$B,Calculation!I:I,"ERR",0))</f>
        <v>#VALUE!</v>
      </c>
      <c r="N33" s="7" t="e">
        <f t="shared" si="1"/>
        <v>#VALUE!</v>
      </c>
    </row>
    <row r="34" spans="1:14" x14ac:dyDescent="0.25">
      <c r="A34" s="11">
        <v>169850977</v>
      </c>
      <c r="B34" s="12">
        <f t="shared" si="0"/>
        <v>169850977</v>
      </c>
      <c r="C34" s="17" t="str">
        <f>IFERROR(VALUE(_xlfn.XLOOKUP($A34,Calculation!$B:$B,Calculation!C:C,"ERR",0)),"")</f>
        <v/>
      </c>
      <c r="D34" s="17" t="str">
        <f>IFERROR(VALUE(_xlfn.XLOOKUP($A34,Calculation!$B:$B,Calculation!D:D,"ERR",0)),"")</f>
        <v/>
      </c>
      <c r="F34" s="17" t="str">
        <f>IFERROR(VALUE(_xlfn.XLOOKUP($A34,Calculation!$B:$B,Calculation!E:E,"ERR",0)),"")</f>
        <v/>
      </c>
      <c r="H34" s="18" t="str">
        <f>IFERROR(VALUE(_xlfn.XLOOKUP($A34,Calculation!$B:$B,Calculation!F:F,"ERR",0)),"")</f>
        <v/>
      </c>
      <c r="I34" s="18"/>
      <c r="J34" s="18" t="str">
        <f>IFERROR(VALUE(_xlfn.XLOOKUP($A34,Calculation!$B:$B,Calculation!G:G,"ERR",0)),"")</f>
        <v/>
      </c>
      <c r="K34" s="18"/>
      <c r="L34" s="18" t="str">
        <f>IFERROR(VALUE(_xlfn.XLOOKUP($A34,Calculation!$B:$B,Calculation!H:H,"ERR",0)),"")</f>
        <v/>
      </c>
      <c r="M34" s="10" t="e">
        <f>VALUE(_xlfn.XLOOKUP($A34,Calculation!$B:$B,Calculation!I:I,"ERR",0))</f>
        <v>#VALUE!</v>
      </c>
      <c r="N34" s="7" t="e">
        <f t="shared" si="1"/>
        <v>#VALUE!</v>
      </c>
    </row>
    <row r="35" spans="1:14" x14ac:dyDescent="0.25">
      <c r="A35" s="11">
        <v>169850967</v>
      </c>
      <c r="B35" s="12">
        <f t="shared" si="0"/>
        <v>169850967</v>
      </c>
      <c r="C35" s="17" t="str">
        <f>IFERROR(VALUE(_xlfn.XLOOKUP($A35,Calculation!$B:$B,Calculation!C:C,"ERR",0)),"")</f>
        <v/>
      </c>
      <c r="D35" s="17" t="str">
        <f>IFERROR(VALUE(_xlfn.XLOOKUP($A35,Calculation!$B:$B,Calculation!D:D,"ERR",0)),"")</f>
        <v/>
      </c>
      <c r="F35" s="17" t="str">
        <f>IFERROR(VALUE(_xlfn.XLOOKUP($A35,Calculation!$B:$B,Calculation!E:E,"ERR",0)),"")</f>
        <v/>
      </c>
      <c r="H35" s="18" t="str">
        <f>IFERROR(VALUE(_xlfn.XLOOKUP($A35,Calculation!$B:$B,Calculation!F:F,"ERR",0)),"")</f>
        <v/>
      </c>
      <c r="I35" s="18"/>
      <c r="J35" s="18" t="str">
        <f>IFERROR(VALUE(_xlfn.XLOOKUP($A35,Calculation!$B:$B,Calculation!G:G,"ERR",0)),"")</f>
        <v/>
      </c>
      <c r="K35" s="18"/>
      <c r="L35" s="18" t="str">
        <f>IFERROR(VALUE(_xlfn.XLOOKUP($A35,Calculation!$B:$B,Calculation!H:H,"ERR",0)),"")</f>
        <v/>
      </c>
      <c r="M35" s="10" t="e">
        <f>VALUE(_xlfn.XLOOKUP($A35,Calculation!$B:$B,Calculation!I:I,"ERR",0))</f>
        <v>#VALUE!</v>
      </c>
      <c r="N35" s="7" t="e">
        <f t="shared" si="1"/>
        <v>#VALUE!</v>
      </c>
    </row>
    <row r="36" spans="1:14" x14ac:dyDescent="0.25">
      <c r="A36" s="11">
        <v>293851067</v>
      </c>
      <c r="B36" s="12">
        <f t="shared" si="0"/>
        <v>293851067</v>
      </c>
      <c r="C36" s="17" t="str">
        <f>IFERROR(VALUE(_xlfn.XLOOKUP($A36,Calculation!$B:$B,Calculation!C:C,"ERR",0)),"")</f>
        <v/>
      </c>
      <c r="D36" s="17" t="str">
        <f>IFERROR(VALUE(_xlfn.XLOOKUP($A36,Calculation!$B:$B,Calculation!D:D,"ERR",0)),"")</f>
        <v/>
      </c>
      <c r="F36" s="17" t="str">
        <f>IFERROR(VALUE(_xlfn.XLOOKUP($A36,Calculation!$B:$B,Calculation!E:E,"ERR",0)),"")</f>
        <v/>
      </c>
      <c r="H36" s="18" t="str">
        <f>IFERROR(VALUE(_xlfn.XLOOKUP($A36,Calculation!$B:$B,Calculation!F:F,"ERR",0)),"")</f>
        <v/>
      </c>
      <c r="I36" s="18"/>
      <c r="J36" s="18" t="str">
        <f>IFERROR(VALUE(_xlfn.XLOOKUP($A36,Calculation!$B:$B,Calculation!G:G,"ERR",0)),"")</f>
        <v/>
      </c>
      <c r="K36" s="18"/>
      <c r="L36" s="18" t="str">
        <f>IFERROR(VALUE(_xlfn.XLOOKUP($A36,Calculation!$B:$B,Calculation!H:H,"ERR",0)),"")</f>
        <v/>
      </c>
      <c r="M36" s="10" t="e">
        <f>VALUE(_xlfn.XLOOKUP($A36,Calculation!$B:$B,Calculation!I:I,"ERR",0))</f>
        <v>#VALUE!</v>
      </c>
      <c r="N36" s="7" t="e">
        <f t="shared" si="1"/>
        <v>#VALUE!</v>
      </c>
    </row>
    <row r="37" spans="1:14" x14ac:dyDescent="0.25">
      <c r="A37" s="11">
        <v>29285017</v>
      </c>
      <c r="B37" s="12">
        <f t="shared" si="0"/>
        <v>29285017</v>
      </c>
      <c r="C37" s="17" t="str">
        <f>IFERROR(VALUE(_xlfn.XLOOKUP($A37,Calculation!$B:$B,Calculation!C:C,"ERR",0)),"")</f>
        <v/>
      </c>
      <c r="D37" s="17" t="str">
        <f>IFERROR(VALUE(_xlfn.XLOOKUP($A37,Calculation!$B:$B,Calculation!D:D,"ERR",0)),"")</f>
        <v/>
      </c>
      <c r="F37" s="17" t="str">
        <f>IFERROR(VALUE(_xlfn.XLOOKUP($A37,Calculation!$B:$B,Calculation!E:E,"ERR",0)),"")</f>
        <v/>
      </c>
      <c r="H37" s="18" t="str">
        <f>IFERROR(VALUE(_xlfn.XLOOKUP($A37,Calculation!$B:$B,Calculation!F:F,"ERR",0)),"")</f>
        <v/>
      </c>
      <c r="I37" s="18"/>
      <c r="J37" s="18" t="str">
        <f>IFERROR(VALUE(_xlfn.XLOOKUP($A37,Calculation!$B:$B,Calculation!G:G,"ERR",0)),"")</f>
        <v/>
      </c>
      <c r="K37" s="18"/>
      <c r="L37" s="18" t="str">
        <f>IFERROR(VALUE(_xlfn.XLOOKUP($A37,Calculation!$B:$B,Calculation!H:H,"ERR",0)),"")</f>
        <v/>
      </c>
      <c r="M37" s="10" t="e">
        <f>VALUE(_xlfn.XLOOKUP($A37,Calculation!$B:$B,Calculation!I:I,"ERR",0))</f>
        <v>#VALUE!</v>
      </c>
      <c r="N37" s="7" t="e">
        <f t="shared" si="1"/>
        <v>#VALUE!</v>
      </c>
    </row>
    <row r="38" spans="1:14" x14ac:dyDescent="0.25">
      <c r="H38" s="18"/>
      <c r="I38" s="18"/>
      <c r="J38" s="18"/>
      <c r="K38" s="18"/>
      <c r="L38" s="18"/>
      <c r="M38" s="10"/>
      <c r="N38" s="7"/>
    </row>
    <row r="39" spans="1:14" x14ac:dyDescent="0.25">
      <c r="M39" s="5"/>
      <c r="N39" s="4"/>
    </row>
  </sheetData>
  <conditionalFormatting sqref="A2:N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2022-02-16T12:13:30Z</dcterms:modified>
</cp:coreProperties>
</file>