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"/>
    </mc:Choice>
  </mc:AlternateContent>
  <xr:revisionPtr revIDLastSave="0" documentId="13_ncr:1_{1D9BE363-B466-412B-AA0A-823C30679B84}" xr6:coauthVersionLast="47" xr6:coauthVersionMax="47" xr10:uidLastSave="{00000000-0000-0000-0000-000000000000}"/>
  <bookViews>
    <workbookView xWindow="-120" yWindow="-120" windowWidth="29040" windowHeight="15840" activeTab="1" xr2:uid="{9B3ED43A-5DDB-4EB2-BE7C-BB65CE766084}"/>
  </bookViews>
  <sheets>
    <sheet name="Лист1" sheetId="1" r:id="rId1"/>
    <sheet name="Лист2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C3" i="2"/>
  <c r="D3" i="2"/>
  <c r="E3" i="2"/>
  <c r="F3" i="2"/>
  <c r="G3" i="2"/>
  <c r="B4" i="2"/>
  <c r="C4" i="2"/>
  <c r="D4" i="2"/>
  <c r="E4" i="2"/>
  <c r="F4" i="2"/>
  <c r="G4" i="2"/>
  <c r="B5" i="2"/>
  <c r="C5" i="2"/>
  <c r="D5" i="2"/>
  <c r="E5" i="2"/>
  <c r="F5" i="2"/>
  <c r="G5" i="2"/>
  <c r="B6" i="2"/>
  <c r="C6" i="2"/>
  <c r="D6" i="2"/>
  <c r="E6" i="2"/>
  <c r="F6" i="2"/>
  <c r="G6" i="2"/>
  <c r="B7" i="2"/>
  <c r="C7" i="2"/>
  <c r="D7" i="2"/>
  <c r="E7" i="2"/>
  <c r="F7" i="2"/>
  <c r="G7" i="2"/>
  <c r="B8" i="2"/>
  <c r="C8" i="2"/>
  <c r="D8" i="2"/>
  <c r="E8" i="2"/>
  <c r="F8" i="2"/>
  <c r="G8" i="2"/>
  <c r="B9" i="2"/>
  <c r="C9" i="2"/>
  <c r="D9" i="2"/>
  <c r="E9" i="2"/>
  <c r="F9" i="2"/>
  <c r="G9" i="2"/>
  <c r="B10" i="2"/>
  <c r="C10" i="2"/>
  <c r="D10" i="2"/>
  <c r="E10" i="2"/>
  <c r="F10" i="2"/>
  <c r="G10" i="2"/>
  <c r="B11" i="2"/>
  <c r="C11" i="2"/>
  <c r="D11" i="2"/>
  <c r="E11" i="2"/>
  <c r="F11" i="2"/>
  <c r="G11" i="2"/>
  <c r="B12" i="2"/>
  <c r="C12" i="2"/>
  <c r="D12" i="2"/>
  <c r="E12" i="2"/>
  <c r="F12" i="2"/>
  <c r="G12" i="2"/>
  <c r="B13" i="2"/>
  <c r="C13" i="2"/>
  <c r="D13" i="2"/>
  <c r="E13" i="2"/>
  <c r="F13" i="2"/>
  <c r="G13" i="2"/>
  <c r="B14" i="2"/>
  <c r="C14" i="2"/>
  <c r="D14" i="2"/>
  <c r="E14" i="2"/>
  <c r="F14" i="2"/>
  <c r="G14" i="2"/>
  <c r="B15" i="2"/>
  <c r="C15" i="2"/>
  <c r="D15" i="2"/>
  <c r="E15" i="2"/>
  <c r="F15" i="2"/>
  <c r="G15" i="2"/>
  <c r="B16" i="2"/>
  <c r="C16" i="2"/>
  <c r="D16" i="2"/>
  <c r="E16" i="2"/>
  <c r="F16" i="2"/>
  <c r="G16" i="2"/>
  <c r="B17" i="2"/>
  <c r="C17" i="2"/>
  <c r="D17" i="2"/>
  <c r="E17" i="2"/>
  <c r="F17" i="2"/>
  <c r="G17" i="2"/>
  <c r="B18" i="2"/>
  <c r="C18" i="2"/>
  <c r="D18" i="2"/>
  <c r="E18" i="2"/>
  <c r="F18" i="2"/>
  <c r="G18" i="2"/>
  <c r="B19" i="2"/>
  <c r="C19" i="2"/>
  <c r="D19" i="2"/>
  <c r="E19" i="2"/>
  <c r="F19" i="2"/>
  <c r="G19" i="2"/>
  <c r="B20" i="2"/>
  <c r="C20" i="2"/>
  <c r="D20" i="2"/>
  <c r="E20" i="2"/>
  <c r="F20" i="2"/>
  <c r="G20" i="2"/>
  <c r="B21" i="2"/>
  <c r="C21" i="2"/>
  <c r="D21" i="2"/>
  <c r="E21" i="2"/>
  <c r="F21" i="2"/>
  <c r="G21" i="2"/>
  <c r="B22" i="2"/>
  <c r="C22" i="2"/>
  <c r="D22" i="2"/>
  <c r="E22" i="2"/>
  <c r="F22" i="2"/>
  <c r="G22" i="2"/>
  <c r="B23" i="2"/>
  <c r="C23" i="2"/>
  <c r="D23" i="2"/>
  <c r="E23" i="2"/>
  <c r="F23" i="2"/>
  <c r="G23" i="2"/>
  <c r="B24" i="2"/>
  <c r="C24" i="2"/>
  <c r="D24" i="2"/>
  <c r="E24" i="2"/>
  <c r="F24" i="2"/>
  <c r="G24" i="2"/>
  <c r="B25" i="2"/>
  <c r="C25" i="2"/>
  <c r="D25" i="2"/>
  <c r="E25" i="2"/>
  <c r="F25" i="2"/>
  <c r="G25" i="2"/>
  <c r="B26" i="2"/>
  <c r="C26" i="2"/>
  <c r="D26" i="2"/>
  <c r="E26" i="2"/>
  <c r="F26" i="2"/>
  <c r="G26" i="2"/>
  <c r="B27" i="2"/>
  <c r="C27" i="2"/>
  <c r="D27" i="2"/>
  <c r="E27" i="2"/>
  <c r="F27" i="2"/>
  <c r="G27" i="2"/>
  <c r="B28" i="2"/>
  <c r="C28" i="2"/>
  <c r="D28" i="2"/>
  <c r="E28" i="2"/>
  <c r="F28" i="2"/>
  <c r="G28" i="2"/>
  <c r="B29" i="2"/>
  <c r="C29" i="2"/>
  <c r="D29" i="2"/>
  <c r="E29" i="2"/>
  <c r="F29" i="2"/>
  <c r="G29" i="2"/>
  <c r="B30" i="2"/>
  <c r="C30" i="2"/>
  <c r="D30" i="2"/>
  <c r="E30" i="2"/>
  <c r="F30" i="2"/>
  <c r="G30" i="2"/>
  <c r="B31" i="2"/>
  <c r="C31" i="2"/>
  <c r="D31" i="2"/>
  <c r="E31" i="2"/>
  <c r="F31" i="2"/>
  <c r="G31" i="2"/>
  <c r="B32" i="2"/>
  <c r="C32" i="2"/>
  <c r="D32" i="2"/>
  <c r="E32" i="2"/>
  <c r="F32" i="2"/>
  <c r="G32" i="2"/>
  <c r="B33" i="2"/>
  <c r="C33" i="2"/>
  <c r="D33" i="2"/>
  <c r="E33" i="2"/>
  <c r="F33" i="2"/>
  <c r="G33" i="2"/>
  <c r="B34" i="2"/>
  <c r="C34" i="2"/>
  <c r="D34" i="2"/>
  <c r="E34" i="2"/>
  <c r="F34" i="2"/>
  <c r="G34" i="2"/>
  <c r="B35" i="2"/>
  <c r="C35" i="2"/>
  <c r="D35" i="2"/>
  <c r="E35" i="2"/>
  <c r="F35" i="2"/>
  <c r="G35" i="2"/>
  <c r="B36" i="2"/>
  <c r="C36" i="2"/>
  <c r="D36" i="2"/>
  <c r="E36" i="2"/>
  <c r="F36" i="2"/>
  <c r="G36" i="2"/>
  <c r="B37" i="2"/>
  <c r="C37" i="2"/>
  <c r="D37" i="2"/>
  <c r="E37" i="2"/>
  <c r="F37" i="2"/>
  <c r="G37" i="2"/>
  <c r="B38" i="2"/>
  <c r="C38" i="2"/>
  <c r="D38" i="2"/>
  <c r="E38" i="2"/>
  <c r="F38" i="2"/>
  <c r="G38" i="2"/>
  <c r="B39" i="2"/>
  <c r="C39" i="2"/>
  <c r="D39" i="2"/>
  <c r="E39" i="2"/>
  <c r="F39" i="2"/>
  <c r="G39" i="2"/>
  <c r="C2" i="2"/>
  <c r="D2" i="2"/>
  <c r="E2" i="2"/>
  <c r="F2" i="2"/>
  <c r="G2" i="2"/>
  <c r="B2" i="2"/>
  <c r="A1" i="2" a="1"/>
  <c r="A1" i="2" s="1"/>
  <c r="H6" i="1"/>
  <c r="H5" i="1"/>
  <c r="G5" i="1"/>
  <c r="H4" i="1"/>
  <c r="G4" i="1"/>
  <c r="F4" i="1"/>
  <c r="H3" i="1"/>
  <c r="H2" i="1" s="1"/>
  <c r="G3" i="1"/>
  <c r="G2" i="1" s="1"/>
  <c r="F3" i="1"/>
  <c r="F2" i="1" s="1"/>
  <c r="E3" i="1"/>
  <c r="E2" i="1" s="1"/>
  <c r="D2" i="1"/>
  <c r="C2" i="1"/>
  <c r="H15" i="1"/>
  <c r="H14" i="1"/>
  <c r="G14" i="1"/>
  <c r="H13" i="1"/>
  <c r="G13" i="1"/>
  <c r="F13" i="1"/>
  <c r="F11" i="1" s="1"/>
  <c r="H12" i="1"/>
  <c r="H11" i="1" s="1"/>
  <c r="G12" i="1"/>
  <c r="G11" i="1" s="1"/>
  <c r="F12" i="1"/>
  <c r="E12" i="1"/>
  <c r="E11" i="1" s="1"/>
  <c r="D11" i="1"/>
  <c r="C11" i="1"/>
  <c r="H30" i="1"/>
  <c r="H29" i="1"/>
  <c r="G29" i="1"/>
  <c r="H28" i="1"/>
  <c r="H26" i="1" s="1"/>
  <c r="G28" i="1"/>
  <c r="G26" i="1" s="1"/>
  <c r="F28" i="1"/>
  <c r="H27" i="1"/>
  <c r="G27" i="1"/>
  <c r="F27" i="1"/>
  <c r="E27" i="1"/>
  <c r="E26" i="1" s="1"/>
  <c r="F26" i="1"/>
  <c r="D26" i="1"/>
  <c r="C26" i="1"/>
  <c r="H62" i="1"/>
  <c r="H61" i="1"/>
  <c r="G61" i="1"/>
  <c r="H60" i="1"/>
  <c r="G60" i="1"/>
  <c r="F60" i="1"/>
  <c r="H59" i="1"/>
  <c r="G59" i="1"/>
  <c r="F59" i="1"/>
  <c r="E59" i="1"/>
  <c r="H58" i="1"/>
  <c r="G58" i="1"/>
  <c r="F58" i="1"/>
  <c r="E58" i="1"/>
  <c r="D58" i="1"/>
  <c r="C58" i="1"/>
  <c r="H69" i="1"/>
  <c r="H68" i="1"/>
  <c r="G68" i="1"/>
  <c r="H67" i="1"/>
  <c r="G67" i="1"/>
  <c r="G65" i="1" s="1"/>
  <c r="F67" i="1"/>
  <c r="F65" i="1" s="1"/>
  <c r="H66" i="1"/>
  <c r="H65" i="1" s="1"/>
  <c r="G66" i="1"/>
  <c r="F66" i="1"/>
  <c r="E66" i="1"/>
  <c r="E65" i="1" s="1"/>
  <c r="D65" i="1"/>
  <c r="C65" i="1"/>
  <c r="H76" i="1"/>
  <c r="H75" i="1"/>
  <c r="G75" i="1"/>
  <c r="H74" i="1"/>
  <c r="G74" i="1"/>
  <c r="F74" i="1"/>
  <c r="F72" i="1" s="1"/>
  <c r="H73" i="1"/>
  <c r="H72" i="1" s="1"/>
  <c r="G73" i="1"/>
  <c r="G72" i="1" s="1"/>
  <c r="F73" i="1"/>
  <c r="E73" i="1"/>
  <c r="E72" i="1"/>
  <c r="D72" i="1"/>
  <c r="C72" i="1"/>
  <c r="H83" i="1"/>
  <c r="H82" i="1"/>
  <c r="G82" i="1"/>
  <c r="H81" i="1"/>
  <c r="G81" i="1"/>
  <c r="F81" i="1"/>
  <c r="H80" i="1"/>
  <c r="H79" i="1" s="1"/>
  <c r="G80" i="1"/>
  <c r="G79" i="1" s="1"/>
  <c r="F80" i="1"/>
  <c r="E80" i="1"/>
  <c r="F79" i="1"/>
  <c r="E79" i="1"/>
  <c r="D79" i="1"/>
  <c r="C79" i="1"/>
  <c r="H90" i="1"/>
  <c r="H89" i="1"/>
  <c r="G89" i="1"/>
  <c r="H88" i="1"/>
  <c r="G88" i="1"/>
  <c r="F88" i="1"/>
  <c r="H87" i="1"/>
  <c r="H86" i="1" s="1"/>
  <c r="G87" i="1"/>
  <c r="F87" i="1"/>
  <c r="E87" i="1"/>
  <c r="E86" i="1" s="1"/>
  <c r="G86" i="1"/>
  <c r="F86" i="1"/>
  <c r="D86" i="1"/>
  <c r="C86" i="1"/>
  <c r="H97" i="1"/>
  <c r="H96" i="1"/>
  <c r="G96" i="1"/>
  <c r="H95" i="1"/>
  <c r="G95" i="1"/>
  <c r="F95" i="1"/>
  <c r="H94" i="1"/>
  <c r="H93" i="1" s="1"/>
  <c r="G94" i="1"/>
  <c r="G93" i="1" s="1"/>
  <c r="F94" i="1"/>
  <c r="E94" i="1"/>
  <c r="F93" i="1"/>
  <c r="E93" i="1"/>
  <c r="D93" i="1"/>
  <c r="C93" i="1"/>
  <c r="H129" i="1"/>
  <c r="H128" i="1"/>
  <c r="G128" i="1"/>
  <c r="H127" i="1"/>
  <c r="H125" i="1" s="1"/>
  <c r="G127" i="1"/>
  <c r="F127" i="1"/>
  <c r="H126" i="1"/>
  <c r="G126" i="1"/>
  <c r="F126" i="1"/>
  <c r="E126" i="1"/>
  <c r="E125" i="1" s="1"/>
  <c r="G125" i="1"/>
  <c r="F125" i="1"/>
  <c r="D125" i="1"/>
  <c r="C125" i="1"/>
  <c r="H136" i="1"/>
  <c r="H135" i="1"/>
  <c r="G135" i="1"/>
  <c r="H134" i="1"/>
  <c r="G134" i="1"/>
  <c r="F134" i="1"/>
  <c r="F132" i="1" s="1"/>
  <c r="H133" i="1"/>
  <c r="H132" i="1" s="1"/>
  <c r="G133" i="1"/>
  <c r="G132" i="1" s="1"/>
  <c r="F133" i="1"/>
  <c r="E133" i="1"/>
  <c r="E132" i="1" s="1"/>
  <c r="D132" i="1"/>
  <c r="C132" i="1"/>
  <c r="H143" i="1"/>
  <c r="H142" i="1"/>
  <c r="G142" i="1"/>
  <c r="H141" i="1"/>
  <c r="G141" i="1"/>
  <c r="F141" i="1"/>
  <c r="F139" i="1" s="1"/>
  <c r="H140" i="1"/>
  <c r="H139" i="1" s="1"/>
  <c r="G140" i="1"/>
  <c r="G139" i="1" s="1"/>
  <c r="F140" i="1"/>
  <c r="E140" i="1"/>
  <c r="E139" i="1" s="1"/>
  <c r="D139" i="1"/>
  <c r="C139" i="1"/>
  <c r="H152" i="1"/>
  <c r="H151" i="1"/>
  <c r="G151" i="1"/>
  <c r="H150" i="1"/>
  <c r="G150" i="1"/>
  <c r="F150" i="1"/>
  <c r="F148" i="1" s="1"/>
  <c r="H149" i="1"/>
  <c r="H148" i="1" s="1"/>
  <c r="G149" i="1"/>
  <c r="G148" i="1" s="1"/>
  <c r="F149" i="1"/>
  <c r="E149" i="1"/>
  <c r="E148" i="1"/>
  <c r="D148" i="1"/>
  <c r="C148" i="1"/>
  <c r="H159" i="1"/>
  <c r="H158" i="1"/>
  <c r="G158" i="1"/>
  <c r="H157" i="1"/>
  <c r="G157" i="1"/>
  <c r="F157" i="1"/>
  <c r="F155" i="1" s="1"/>
  <c r="H156" i="1"/>
  <c r="H155" i="1" s="1"/>
  <c r="G156" i="1"/>
  <c r="G155" i="1" s="1"/>
  <c r="F156" i="1"/>
  <c r="E156" i="1"/>
  <c r="E155" i="1"/>
  <c r="D155" i="1"/>
  <c r="C155" i="1"/>
  <c r="H166" i="1"/>
  <c r="H165" i="1"/>
  <c r="G165" i="1"/>
  <c r="H164" i="1"/>
  <c r="G164" i="1"/>
  <c r="F164" i="1"/>
  <c r="F162" i="1" s="1"/>
  <c r="H163" i="1"/>
  <c r="H162" i="1" s="1"/>
  <c r="G163" i="1"/>
  <c r="G162" i="1" s="1"/>
  <c r="F163" i="1"/>
  <c r="E163" i="1"/>
  <c r="E162" i="1" s="1"/>
  <c r="D162" i="1"/>
  <c r="C162" i="1"/>
  <c r="H198" i="1"/>
  <c r="H197" i="1"/>
  <c r="G197" i="1"/>
  <c r="H196" i="1"/>
  <c r="G196" i="1"/>
  <c r="G194" i="1" s="1"/>
  <c r="F196" i="1"/>
  <c r="H195" i="1"/>
  <c r="H194" i="1" s="1"/>
  <c r="G195" i="1"/>
  <c r="F195" i="1"/>
  <c r="E195" i="1"/>
  <c r="E194" i="1" s="1"/>
  <c r="F194" i="1"/>
  <c r="D194" i="1"/>
  <c r="C194" i="1"/>
  <c r="H205" i="1"/>
  <c r="H204" i="1"/>
  <c r="G204" i="1"/>
  <c r="H203" i="1"/>
  <c r="G203" i="1"/>
  <c r="F203" i="1"/>
  <c r="F201" i="1" s="1"/>
  <c r="H202" i="1"/>
  <c r="H201" i="1" s="1"/>
  <c r="G202" i="1"/>
  <c r="G201" i="1" s="1"/>
  <c r="F202" i="1"/>
  <c r="E202" i="1"/>
  <c r="E201" i="1"/>
  <c r="D201" i="1"/>
  <c r="C201" i="1"/>
  <c r="H212" i="1"/>
  <c r="H211" i="1"/>
  <c r="G211" i="1"/>
  <c r="H210" i="1"/>
  <c r="G210" i="1"/>
  <c r="F210" i="1"/>
  <c r="H209" i="1"/>
  <c r="H208" i="1" s="1"/>
  <c r="G209" i="1"/>
  <c r="F209" i="1"/>
  <c r="E209" i="1"/>
  <c r="E208" i="1" s="1"/>
  <c r="G208" i="1"/>
  <c r="F208" i="1"/>
  <c r="D208" i="1"/>
  <c r="C208" i="1"/>
  <c r="H219" i="1"/>
  <c r="H218" i="1"/>
  <c r="G218" i="1"/>
  <c r="H217" i="1"/>
  <c r="G217" i="1"/>
  <c r="F217" i="1"/>
  <c r="H216" i="1"/>
  <c r="H215" i="1" s="1"/>
  <c r="G216" i="1"/>
  <c r="G215" i="1" s="1"/>
  <c r="F216" i="1"/>
  <c r="E216" i="1"/>
  <c r="E215" i="1" s="1"/>
  <c r="F215" i="1"/>
  <c r="D215" i="1"/>
  <c r="C215" i="1"/>
  <c r="H226" i="1"/>
  <c r="H225" i="1"/>
  <c r="G225" i="1"/>
  <c r="H224" i="1"/>
  <c r="G224" i="1"/>
  <c r="F224" i="1"/>
  <c r="F222" i="1" s="1"/>
  <c r="H223" i="1"/>
  <c r="H222" i="1" s="1"/>
  <c r="G223" i="1"/>
  <c r="G222" i="1" s="1"/>
  <c r="F223" i="1"/>
  <c r="E223" i="1"/>
  <c r="E222" i="1" s="1"/>
  <c r="D222" i="1"/>
  <c r="C222" i="1"/>
  <c r="H233" i="1"/>
  <c r="H232" i="1"/>
  <c r="G232" i="1"/>
  <c r="H231" i="1"/>
  <c r="G231" i="1"/>
  <c r="F231" i="1"/>
  <c r="F229" i="1" s="1"/>
  <c r="H230" i="1"/>
  <c r="H229" i="1" s="1"/>
  <c r="G230" i="1"/>
  <c r="G229" i="1" s="1"/>
  <c r="F230" i="1"/>
  <c r="E230" i="1"/>
  <c r="E229" i="1"/>
  <c r="D229" i="1"/>
  <c r="C229" i="1"/>
  <c r="H265" i="1"/>
  <c r="H264" i="1"/>
  <c r="G264" i="1"/>
  <c r="H263" i="1"/>
  <c r="G263" i="1"/>
  <c r="F263" i="1"/>
  <c r="H262" i="1"/>
  <c r="H261" i="1" s="1"/>
  <c r="G262" i="1"/>
  <c r="G261" i="1" s="1"/>
  <c r="F262" i="1"/>
  <c r="E262" i="1"/>
  <c r="F261" i="1"/>
  <c r="E261" i="1"/>
  <c r="D261" i="1"/>
  <c r="C261" i="1"/>
  <c r="H272" i="1"/>
  <c r="H271" i="1"/>
  <c r="G271" i="1"/>
  <c r="H270" i="1"/>
  <c r="G270" i="1"/>
  <c r="G268" i="1" s="1"/>
  <c r="F270" i="1"/>
  <c r="H269" i="1"/>
  <c r="H268" i="1" s="1"/>
  <c r="G269" i="1"/>
  <c r="F269" i="1"/>
  <c r="E269" i="1"/>
  <c r="E268" i="1" s="1"/>
  <c r="F268" i="1"/>
  <c r="D268" i="1"/>
  <c r="C268" i="1"/>
  <c r="H285" i="1"/>
  <c r="H284" i="1"/>
  <c r="G284" i="1"/>
  <c r="H283" i="1"/>
  <c r="G283" i="1"/>
  <c r="F283" i="1"/>
  <c r="H282" i="1"/>
  <c r="H281" i="1" s="1"/>
  <c r="G282" i="1"/>
  <c r="G281" i="1" s="1"/>
  <c r="F282" i="1"/>
  <c r="E282" i="1"/>
  <c r="F281" i="1"/>
  <c r="E281" i="1"/>
  <c r="D281" i="1"/>
  <c r="C281" i="1"/>
  <c r="H292" i="1"/>
  <c r="H291" i="1"/>
  <c r="G291" i="1"/>
  <c r="H290" i="1"/>
  <c r="G290" i="1"/>
  <c r="F290" i="1"/>
  <c r="H289" i="1"/>
  <c r="H288" i="1" s="1"/>
  <c r="G289" i="1"/>
  <c r="G288" i="1" s="1"/>
  <c r="F289" i="1"/>
  <c r="E289" i="1"/>
  <c r="F288" i="1"/>
  <c r="E288" i="1"/>
  <c r="D288" i="1"/>
  <c r="C288" i="1"/>
  <c r="H299" i="1"/>
  <c r="H298" i="1"/>
  <c r="G298" i="1"/>
  <c r="H297" i="1"/>
  <c r="G297" i="1"/>
  <c r="F297" i="1"/>
  <c r="H296" i="1"/>
  <c r="H295" i="1" s="1"/>
  <c r="G296" i="1"/>
  <c r="G295" i="1" s="1"/>
  <c r="F296" i="1"/>
  <c r="F295" i="1" s="1"/>
  <c r="E296" i="1"/>
  <c r="E295" i="1" s="1"/>
  <c r="D295" i="1"/>
  <c r="C295" i="1"/>
  <c r="H306" i="1"/>
  <c r="H305" i="1"/>
  <c r="G305" i="1"/>
  <c r="H304" i="1"/>
  <c r="G304" i="1"/>
  <c r="G302" i="1" s="1"/>
  <c r="F304" i="1"/>
  <c r="H303" i="1"/>
  <c r="H302" i="1" s="1"/>
  <c r="G303" i="1"/>
  <c r="F303" i="1"/>
  <c r="E303" i="1"/>
  <c r="E302" i="1" s="1"/>
  <c r="F302" i="1"/>
  <c r="D302" i="1"/>
  <c r="C302" i="1"/>
  <c r="H338" i="1"/>
  <c r="H337" i="1"/>
  <c r="G337" i="1"/>
  <c r="H336" i="1"/>
  <c r="G336" i="1"/>
  <c r="F336" i="1"/>
  <c r="H335" i="1"/>
  <c r="H334" i="1" s="1"/>
  <c r="G335" i="1"/>
  <c r="G334" i="1" s="1"/>
  <c r="F335" i="1"/>
  <c r="E335" i="1"/>
  <c r="F334" i="1"/>
  <c r="E334" i="1"/>
  <c r="D334" i="1"/>
  <c r="C334" i="1"/>
  <c r="H345" i="1"/>
  <c r="H344" i="1"/>
  <c r="G344" i="1"/>
  <c r="H343" i="1"/>
  <c r="G343" i="1"/>
  <c r="F343" i="1"/>
  <c r="F341" i="1" s="1"/>
  <c r="H342" i="1"/>
  <c r="H341" i="1" s="1"/>
  <c r="G342" i="1"/>
  <c r="G341" i="1" s="1"/>
  <c r="F342" i="1"/>
  <c r="E342" i="1"/>
  <c r="E341" i="1"/>
  <c r="D341" i="1"/>
  <c r="C341" i="1"/>
  <c r="H352" i="1"/>
  <c r="H351" i="1"/>
  <c r="G351" i="1"/>
  <c r="H350" i="1"/>
  <c r="G350" i="1"/>
  <c r="F350" i="1"/>
  <c r="F348" i="1" s="1"/>
  <c r="H349" i="1"/>
  <c r="H348" i="1" s="1"/>
  <c r="G349" i="1"/>
  <c r="G348" i="1" s="1"/>
  <c r="F349" i="1"/>
  <c r="E349" i="1"/>
  <c r="E348" i="1"/>
  <c r="D348" i="1"/>
  <c r="C348" i="1"/>
  <c r="H359" i="1"/>
  <c r="H358" i="1"/>
  <c r="G358" i="1"/>
  <c r="H357" i="1"/>
  <c r="G357" i="1"/>
  <c r="F357" i="1"/>
  <c r="F355" i="1" s="1"/>
  <c r="H356" i="1"/>
  <c r="H355" i="1" s="1"/>
  <c r="G356" i="1"/>
  <c r="G355" i="1" s="1"/>
  <c r="F356" i="1"/>
  <c r="E356" i="1"/>
  <c r="E355" i="1"/>
  <c r="D355" i="1"/>
  <c r="C355" i="1"/>
  <c r="H373" i="1"/>
  <c r="H372" i="1"/>
  <c r="G372" i="1"/>
  <c r="H371" i="1"/>
  <c r="G371" i="1"/>
  <c r="G369" i="1" s="1"/>
  <c r="F371" i="1"/>
  <c r="H370" i="1"/>
  <c r="H369" i="1" s="1"/>
  <c r="G370" i="1"/>
  <c r="F370" i="1"/>
  <c r="E370" i="1"/>
  <c r="E369" i="1" s="1"/>
  <c r="F369" i="1"/>
  <c r="D369" i="1"/>
  <c r="C369" i="1"/>
  <c r="H409" i="1"/>
  <c r="H408" i="1"/>
  <c r="G408" i="1"/>
  <c r="H407" i="1"/>
  <c r="G407" i="1"/>
  <c r="F407" i="1"/>
  <c r="F405" i="1" s="1"/>
  <c r="H406" i="1"/>
  <c r="H405" i="1" s="1"/>
  <c r="G406" i="1"/>
  <c r="G405" i="1" s="1"/>
  <c r="F406" i="1"/>
  <c r="E406" i="1"/>
  <c r="E405" i="1"/>
  <c r="D405" i="1"/>
  <c r="C405" i="1"/>
  <c r="H416" i="1"/>
  <c r="H415" i="1"/>
  <c r="G415" i="1"/>
  <c r="H414" i="1"/>
  <c r="G414" i="1"/>
  <c r="F414" i="1"/>
  <c r="F412" i="1" s="1"/>
  <c r="H413" i="1"/>
  <c r="H412" i="1" s="1"/>
  <c r="G413" i="1"/>
  <c r="G412" i="1" s="1"/>
  <c r="F413" i="1"/>
  <c r="E413" i="1"/>
  <c r="E412" i="1"/>
  <c r="D412" i="1"/>
  <c r="C412" i="1"/>
  <c r="H431" i="1"/>
  <c r="H430" i="1"/>
  <c r="G430" i="1"/>
  <c r="H429" i="1"/>
  <c r="G429" i="1"/>
  <c r="F429" i="1"/>
  <c r="F427" i="1" s="1"/>
  <c r="H428" i="1"/>
  <c r="H427" i="1" s="1"/>
  <c r="G428" i="1"/>
  <c r="G427" i="1" s="1"/>
  <c r="F428" i="1"/>
  <c r="E428" i="1"/>
  <c r="E427" i="1" s="1"/>
  <c r="D427" i="1"/>
  <c r="C427" i="1"/>
  <c r="H446" i="1"/>
  <c r="H445" i="1"/>
  <c r="G445" i="1"/>
  <c r="H444" i="1"/>
  <c r="G444" i="1"/>
  <c r="F444" i="1"/>
  <c r="F442" i="1" s="1"/>
  <c r="H443" i="1"/>
  <c r="H442" i="1" s="1"/>
  <c r="G443" i="1"/>
  <c r="G442" i="1" s="1"/>
  <c r="F443" i="1"/>
  <c r="E443" i="1"/>
  <c r="E442" i="1"/>
  <c r="D442" i="1"/>
  <c r="C442" i="1"/>
  <c r="H461" i="1"/>
  <c r="H460" i="1"/>
  <c r="G460" i="1"/>
  <c r="H459" i="1"/>
  <c r="G459" i="1"/>
  <c r="F459" i="1"/>
  <c r="H458" i="1"/>
  <c r="G458" i="1"/>
  <c r="F458" i="1"/>
  <c r="F457" i="1" s="1"/>
  <c r="E458" i="1"/>
  <c r="E457" i="1" s="1"/>
  <c r="H457" i="1"/>
  <c r="G457" i="1"/>
  <c r="D457" i="1"/>
  <c r="C457" i="1"/>
  <c r="B3" i="1" a="1"/>
  <c r="B2" i="1" a="1"/>
  <c r="B6" i="1" a="1"/>
  <c r="B4" i="1" a="1"/>
  <c r="B5" i="1" a="1"/>
  <c r="B12" i="1" a="1"/>
  <c r="B11" i="1" a="1"/>
  <c r="B15" i="1" a="1"/>
  <c r="B13" i="1" a="1"/>
  <c r="B14" i="1" a="1"/>
  <c r="B27" i="1" a="1"/>
  <c r="B26" i="1" a="1"/>
  <c r="B30" i="1" a="1"/>
  <c r="B28" i="1" a="1"/>
  <c r="B29" i="1" a="1"/>
  <c r="B60" i="1" a="1"/>
  <c r="B61" i="1" a="1"/>
  <c r="B59" i="1" a="1"/>
  <c r="B58" i="1" a="1"/>
  <c r="B62" i="1" a="1"/>
  <c r="B65" i="1" a="1"/>
  <c r="B69" i="1" a="1"/>
  <c r="B67" i="1" a="1"/>
  <c r="B68" i="1" a="1"/>
  <c r="B66" i="1" a="1"/>
  <c r="B76" i="1" a="1"/>
  <c r="B73" i="1" a="1"/>
  <c r="B74" i="1" a="1"/>
  <c r="B75" i="1" a="1"/>
  <c r="B72" i="1" a="1"/>
  <c r="B80" i="1" a="1"/>
  <c r="B79" i="1" a="1"/>
  <c r="B81" i="1" a="1"/>
  <c r="B83" i="1" a="1"/>
  <c r="B82" i="1" a="1"/>
  <c r="B87" i="1" a="1"/>
  <c r="B86" i="1" a="1"/>
  <c r="B90" i="1" a="1"/>
  <c r="B88" i="1" a="1"/>
  <c r="B89" i="1" a="1"/>
  <c r="B97" i="1" a="1"/>
  <c r="B94" i="1" a="1"/>
  <c r="B93" i="1" a="1"/>
  <c r="B95" i="1" a="1"/>
  <c r="B96" i="1" a="1"/>
  <c r="B127" i="1" a="1"/>
  <c r="B126" i="1" a="1"/>
  <c r="B125" i="1" a="1"/>
  <c r="B129" i="1" a="1"/>
  <c r="B128" i="1" a="1"/>
  <c r="B133" i="1" a="1"/>
  <c r="B132" i="1" a="1"/>
  <c r="B136" i="1" a="1"/>
  <c r="B134" i="1" a="1"/>
  <c r="B135" i="1" a="1"/>
  <c r="B140" i="1" a="1"/>
  <c r="B139" i="1" a="1"/>
  <c r="B143" i="1" a="1"/>
  <c r="B141" i="1" a="1"/>
  <c r="B142" i="1" a="1"/>
  <c r="B152" i="1" a="1"/>
  <c r="B150" i="1" a="1"/>
  <c r="B149" i="1" a="1"/>
  <c r="B151" i="1" a="1"/>
  <c r="B148" i="1" a="1"/>
  <c r="B159" i="1" a="1"/>
  <c r="B157" i="1" a="1"/>
  <c r="B155" i="1" a="1"/>
  <c r="B156" i="1" a="1"/>
  <c r="B158" i="1" a="1"/>
  <c r="B163" i="1" a="1"/>
  <c r="B162" i="1" a="1"/>
  <c r="B166" i="1" a="1"/>
  <c r="B164" i="1" a="1"/>
  <c r="B165" i="1" a="1"/>
  <c r="B195" i="1" a="1"/>
  <c r="B194" i="1" a="1"/>
  <c r="B196" i="1" a="1"/>
  <c r="B198" i="1" a="1"/>
  <c r="B197" i="1" a="1"/>
  <c r="B205" i="1" a="1"/>
  <c r="B203" i="1" a="1"/>
  <c r="B201" i="1" a="1"/>
  <c r="B202" i="1" a="1"/>
  <c r="B204" i="1" a="1"/>
  <c r="B209" i="1" a="1"/>
  <c r="B208" i="1" a="1"/>
  <c r="B212" i="1" a="1"/>
  <c r="B210" i="1" a="1"/>
  <c r="B211" i="1" a="1"/>
  <c r="B216" i="1" a="1"/>
  <c r="B215" i="1" a="1"/>
  <c r="B219" i="1" a="1"/>
  <c r="B217" i="1" a="1"/>
  <c r="B218" i="1" a="1"/>
  <c r="B223" i="1" a="1"/>
  <c r="B222" i="1" a="1"/>
  <c r="B226" i="1" a="1"/>
  <c r="B224" i="1" a="1"/>
  <c r="B225" i="1" a="1"/>
  <c r="B233" i="1" a="1"/>
  <c r="B231" i="1" a="1"/>
  <c r="B229" i="1" a="1"/>
  <c r="B232" i="1" a="1"/>
  <c r="B230" i="1" a="1"/>
  <c r="B262" i="1" a="1"/>
  <c r="B261" i="1" a="1"/>
  <c r="B265" i="1" a="1"/>
  <c r="B263" i="1" a="1"/>
  <c r="B264" i="1" a="1"/>
  <c r="B269" i="1" a="1"/>
  <c r="B268" i="1" a="1"/>
  <c r="B272" i="1" a="1"/>
  <c r="B270" i="1" a="1"/>
  <c r="B271" i="1" a="1"/>
  <c r="B282" i="1" a="1"/>
  <c r="B281" i="1" a="1"/>
  <c r="B283" i="1" a="1"/>
  <c r="B285" i="1" a="1"/>
  <c r="B284" i="1" a="1"/>
  <c r="B289" i="1" a="1"/>
  <c r="B288" i="1" a="1"/>
  <c r="B292" i="1" a="1"/>
  <c r="B290" i="1" a="1"/>
  <c r="B291" i="1" a="1"/>
  <c r="B296" i="1" a="1"/>
  <c r="B295" i="1" a="1"/>
  <c r="B299" i="1" a="1"/>
  <c r="B297" i="1" a="1"/>
  <c r="B298" i="1" a="1"/>
  <c r="B303" i="1" a="1"/>
  <c r="B302" i="1" a="1"/>
  <c r="B306" i="1" a="1"/>
  <c r="B304" i="1" a="1"/>
  <c r="B305" i="1" a="1"/>
  <c r="B335" i="1" a="1"/>
  <c r="B334" i="1" a="1"/>
  <c r="B338" i="1" a="1"/>
  <c r="B336" i="1" a="1"/>
  <c r="B337" i="1" a="1"/>
  <c r="B345" i="1" a="1"/>
  <c r="B343" i="1" a="1"/>
  <c r="B342" i="1" a="1"/>
  <c r="B344" i="1" a="1"/>
  <c r="B341" i="1" a="1"/>
  <c r="B352" i="1" a="1"/>
  <c r="B350" i="1" a="1"/>
  <c r="B348" i="1" a="1"/>
  <c r="B351" i="1" a="1"/>
  <c r="B349" i="1" a="1"/>
  <c r="B359" i="1" a="1"/>
  <c r="B356" i="1" a="1"/>
  <c r="B357" i="1" a="1"/>
  <c r="B358" i="1" a="1"/>
  <c r="B355" i="1" a="1"/>
  <c r="B370" i="1" a="1"/>
  <c r="B369" i="1" a="1"/>
  <c r="B371" i="1" a="1"/>
  <c r="B373" i="1" a="1"/>
  <c r="B372" i="1" a="1"/>
  <c r="B406" i="1" a="1"/>
  <c r="B409" i="1" a="1"/>
  <c r="B407" i="1" a="1"/>
  <c r="B408" i="1" a="1"/>
  <c r="B405" i="1" a="1"/>
  <c r="B416" i="1" a="1"/>
  <c r="B414" i="1" a="1"/>
  <c r="B412" i="1" a="1"/>
  <c r="B415" i="1" a="1"/>
  <c r="B413" i="1" a="1"/>
  <c r="B428" i="1" a="1"/>
  <c r="B427" i="1" a="1"/>
  <c r="B431" i="1" a="1"/>
  <c r="B429" i="1" a="1"/>
  <c r="B430" i="1" a="1"/>
  <c r="B446" i="1" a="1"/>
  <c r="B444" i="1" a="1"/>
  <c r="B445" i="1" a="1"/>
  <c r="B443" i="1" a="1"/>
  <c r="B442" i="1" a="1"/>
  <c r="B461" i="1" a="1"/>
  <c r="B460" i="1" a="1"/>
  <c r="B459" i="1" a="1"/>
  <c r="B458" i="1" a="1"/>
  <c r="B457" i="1" a="1"/>
  <c r="B5" i="1" l="1"/>
  <c r="B4" i="1"/>
  <c r="B6" i="1"/>
  <c r="B2" i="1"/>
  <c r="B3" i="1"/>
  <c r="B14" i="1"/>
  <c r="B13" i="1"/>
  <c r="B15" i="1"/>
  <c r="B11" i="1"/>
  <c r="B12" i="1"/>
  <c r="B29" i="1"/>
  <c r="B28" i="1"/>
  <c r="B30" i="1"/>
  <c r="B26" i="1"/>
  <c r="B27" i="1"/>
  <c r="B62" i="1"/>
  <c r="B58" i="1"/>
  <c r="B59" i="1"/>
  <c r="B61" i="1"/>
  <c r="B60" i="1"/>
  <c r="B66" i="1"/>
  <c r="B68" i="1"/>
  <c r="B67" i="1"/>
  <c r="B69" i="1"/>
  <c r="B65" i="1"/>
  <c r="B72" i="1"/>
  <c r="B75" i="1"/>
  <c r="B74" i="1"/>
  <c r="B73" i="1"/>
  <c r="B76" i="1"/>
  <c r="B82" i="1"/>
  <c r="B83" i="1"/>
  <c r="B81" i="1"/>
  <c r="B79" i="1"/>
  <c r="B80" i="1"/>
  <c r="B89" i="1"/>
  <c r="B88" i="1"/>
  <c r="B90" i="1"/>
  <c r="B86" i="1"/>
  <c r="B87" i="1"/>
  <c r="B96" i="1"/>
  <c r="B95" i="1"/>
  <c r="B93" i="1"/>
  <c r="B94" i="1"/>
  <c r="B97" i="1"/>
  <c r="B128" i="1"/>
  <c r="B129" i="1"/>
  <c r="B125" i="1"/>
  <c r="B126" i="1"/>
  <c r="B127" i="1"/>
  <c r="B135" i="1"/>
  <c r="B134" i="1"/>
  <c r="B136" i="1"/>
  <c r="B132" i="1"/>
  <c r="B133" i="1"/>
  <c r="B142" i="1"/>
  <c r="B141" i="1"/>
  <c r="B143" i="1"/>
  <c r="B139" i="1"/>
  <c r="B140" i="1"/>
  <c r="B148" i="1"/>
  <c r="B151" i="1"/>
  <c r="B149" i="1"/>
  <c r="B150" i="1"/>
  <c r="B152" i="1"/>
  <c r="B158" i="1"/>
  <c r="B156" i="1"/>
  <c r="B155" i="1"/>
  <c r="B157" i="1"/>
  <c r="B159" i="1"/>
  <c r="B165" i="1"/>
  <c r="B164" i="1"/>
  <c r="B166" i="1"/>
  <c r="B162" i="1"/>
  <c r="B163" i="1"/>
  <c r="B197" i="1"/>
  <c r="B198" i="1"/>
  <c r="B196" i="1"/>
  <c r="B194" i="1"/>
  <c r="B195" i="1"/>
  <c r="B204" i="1"/>
  <c r="B202" i="1"/>
  <c r="B201" i="1"/>
  <c r="B203" i="1"/>
  <c r="B205" i="1"/>
  <c r="B211" i="1"/>
  <c r="B210" i="1"/>
  <c r="B212" i="1"/>
  <c r="B208" i="1"/>
  <c r="B209" i="1"/>
  <c r="B218" i="1"/>
  <c r="B217" i="1"/>
  <c r="B219" i="1"/>
  <c r="B215" i="1"/>
  <c r="B216" i="1"/>
  <c r="B225" i="1"/>
  <c r="B224" i="1"/>
  <c r="B226" i="1"/>
  <c r="B222" i="1"/>
  <c r="B223" i="1"/>
  <c r="B230" i="1"/>
  <c r="B232" i="1"/>
  <c r="B229" i="1"/>
  <c r="B231" i="1"/>
  <c r="B233" i="1"/>
  <c r="B264" i="1"/>
  <c r="B263" i="1"/>
  <c r="B265" i="1"/>
  <c r="B261" i="1"/>
  <c r="B262" i="1"/>
  <c r="B271" i="1"/>
  <c r="B270" i="1"/>
  <c r="B272" i="1"/>
  <c r="B268" i="1"/>
  <c r="B269" i="1"/>
  <c r="B284" i="1"/>
  <c r="B285" i="1"/>
  <c r="B283" i="1"/>
  <c r="B281" i="1"/>
  <c r="B282" i="1"/>
  <c r="B291" i="1"/>
  <c r="B290" i="1"/>
  <c r="B292" i="1"/>
  <c r="B288" i="1"/>
  <c r="B289" i="1"/>
  <c r="B298" i="1"/>
  <c r="B297" i="1"/>
  <c r="B299" i="1"/>
  <c r="B295" i="1"/>
  <c r="B296" i="1"/>
  <c r="B305" i="1"/>
  <c r="B304" i="1"/>
  <c r="B306" i="1"/>
  <c r="B302" i="1"/>
  <c r="B303" i="1"/>
  <c r="B337" i="1"/>
  <c r="B336" i="1"/>
  <c r="B338" i="1"/>
  <c r="B334" i="1"/>
  <c r="B335" i="1"/>
  <c r="B341" i="1"/>
  <c r="B344" i="1"/>
  <c r="B342" i="1"/>
  <c r="B343" i="1"/>
  <c r="B345" i="1"/>
  <c r="B349" i="1"/>
  <c r="B351" i="1"/>
  <c r="B348" i="1"/>
  <c r="B350" i="1"/>
  <c r="B352" i="1"/>
  <c r="B355" i="1"/>
  <c r="B358" i="1"/>
  <c r="B357" i="1"/>
  <c r="B356" i="1"/>
  <c r="B359" i="1"/>
  <c r="B372" i="1"/>
  <c r="B373" i="1"/>
  <c r="B371" i="1"/>
  <c r="B369" i="1"/>
  <c r="B370" i="1"/>
  <c r="B405" i="1"/>
  <c r="B408" i="1"/>
  <c r="B407" i="1"/>
  <c r="B409" i="1"/>
  <c r="B406" i="1"/>
  <c r="B413" i="1"/>
  <c r="B415" i="1"/>
  <c r="B412" i="1"/>
  <c r="B414" i="1"/>
  <c r="B416" i="1"/>
  <c r="B430" i="1"/>
  <c r="B429" i="1"/>
  <c r="B431" i="1"/>
  <c r="B427" i="1"/>
  <c r="B428" i="1"/>
  <c r="B442" i="1"/>
  <c r="B443" i="1"/>
  <c r="B445" i="1"/>
  <c r="B444" i="1"/>
  <c r="B446" i="1"/>
  <c r="B461" i="1"/>
  <c r="B460" i="1"/>
  <c r="B459" i="1"/>
  <c r="B458" i="1"/>
  <c r="B45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<sst xmlns="http://schemas.openxmlformats.org/spreadsheetml/2006/main" count="532" uniqueCount="184">
  <si>
    <t>EE - 74114 Maardu</t>
  </si>
  <si>
    <t>Date: 08.02.2022</t>
  </si>
  <si>
    <t>E-mail: info@fwshats.de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</si>
  <si>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</si>
  <si>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</si>
  <si>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</si>
  <si>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</si>
  <si>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</si>
  <si>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</si>
  <si>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</si>
  <si>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1 2138402 71 sonstige 3 Pc(s) 109,00 EUR</t>
  </si>
  <si>
    <t>Fedora Panama bleached 5 Per Pc(s)</t>
  </si>
  <si>
    <t>59/L</t>
  </si>
  <si>
    <t>61/XL</t>
  </si>
  <si>
    <t>Country of manufacture: Italy --- Customs tariff code: 65040000 --- Net weight: 0,10 kg</t>
  </si>
  <si>
    <t>Line value 327,00 EUR</t>
  </si>
  <si>
    <t>Recommended Retail Price = 279,00 EUR Total line value 261,60 EUR</t>
  </si>
  <si>
    <t>10 2478505 7 beige 19 Pc(s) 29,90 EUR</t>
  </si>
  <si>
    <t>Traveller Seagrass Per Pc(s)</t>
  </si>
  <si>
    <t>55/S</t>
  </si>
  <si>
    <t>57/M</t>
  </si>
  <si>
    <t>63/XXL</t>
  </si>
  <si>
    <t>Country of manufacture: China --- Customs tariff code: 65040000 --- Net weight: 0,13 kg</t>
  </si>
  <si>
    <t>Line value 568,10 EUR</t>
  </si>
  <si>
    <t>Recommended Retail Price = 79,00 EUR Total line value 454,48 EUR</t>
  </si>
  <si>
    <t>11 7751190 82 sonstige 110 Pc(s) 14,90 EUR</t>
  </si>
  <si>
    <t>Trucker Cap On Vacation Per Pc(s)</t>
  </si>
  <si>
    <t>OSFA</t>
  </si>
  <si>
    <t>Country of manufacture: China --- Customs tariff code: 65050030 --- Net weight: 0,10 kg</t>
  </si>
  <si>
    <t>Line value 1.639,00 EUR</t>
  </si>
  <si>
    <t>Recommended Retail Price = 39,00 EUR Total line value 1.311,20 EUR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</si>
  <si>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</si>
  <si>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</si>
  <si>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</si>
  <si>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</si>
  <si>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</si>
  <si>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</si>
  <si>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</si>
  <si>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</si>
  <si>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</si>
  <si>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</si>
  <si>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</si>
  <si>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</si>
  <si>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</si>
  <si>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</si>
  <si>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Invoice: 100-CI-2201524</t>
  </si>
  <si>
    <t>Cust. no. invoice rec.: 935224 Page 2 of 8</t>
  </si>
  <si>
    <t>12 7751192 22 sonstige 50 Pc(s) 14,90 EUR</t>
  </si>
  <si>
    <t>Trucker Cap Air Land Sea Per Pc(s)</t>
  </si>
  <si>
    <t>Line value 745,00 EUR</t>
  </si>
  <si>
    <t>Recommended Retail Price = 39,00 EUR Total line value 596,00 EUR</t>
  </si>
  <si>
    <t>13 7751192 83 sonstige 75 Pc(s) 14,90 EUR</t>
  </si>
  <si>
    <t>Line value 1.117,50 EUR</t>
  </si>
  <si>
    <t>Recommended Retail Price = 39,00 EUR Total line value 894,00 EUR</t>
  </si>
  <si>
    <t>14 7751193 52 sonstige 115 Pc(s) 14,90 EUR</t>
  </si>
  <si>
    <t>Trucker Cap Air and Sea Per Pc(s)</t>
  </si>
  <si>
    <t>Line value 1.713,50 EUR</t>
  </si>
  <si>
    <t>Recommended Retail Price = 39,00 EUR Total line value 1.370,80 EUR</t>
  </si>
  <si>
    <t>15 7751195 26 sonstige 140 Pc(s) 14,90 EUR</t>
  </si>
  <si>
    <t>Trucker Cap Tiki Lounge Per Pc(s)</t>
  </si>
  <si>
    <t>Line value 2.086,00 EUR</t>
  </si>
  <si>
    <t>Recommended Retail Price = 39,00 EUR Total line value 1.668,80 EUR</t>
  </si>
  <si>
    <t>16 7756115 27 sonstige 140 Pc(s) 14,90 EUR</t>
  </si>
  <si>
    <t>Trucker Cap Malibu Per Pc(s)</t>
  </si>
  <si>
    <t>17 7751101 53 sonstige 100 Pc(s) 14,90 EUR</t>
  </si>
  <si>
    <t>Trucker Cap Bear Per Pc(s)</t>
  </si>
  <si>
    <t>Line value 1.490,00 EUR</t>
  </si>
  <si>
    <t>Recommended Retail Price = 39,00 EUR Total line value 1.192,00 EUR</t>
  </si>
  <si>
    <t>Cust. no. invoice rec.: 935224 Page 3 of 8</t>
  </si>
  <si>
    <t>18 7751103 17 sonstige 100 Pc(s) 14,90 EUR</t>
  </si>
  <si>
    <t>Trucker Cap American Heritage Per Pc(s)</t>
  </si>
  <si>
    <t>19 7751103 87 sonstige 100 Pc(s) 14,90 EUR</t>
  </si>
  <si>
    <t>2 2458402 71 sonstige 2 Pc(s) 109,00 EUR</t>
  </si>
  <si>
    <t>Traveller Panama bleached 5 Per Pc(s)</t>
  </si>
  <si>
    <t>Line value 218,00 EUR</t>
  </si>
  <si>
    <t>Recommended Retail Price = 279,00 EUR Total line value 174,40 EUR</t>
  </si>
  <si>
    <t>20 7751103 27 sonstige 70 Pc(s) 14,90 EUR</t>
  </si>
  <si>
    <t>Line value 1.043,00 EUR</t>
  </si>
  <si>
    <t>Recommended Retail Price = 39,00 EUR Total line value 834,40 EUR</t>
  </si>
  <si>
    <t>21 7751107 28 sonstige 130 Pc(s) 14,90 EUR</t>
  </si>
  <si>
    <t>Trucker Cap Gasoline Per Pc(s)</t>
  </si>
  <si>
    <t>Line value 1.937,00 EUR</t>
  </si>
  <si>
    <t>Recommended Retail Price = 39,00 EUR Total line value 1.549,60 EUR</t>
  </si>
  <si>
    <t>22 7751152 25 sonstige 130 Pc(s) 14,90 EUR</t>
  </si>
  <si>
    <t>Trucker Cap Great Plains Per Pc(s)</t>
  </si>
  <si>
    <t>Cust. no. invoice rec.: 935224 Page 4 of 8</t>
  </si>
  <si>
    <t>23 7751154 29 sonstige 130 Pc(s) 14,90 EUR</t>
  </si>
  <si>
    <t>Trucker Cap Dirt Track Racing Per Pc(s)</t>
  </si>
  <si>
    <t>24 7751155 57 sonstige 140 Pc(s) 14,90 EUR</t>
  </si>
  <si>
    <t>Trucker Cap Forest Patrol Per Pc(s)</t>
  </si>
  <si>
    <t>25 7751171 5 oliv 20 Pc(s) 14,90 EUR</t>
  </si>
  <si>
    <t>Trucker Cap American Heritage Classic Per Pc(s)</t>
  </si>
  <si>
    <t>Line value 298,00 EUR</t>
  </si>
  <si>
    <t>Recommended Retail Price = 39,00 EUR Total line value 238,40 EUR</t>
  </si>
  <si>
    <t>26 7751171 1 black 110 Pc(s) 14,90 EUR</t>
  </si>
  <si>
    <t>27 7751171 7 beige 50 Pc(s) 14,90 EUR</t>
  </si>
  <si>
    <t>28 7751171 8 rot 65 Pc(s) 14,90 EUR</t>
  </si>
  <si>
    <t>Line value 968,50 EUR</t>
  </si>
  <si>
    <t>Recommended Retail Price = 39,00 EUR Total line value 774,80 EUR</t>
  </si>
  <si>
    <t>Cust. no. invoice rec.: 935224 Page 5 of 8</t>
  </si>
  <si>
    <t>29 7751176 65 sonstige 20 Pc(s) 14,90 EUR</t>
  </si>
  <si>
    <t>Trucker Cap Stronger Bison Per Pc(s)</t>
  </si>
  <si>
    <t>3 2138504 7 beige 9 Pc(s) 57,00 EUR</t>
  </si>
  <si>
    <t>Fedora Hemp Per Pc(s)</t>
  </si>
  <si>
    <t>Country of manufacture: Italy --- Customs tariff code: 65040000 --- Net weight: 0,09 kg</t>
  </si>
  <si>
    <t>Line value 513,00 EUR</t>
  </si>
  <si>
    <t>Recommended Retail Price = 149,00 EUR Total line value 410,40 EUR</t>
  </si>
  <si>
    <t>30 7751178 84 sonstige 55 Pc(s) 14,90 EUR</t>
  </si>
  <si>
    <t>Trucker Cap College Football Per Pc(s)</t>
  </si>
  <si>
    <t>Line value 819,50 EUR</t>
  </si>
  <si>
    <t>Recommended Retail Price = 39,00 EUR Total line value 655,60 EUR</t>
  </si>
  <si>
    <t>31 7751185 22 sonstige 90 Pc(s) 14,90 EUR</t>
  </si>
  <si>
    <t>Trucker Cap Gaslamp Per Pc(s)</t>
  </si>
  <si>
    <t>Line value 1.341,00 EUR</t>
  </si>
  <si>
    <t>Recommended Retail Price = 39,00 EUR Total line value 1.072,80 EUR</t>
  </si>
  <si>
    <t>32 7751186 67 sonstige 130 Pc(s) 14,90 EUR</t>
  </si>
  <si>
    <t>Trucker Cap Camper Per Pc(s)</t>
  </si>
  <si>
    <t>33 7751189 89 sonstige 130 Pc(s) 14,90 EUR</t>
  </si>
  <si>
    <t>Trucker Cap American Heritage Master Per Pc(s)</t>
  </si>
  <si>
    <t>Cust. no. invoice rec.: 935224 Page 6 of 8</t>
  </si>
  <si>
    <t>34 7756105 68 sonstige 25 Pc(s) 14,90 EUR</t>
  </si>
  <si>
    <t>Trucker Cap On the Road Per Pc(s)</t>
  </si>
  <si>
    <t>Line value 372,50 EUR</t>
  </si>
  <si>
    <t>Recommended Retail Price = 39,00 EUR Total line value 298,00 EUR</t>
  </si>
  <si>
    <t>35 7721110 3 grey / silver 10 Pc(s) 14,90 EUR</t>
  </si>
  <si>
    <t>Baseball Cap Cotton Per Pc(s)</t>
  </si>
  <si>
    <t>Line value 149,00 EUR</t>
  </si>
  <si>
    <t>Recommended Retail Price = 39,00 EUR Total line value 119,20 EUR</t>
  </si>
  <si>
    <t>36 6611105 2 navy / gun metal 1 Pc(s) 12,90 EUR</t>
  </si>
  <si>
    <t>Texas Cotton Per Pc(s)</t>
  </si>
  <si>
    <t>Country of manufacture: China --- Customs tariff code: 65050030 --- Net weight: 0,11 kg</t>
  </si>
  <si>
    <t>Line value 12,90 EUR</t>
  </si>
  <si>
    <t>Recommended Retail Price = 35,00 EUR Total line value 10,32 EUR</t>
  </si>
  <si>
    <t>37 6611105 23 sonstige 2 Pc(s) 12,90 EUR</t>
  </si>
  <si>
    <t>Line value 25,80 EUR</t>
  </si>
  <si>
    <t>Recommended Retail Price = 35,00 EUR Total line value 20,64 EUR</t>
  </si>
  <si>
    <t>38 7431101 1 black 1 Pc(s) 14,90 EUR</t>
  </si>
  <si>
    <t>Army Cap Cotton Per Pc(s)</t>
  </si>
  <si>
    <t>Country of manufacture: China --- Customs tariff code: 65050030 --- Net weight: 0,09 kg</t>
  </si>
  <si>
    <t>Line value 14,90 EUR</t>
  </si>
  <si>
    <t>Recommended Retail Price = 39,00 EUR Total line value 11,92 EUR</t>
  </si>
  <si>
    <t>4 2128503 71 sonstige 8 Pc(s) 33,90 EUR</t>
  </si>
  <si>
    <t>Fedora Toyo Per Pc(s)</t>
  </si>
  <si>
    <t>Country of manufacture: China --- Customs tariff code: 65040000 --- Net weight: 0,08 kg</t>
  </si>
  <si>
    <t>Line value 271,20 EUR</t>
  </si>
  <si>
    <t>Recommended Retail Price = 89,00 EUR Total line value 216,96 EUR</t>
  </si>
  <si>
    <t>Cust. no. invoice rec.: 935224 Page 7 of 8</t>
  </si>
  <si>
    <t>5 1238551 77 sonstige 2 Pc(s) 22,90 EUR</t>
  </si>
  <si>
    <t>Trilby Toyo Per Pc(s)</t>
  </si>
  <si>
    <t>Line value 45,80 EUR</t>
  </si>
  <si>
    <t>Recommended Retail Price = 59,00 EUR Total line value 36,64 EUR</t>
  </si>
  <si>
    <t>6 1698509 77 sonstige 21 Pc(s) 22,90 EUR</t>
  </si>
  <si>
    <t>Pork Pie Toyo Per Pc(s)</t>
  </si>
  <si>
    <t>Country of manufacture: China --- Customs tariff code: 65040000 --- Net weight: 0,09 kg</t>
  </si>
  <si>
    <t>Line value 480,90 EUR</t>
  </si>
  <si>
    <t>Recommended Retail Price = 59,00 EUR Total line value 384,72 EUR</t>
  </si>
  <si>
    <t>7 1698509 67 sonstige 21 Pc(s) 22,90 EUR</t>
  </si>
  <si>
    <t>8 2938510 67 sonstige 16 Pc(s) 37,90 EUR</t>
  </si>
  <si>
    <t>Boater Palm Per Pc(s)</t>
  </si>
  <si>
    <t>Country of manufacture: China --- Customs tariff code: 65040000 --- Net weight: 0,12 kg</t>
  </si>
  <si>
    <t>Line value 606,40 EUR</t>
  </si>
  <si>
    <t>Recommended Retail Price = 99,00 EUR Total line value 485,12 EUR</t>
  </si>
  <si>
    <t>9 2928501 7 beige 6 Pc(s) 29,90 EUR</t>
  </si>
  <si>
    <t>Pith Helmet Toyo Per Pc(s)</t>
  </si>
  <si>
    <t>Country of manufacture: China --- Customs tariff code: 65040000 --- Net weight: 0,25 kg</t>
  </si>
  <si>
    <t>Line value 179,40 EUR</t>
  </si>
  <si>
    <t>Recommended Retail Price = 79,00 EUR Total line value 143,52 EUR</t>
  </si>
  <si>
    <t>Total Quantity: 2.346 Pc(s)</t>
  </si>
  <si>
    <t>Total: 29.636,64 EUR</t>
  </si>
  <si>
    <t>Tax free intracommunity delivery 0,00 EUR</t>
  </si>
  <si>
    <t>Total Value: 29.636,64 EUR</t>
  </si>
  <si>
    <t>There is a tax free intra-Community supply acc. § 4 No. 1b in conjunction with § 6a UStG</t>
  </si>
  <si>
    <t>Cust. no. invoice rec.: 935224 Page 8 of 8</t>
  </si>
  <si>
    <t>Valuation Date: 08.02.2022</t>
  </si>
  <si>
    <t>Payment term: 10 days 4% cash discount, 28 days net - Prepayment</t>
  </si>
  <si>
    <t>Cash discount 10 Days 4 % until 18.02.2022 = 1.185,47 EUR Payment amount: 28.451,17 EUR</t>
  </si>
  <si>
    <t>28 Days net without until 08.03.2022 Payment amount: 29.636,64 EUR</t>
  </si>
  <si>
    <t>cash discounts</t>
  </si>
  <si>
    <t>Thank you for your order. We ask you to clear the invoice in advance. The goods will be send after incoming payments.</t>
  </si>
  <si>
    <t>Please always indicate your customer number 935224 and invoice number CI-2201524 when transferring the invoice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</si>
  <si>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</si>
  <si>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</si>
  <si>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</si>
  <si>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Article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</si>
</sst>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Обычный" xfId="0" builtinId="0"/>
  </cellStyles>
  <dxfs count="3"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P518"/>
  <sheetViews>
    <sheetView workbookViewId="0">
      <selection activeCell="D9" sqref="D9"/>
    </sheetView>
  </sheetViews>
  <sheetFormatPr defaultRowHeight="15" x14ac:dyDescent="0.25"/>
  <cols>
    <col min="1" max="1" width="108.42578125" bestFit="1" customWidth="1"/>
    <col min="2" max="2" width="10.85546875" bestFit="1" customWidth="1"/>
  </cols>
  <sheetData>
    <row r="1" spans="1:8" x14ac:dyDescent="0.25">
      <c r="A1" t="s">
        <v>0</v>
      </c>
      <c r="B1" s="1" t="s">
        <v>183</v>
      </c>
      <c r="C1" s="1" t="s">
        <v>27</v>
      </c>
      <c r="D1" s="1">
        <v>55</v>
      </c>
      <c r="E1" s="1">
        <v>57</v>
      </c>
      <c r="F1" s="1">
        <v>59</v>
      </c>
      <c r="G1" s="1">
        <v>61</v>
      </c>
      <c r="H1" s="1">
        <v>63</v>
      </c>
    </row>
    <row r="2" spans="1:8" x14ac:dyDescent="0.25">
      <c r="A2" t="s">
        <v>10</v>
      </c>
      <c r="B2" t="str" cm="1">
        <f t="array" ref="B2">БУКВЫ(MID($A2,3,11))</f>
        <v>213840271</v>
      </c>
      <c r="C2" t="str">
        <f>_xlfn.LET(_xlpm.Searching,"OSFA",_xlpm.inStr,IFERROR(FIND(_xlpm.Searching,$A4)&gt;=1,FALSE),IF(AND(_xlpm.inStr,LEN(A4)&lt;=6),A5,""))</f>
        <v/>
      </c>
      <c r="D2" t="str">
        <f>_xlfn.LET(_xlpm.Searching,"55",_xlpm.inStr,IFERROR(FIND(_xlpm.Searching,$A4)&gt;=1,FALSE),IF(AND(_xlpm.inStr,LEN(A4)&lt;=6),A5,""))</f>
        <v/>
      </c>
      <c r="E2" t="str">
        <f>_xlfn.LET(_xlpm.Searching,"57",_xlpm.inStr,IFERROR(FIND(_xlpm.Searching,$A4)&gt;=1,FALSE),IF(AND(_xlpm.inStr,LEN(A4)&lt;=6),$A5,""))&amp;E3</f>
        <v/>
      </c>
      <c r="F2" t="str">
        <f>_xlfn.LET(_xlpm.Searching,"59",_xlpm.inStr,IFERROR(FIND(_xlpm.Searching,$A4)&gt;=1,FALSE),IF(AND(_xlpm.inStr,LEN(A4)&lt;=6),$A5,""))&amp;F3&amp;F4</f>
        <v>2</v>
      </c>
      <c r="G2" t="str">
        <f>_xlfn.LET(_xlpm.Searching,"61",_xlpm.inStr,IFERROR(FIND(_xlpm.Searching,$A4)&gt;=1,FALSE),IF(AND(_xlpm.inStr,LEN(A4)&lt;=6),$A5,""))&amp;G3&amp;G4&amp;G5</f>
        <v>1</v>
      </c>
      <c r="H2" t="str">
        <f>_xlfn.LET(_xlpm.Searching,"63",_xlpm.inStr,IFERROR(FIND(_xlpm.Searching,$A4)&gt;=1,FALSE),IF(AND(_xlpm.inStr,LEN(A4)&lt;=6),$A5,""))&amp;H3&amp;H4&amp;H5&amp;H6</f>
        <v/>
      </c>
    </row>
    <row r="3" spans="1:8" x14ac:dyDescent="0.25">
      <c r="A3" t="s">
        <v>11</v>
      </c>
      <c r="B3" t="str" cm="1">
        <f t="array" ref="B3">БУКВЫ(MID($A2,3,11))</f>
        <v>213840271</v>
      </c>
      <c r="C3" s="2"/>
      <c r="D3" s="2"/>
      <c r="E3" t="str">
        <f>_xlfn.LET(_xlpm.Searching,"57",_xlpm.inStr,IFERROR(FIND(_xlpm.Searching,$A6)&gt;=1,FALSE),IF(AND(_xlpm.inStr,LEN(A6)&lt;=6),$A7,""))</f>
        <v/>
      </c>
      <c r="F3" t="str">
        <f>_xlfn.LET(_xlpm.Searching,"59",_xlpm.inStr,IFERROR(FIND(_xlpm.Searching,$A6)&gt;=1,FALSE),IF(AND(_xlpm.inStr,LEN(A6)&lt;=6),$A7,""))</f>
        <v/>
      </c>
      <c r="G3">
        <f>_xlfn.LET(_xlpm.Searching,"61",_xlpm.inStr,IFERROR(FIND(_xlpm.Searching,$A6)&gt;=1,FALSE),IF(AND(_xlpm.inStr,LEN(A6)&lt;=6),$A7,""))</f>
        <v>1</v>
      </c>
      <c r="H3" t="str">
        <f>_xlfn.LET(_xlpm.Searching,"63",_xlpm.inStr,IFERROR(FIND(_xlpm.Searching,$A6)&gt;=1,FALSE),IF(AND(_xlpm.inStr,LEN(A6)&lt;=6),$A7,""))</f>
        <v/>
      </c>
    </row>
    <row r="4" spans="1:8" x14ac:dyDescent="0.25">
      <c r="A4" t="s">
        <v>12</v>
      </c>
      <c r="B4" t="str" cm="1">
        <f t="array" ref="B4">БУКВЫ(MID($A2,3,11))</f>
        <v>213840271</v>
      </c>
      <c r="C4" s="2"/>
      <c r="D4" s="2"/>
      <c r="E4" s="2"/>
      <c r="F4" t="str">
        <f>_xlfn.LET(_xlpm.Searching,"59",_xlpm.inStr,IFERROR(FIND(_xlpm.Searching,$A8)&gt;=1,FALSE),IF(AND(_xlpm.inStr,LEN(A8)&lt;=6),$A9,""))</f>
        <v/>
      </c>
      <c r="G4" t="str">
        <f>_xlfn.LET(_xlpm.Searching,"61",_xlpm.inStr,IFERROR(FIND(_xlpm.Searching,$A8)&gt;=1,FALSE),IF(AND(_xlpm.inStr,LEN(A8)&lt;=6),$A9,""))</f>
        <v/>
      </c>
      <c r="H4" t="str">
        <f>_xlfn.LET(_xlpm.Searching,"63",_xlpm.inStr,IFERROR(FIND(_xlpm.Searching,$A8)&gt;=1,FALSE),IF(AND(_xlpm.inStr,LEN(A8)&lt;=6),$A9,""))</f>
        <v/>
      </c>
    </row>
    <row r="5" spans="1:8" x14ac:dyDescent="0.25">
      <c r="A5">
        <v>2</v>
      </c>
      <c r="B5" t="str" cm="1">
        <f t="array" ref="B5">БУКВЫ(MID($A2,3,11))</f>
        <v>213840271</v>
      </c>
      <c r="C5" s="2"/>
      <c r="D5" s="2"/>
      <c r="E5" s="2"/>
      <c r="F5" s="2"/>
      <c r="G5" t="str">
        <f>_xlfn.LET(_xlpm.Searching,"61",_xlpm.inStr,IFERROR(FIND(_xlpm.Searching,$A10)&gt;=1,FALSE),IF(AND(_xlpm.inStr,LEN(A10)&lt;=6),$A11,""))</f>
        <v/>
      </c>
      <c r="H5" t="str">
        <f>_xlfn.LET(_xlpm.Searching,"63",_xlpm.inStr,IFERROR(FIND(_xlpm.Searching,$A10)&gt;=1,FALSE),IF(AND(_xlpm.inStr,LEN(A10)&lt;=6),$A11,""))</f>
        <v/>
      </c>
    </row>
    <row r="6" spans="1:8" x14ac:dyDescent="0.25">
      <c r="A6" t="s">
        <v>13</v>
      </c>
      <c r="B6" t="str" cm="1">
        <f t="array" ref="B6">БУКВЫ(MID($A2,3,11))</f>
        <v>213840271</v>
      </c>
      <c r="C6" s="2"/>
      <c r="D6" s="2"/>
      <c r="E6" s="2"/>
      <c r="F6" s="2"/>
      <c r="G6" s="2"/>
      <c r="H6" t="str">
        <f>_xlfn.LET(_xlpm.Searching,"63",_xlpm.inStr,IFERROR(FIND(_xlpm.Searching,$A12)&gt;=1,FALSE),IF(AND(_xlpm.inStr,LEN(A12)&lt;=6),$A13,""))</f>
        <v/>
      </c>
    </row>
    <row r="7" spans="1:8" x14ac:dyDescent="0.25">
      <c r="A7">
        <v>1</v>
      </c>
    </row>
    <row r="8" spans="1:8" x14ac:dyDescent="0.25">
      <c r="A8" t="s">
        <v>14</v>
      </c>
    </row>
    <row r="9" spans="1:8" x14ac:dyDescent="0.25">
      <c r="A9" t="s">
        <v>15</v>
      </c>
    </row>
    <row r="10" spans="1:8" x14ac:dyDescent="0.25">
      <c r="A10" t="s">
        <v>16</v>
      </c>
      <c r="B10" s="1" t="s">
        <v>183</v>
      </c>
      <c r="C10" s="1" t="s">
        <v>27</v>
      </c>
      <c r="D10" s="1">
        <v>55</v>
      </c>
      <c r="E10" s="1">
        <v>57</v>
      </c>
      <c r="F10" s="1">
        <v>59</v>
      </c>
      <c r="G10" s="1">
        <v>61</v>
      </c>
      <c r="H10" s="1">
        <v>63</v>
      </c>
    </row>
    <row r="11" spans="1:8" x14ac:dyDescent="0.25">
      <c r="A11" t="s">
        <v>17</v>
      </c>
      <c r="B11" t="str" cm="1">
        <f t="array" ref="B11">БУКВЫ(MID($A11,3,11))</f>
        <v>24785057</v>
      </c>
      <c r="C11" t="str">
        <f>_xlfn.LET(_xlpm.Searching,"OSFA",_xlpm.inStr,IFERROR(FIND(_xlpm.Searching,$A13)&gt;=1,FALSE),IF(AND(_xlpm.inStr,LEN(A13)&lt;=6),A14,""))</f>
        <v/>
      </c>
      <c r="D11">
        <f>_xlfn.LET(_xlpm.Searching,"55",_xlpm.inStr,IFERROR(FIND(_xlpm.Searching,$A13)&gt;=1,FALSE),IF(AND(_xlpm.inStr,LEN(A13)&lt;=6),A14,""))</f>
        <v>2</v>
      </c>
      <c r="E11" t="str">
        <f>_xlfn.LET(_xlpm.Searching,"57",_xlpm.inStr,IFERROR(FIND(_xlpm.Searching,$A13)&gt;=1,FALSE),IF(AND(_xlpm.inStr,LEN(A13)&lt;=6),$A14,""))&amp;E12</f>
        <v>3</v>
      </c>
      <c r="F11" t="str">
        <f>_xlfn.LET(_xlpm.Searching,"59",_xlpm.inStr,IFERROR(FIND(_xlpm.Searching,$A13)&gt;=1,FALSE),IF(AND(_xlpm.inStr,LEN(A13)&lt;=6),$A14,""))&amp;F12&amp;F13</f>
        <v>4</v>
      </c>
      <c r="G11" t="str">
        <f>_xlfn.LET(_xlpm.Searching,"61",_xlpm.inStr,IFERROR(FIND(_xlpm.Searching,$A13)&gt;=1,FALSE),IF(AND(_xlpm.inStr,LEN(A13)&lt;=6),$A14,""))&amp;G12&amp;G13&amp;G14</f>
        <v>5</v>
      </c>
      <c r="H11" t="str">
        <f>_xlfn.LET(_xlpm.Searching,"63",_xlpm.inStr,IFERROR(FIND(_xlpm.Searching,$A13)&gt;=1,FALSE),IF(AND(_xlpm.inStr,LEN(A13)&lt;=6),$A14,""))&amp;H12&amp;H13&amp;H14&amp;H15</f>
        <v>5</v>
      </c>
    </row>
    <row r="12" spans="1:8" x14ac:dyDescent="0.25">
      <c r="A12" t="s">
        <v>18</v>
      </c>
      <c r="B12" t="str" cm="1">
        <f t="array" ref="B12">БУКВЫ(MID($A11,3,11))</f>
        <v>24785057</v>
      </c>
      <c r="C12" s="2"/>
      <c r="D12" s="2"/>
      <c r="E12">
        <f>_xlfn.LET(_xlpm.Searching,"57",_xlpm.inStr,IFERROR(FIND(_xlpm.Searching,$A15)&gt;=1,FALSE),IF(AND(_xlpm.inStr,LEN(A15)&lt;=6),$A16,""))</f>
        <v>3</v>
      </c>
      <c r="F12" t="str">
        <f>_xlfn.LET(_xlpm.Searching,"59",_xlpm.inStr,IFERROR(FIND(_xlpm.Searching,$A15)&gt;=1,FALSE),IF(AND(_xlpm.inStr,LEN(A15)&lt;=6),$A16,""))</f>
        <v/>
      </c>
      <c r="G12" t="str">
        <f>_xlfn.LET(_xlpm.Searching,"61",_xlpm.inStr,IFERROR(FIND(_xlpm.Searching,$A15)&gt;=1,FALSE),IF(AND(_xlpm.inStr,LEN(A15)&lt;=6),$A16,""))</f>
        <v/>
      </c>
      <c r="H12" t="str">
        <f>_xlfn.LET(_xlpm.Searching,"63",_xlpm.inStr,IFERROR(FIND(_xlpm.Searching,$A15)&gt;=1,FALSE),IF(AND(_xlpm.inStr,LEN(A15)&lt;=6),$A16,""))</f>
        <v/>
      </c>
    </row>
    <row r="13" spans="1:8" x14ac:dyDescent="0.25">
      <c r="A13" t="s">
        <v>19</v>
      </c>
      <c r="B13" t="str" cm="1">
        <f t="array" ref="B13">БУКВЫ(MID($A11,3,11))</f>
        <v>24785057</v>
      </c>
      <c r="C13" s="2"/>
      <c r="D13" s="2"/>
      <c r="E13" s="2"/>
      <c r="F13">
        <f>_xlfn.LET(_xlpm.Searching,"59",_xlpm.inStr,IFERROR(FIND(_xlpm.Searching,$A17)&gt;=1,FALSE),IF(AND(_xlpm.inStr,LEN(A17)&lt;=6),$A18,""))</f>
        <v>4</v>
      </c>
      <c r="G13" t="str">
        <f>_xlfn.LET(_xlpm.Searching,"61",_xlpm.inStr,IFERROR(FIND(_xlpm.Searching,$A17)&gt;=1,FALSE),IF(AND(_xlpm.inStr,LEN(A17)&lt;=6),$A18,""))</f>
        <v/>
      </c>
      <c r="H13" t="str">
        <f>_xlfn.LET(_xlpm.Searching,"63",_xlpm.inStr,IFERROR(FIND(_xlpm.Searching,$A17)&gt;=1,FALSE),IF(AND(_xlpm.inStr,LEN(A17)&lt;=6),$A18,""))</f>
        <v/>
      </c>
    </row>
    <row r="14" spans="1:8" x14ac:dyDescent="0.25">
      <c r="A14">
        <v>2</v>
      </c>
      <c r="B14" t="str" cm="1">
        <f t="array" ref="B14">БУКВЫ(MID($A11,3,11))</f>
        <v>24785057</v>
      </c>
      <c r="C14" s="2"/>
      <c r="D14" s="2"/>
      <c r="E14" s="2"/>
      <c r="F14" s="2"/>
      <c r="G14">
        <f>_xlfn.LET(_xlpm.Searching,"61",_xlpm.inStr,IFERROR(FIND(_xlpm.Searching,$A19)&gt;=1,FALSE),IF(AND(_xlpm.inStr,LEN(A19)&lt;=6),$A20,""))</f>
        <v>5</v>
      </c>
      <c r="H14" t="str">
        <f>_xlfn.LET(_xlpm.Searching,"63",_xlpm.inStr,IFERROR(FIND(_xlpm.Searching,$A19)&gt;=1,FALSE),IF(AND(_xlpm.inStr,LEN(A19)&lt;=6),$A20,""))</f>
        <v/>
      </c>
    </row>
    <row r="15" spans="1:8" x14ac:dyDescent="0.25">
      <c r="A15" t="s">
        <v>20</v>
      </c>
      <c r="B15" t="str" cm="1">
        <f t="array" ref="B15">БУКВЫ(MID($A11,3,11))</f>
        <v>24785057</v>
      </c>
      <c r="C15" s="2"/>
      <c r="D15" s="2"/>
      <c r="E15" s="2"/>
      <c r="F15" s="2"/>
      <c r="G15" s="2"/>
      <c r="H15">
        <f>_xlfn.LET(_xlpm.Searching,"63",_xlpm.inStr,IFERROR(FIND(_xlpm.Searching,$A21)&gt;=1,FALSE),IF(AND(_xlpm.inStr,LEN(A21)&lt;=6),$A22,""))</f>
        <v>5</v>
      </c>
    </row>
    <row r="16" spans="1:8" x14ac:dyDescent="0.25">
      <c r="A16">
        <v>3</v>
      </c>
    </row>
    <row r="17" spans="1:8" x14ac:dyDescent="0.25">
      <c r="A17" t="s">
        <v>12</v>
      </c>
    </row>
    <row r="18" spans="1:8" x14ac:dyDescent="0.25">
      <c r="A18">
        <v>4</v>
      </c>
    </row>
    <row r="19" spans="1:8" x14ac:dyDescent="0.25">
      <c r="A19" t="s">
        <v>13</v>
      </c>
    </row>
    <row r="20" spans="1:8" x14ac:dyDescent="0.25">
      <c r="A20">
        <v>5</v>
      </c>
    </row>
    <row r="21" spans="1:8" x14ac:dyDescent="0.25">
      <c r="A21" t="s">
        <v>21</v>
      </c>
    </row>
    <row r="22" spans="1:8" x14ac:dyDescent="0.25">
      <c r="A22">
        <v>5</v>
      </c>
    </row>
    <row r="23" spans="1:8" x14ac:dyDescent="0.25">
      <c r="A23" t="s">
        <v>22</v>
      </c>
    </row>
    <row r="24" spans="1:8" x14ac:dyDescent="0.25">
      <c r="A24" t="s">
        <v>23</v>
      </c>
    </row>
    <row r="25" spans="1:8" x14ac:dyDescent="0.25">
      <c r="A25" t="s">
        <v>24</v>
      </c>
      <c r="B25" s="1" t="s">
        <v>183</v>
      </c>
      <c r="C25" s="1" t="s">
        <v>27</v>
      </c>
      <c r="D25" s="1">
        <v>55</v>
      </c>
      <c r="E25" s="1">
        <v>57</v>
      </c>
      <c r="F25" s="1">
        <v>59</v>
      </c>
      <c r="G25" s="1">
        <v>61</v>
      </c>
      <c r="H25" s="1">
        <v>63</v>
      </c>
    </row>
    <row r="26" spans="1:8" x14ac:dyDescent="0.25">
      <c r="A26" t="s">
        <v>25</v>
      </c>
      <c r="B26" t="str" cm="1">
        <f t="array" ref="B26">БУКВЫ(MID($A26,3,11))</f>
        <v>775119082</v>
      </c>
      <c r="C26">
        <f>_xlfn.LET(_xlpm.Searching,"OSFA",_xlpm.inStr,IFERROR(FIND(_xlpm.Searching,$A28)&gt;=1,FALSE),IF(AND(_xlpm.inStr,LEN(A28)&lt;=6),A29,""))</f>
        <v>110</v>
      </c>
      <c r="D26" t="str">
        <f>_xlfn.LET(_xlpm.Searching,"55",_xlpm.inStr,IFERROR(FIND(_xlpm.Searching,$A28)&gt;=1,FALSE),IF(AND(_xlpm.inStr,LEN(A28)&lt;=6),A29,""))</f>
        <v/>
      </c>
      <c r="E26" t="str">
        <f>_xlfn.LET(_xlpm.Searching,"57",_xlpm.inStr,IFERROR(FIND(_xlpm.Searching,$A28)&gt;=1,FALSE),IF(AND(_xlpm.inStr,LEN(A28)&lt;=6),$A29,""))&amp;E27</f>
        <v/>
      </c>
      <c r="F26" t="str">
        <f>_xlfn.LET(_xlpm.Searching,"59",_xlpm.inStr,IFERROR(FIND(_xlpm.Searching,$A28)&gt;=1,FALSE),IF(AND(_xlpm.inStr,LEN(A28)&lt;=6),$A29,""))&amp;F27&amp;F28</f>
        <v/>
      </c>
      <c r="G26" t="str">
        <f>_xlfn.LET(_xlpm.Searching,"61",_xlpm.inStr,IFERROR(FIND(_xlpm.Searching,$A28)&gt;=1,FALSE),IF(AND(_xlpm.inStr,LEN(A28)&lt;=6),$A29,""))&amp;G27&amp;G28&amp;G29</f>
        <v/>
      </c>
      <c r="H26" t="str">
        <f>_xlfn.LET(_xlpm.Searching,"63",_xlpm.inStr,IFERROR(FIND(_xlpm.Searching,$A28)&gt;=1,FALSE),IF(AND(_xlpm.inStr,LEN(A28)&lt;=6),$A29,""))&amp;H27&amp;H28&amp;H29&amp;H30</f>
        <v/>
      </c>
    </row>
    <row r="27" spans="1:8" x14ac:dyDescent="0.25">
      <c r="A27" t="s">
        <v>26</v>
      </c>
      <c r="B27" t="str" cm="1">
        <f t="array" ref="B27">БУКВЫ(MID($A26,3,11))</f>
        <v>775119082</v>
      </c>
      <c r="C27" s="2"/>
      <c r="D27" s="2"/>
      <c r="E27" t="str">
        <f>_xlfn.LET(_xlpm.Searching,"57",_xlpm.inStr,IFERROR(FIND(_xlpm.Searching,$A30)&gt;=1,FALSE),IF(AND(_xlpm.inStr,LEN(A30)&lt;=6),$A31,""))</f>
        <v/>
      </c>
      <c r="F27" t="str">
        <f>_xlfn.LET(_xlpm.Searching,"59",_xlpm.inStr,IFERROR(FIND(_xlpm.Searching,$A30)&gt;=1,FALSE),IF(AND(_xlpm.inStr,LEN(A30)&lt;=6),$A31,""))</f>
        <v/>
      </c>
      <c r="G27" t="str">
        <f>_xlfn.LET(_xlpm.Searching,"61",_xlpm.inStr,IFERROR(FIND(_xlpm.Searching,$A30)&gt;=1,FALSE),IF(AND(_xlpm.inStr,LEN(A30)&lt;=6),$A31,""))</f>
        <v/>
      </c>
      <c r="H27" t="str">
        <f>_xlfn.LET(_xlpm.Searching,"63",_xlpm.inStr,IFERROR(FIND(_xlpm.Searching,$A30)&gt;=1,FALSE),IF(AND(_xlpm.inStr,LEN(A30)&lt;=6),$A31,""))</f>
        <v/>
      </c>
    </row>
    <row r="28" spans="1:8" x14ac:dyDescent="0.25">
      <c r="A28" t="s">
        <v>27</v>
      </c>
      <c r="B28" t="str" cm="1">
        <f t="array" ref="B28">БУКВЫ(MID($A26,3,11))</f>
        <v>775119082</v>
      </c>
      <c r="C28" s="2"/>
      <c r="D28" s="2"/>
      <c r="E28" s="2"/>
      <c r="F28" t="str">
        <f>_xlfn.LET(_xlpm.Searching,"59",_xlpm.inStr,IFERROR(FIND(_xlpm.Searching,$A32)&gt;=1,FALSE),IF(AND(_xlpm.inStr,LEN(A32)&lt;=6),$A33,""))</f>
        <v/>
      </c>
      <c r="G28" t="str">
        <f>_xlfn.LET(_xlpm.Searching,"61",_xlpm.inStr,IFERROR(FIND(_xlpm.Searching,$A32)&gt;=1,FALSE),IF(AND(_xlpm.inStr,LEN(A32)&lt;=6),$A33,""))</f>
        <v/>
      </c>
      <c r="H28" t="str">
        <f>_xlfn.LET(_xlpm.Searching,"63",_xlpm.inStr,IFERROR(FIND(_xlpm.Searching,$A32)&gt;=1,FALSE),IF(AND(_xlpm.inStr,LEN(A32)&lt;=6),$A33,""))</f>
        <v/>
      </c>
    </row>
    <row r="29" spans="1:8" x14ac:dyDescent="0.25">
      <c r="A29">
        <v>110</v>
      </c>
      <c r="B29" t="str" cm="1">
        <f t="array" ref="B29">БУКВЫ(MID($A26,3,11))</f>
        <v>775119082</v>
      </c>
      <c r="C29" s="2"/>
      <c r="D29" s="2"/>
      <c r="E29" s="2"/>
      <c r="F29" s="2"/>
      <c r="G29" t="str">
        <f>_xlfn.LET(_xlpm.Searching,"61",_xlpm.inStr,IFERROR(FIND(_xlpm.Searching,$A34)&gt;=1,FALSE),IF(AND(_xlpm.inStr,LEN(A34)&lt;=6),$A35,""))</f>
        <v/>
      </c>
      <c r="H29" t="str">
        <f>_xlfn.LET(_xlpm.Searching,"63",_xlpm.inStr,IFERROR(FIND(_xlpm.Searching,$A34)&gt;=1,FALSE),IF(AND(_xlpm.inStr,LEN(A34)&lt;=6),$A35,""))</f>
        <v/>
      </c>
    </row>
    <row r="30" spans="1:8" x14ac:dyDescent="0.25">
      <c r="A30" t="s">
        <v>28</v>
      </c>
      <c r="B30" t="str" cm="1">
        <f t="array" ref="B30">БУКВЫ(MID($A26,3,11))</f>
        <v>775119082</v>
      </c>
      <c r="C30" s="2"/>
      <c r="D30" s="2"/>
      <c r="E30" s="2"/>
      <c r="F30" s="2"/>
      <c r="G30" s="2"/>
      <c r="H30" t="str">
        <f>_xlfn.LET(_xlpm.Searching,"63",_xlpm.inStr,IFERROR(FIND(_xlpm.Searching,$A36)&gt;=1,FALSE),IF(AND(_xlpm.inStr,LEN(A36)&lt;=6),$A37,""))</f>
        <v/>
      </c>
    </row>
    <row r="31" spans="1:8" x14ac:dyDescent="0.25">
      <c r="A31" t="s">
        <v>29</v>
      </c>
    </row>
    <row r="32" spans="1:8" x14ac:dyDescent="0.25">
      <c r="A32" t="s">
        <v>30</v>
      </c>
    </row>
    <row r="33" spans="1:1" x14ac:dyDescent="0.25">
      <c r="A33" t="s">
        <v>2</v>
      </c>
    </row>
    <row r="34" spans="1:1" x14ac:dyDescent="0.25">
      <c r="A34" t="s">
        <v>31</v>
      </c>
    </row>
    <row r="35" spans="1:1" x14ac:dyDescent="0.25">
      <c r="A35" t="s">
        <v>32</v>
      </c>
    </row>
    <row r="36" spans="1:1" x14ac:dyDescent="0.25">
      <c r="A36" t="s">
        <v>33</v>
      </c>
    </row>
    <row r="37" spans="1:1" x14ac:dyDescent="0.25">
      <c r="A37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5" spans="1:1" x14ac:dyDescent="0.25">
      <c r="A45" t="s">
        <v>42</v>
      </c>
    </row>
    <row r="46" spans="1:1" x14ac:dyDescent="0.25">
      <c r="A46" t="s">
        <v>43</v>
      </c>
    </row>
    <row r="47" spans="1:1" x14ac:dyDescent="0.25">
      <c r="A47" t="s">
        <v>44</v>
      </c>
    </row>
    <row r="48" spans="1:1" x14ac:dyDescent="0.25">
      <c r="A48" t="s">
        <v>1</v>
      </c>
    </row>
    <row r="49" spans="1:8" x14ac:dyDescent="0.25">
      <c r="A49" t="s">
        <v>45</v>
      </c>
    </row>
    <row r="50" spans="1:8" x14ac:dyDescent="0.25">
      <c r="A50" t="s">
        <v>46</v>
      </c>
    </row>
    <row r="51" spans="1:8" x14ac:dyDescent="0.25">
      <c r="A51" t="s">
        <v>3</v>
      </c>
    </row>
    <row r="52" spans="1:8" x14ac:dyDescent="0.25">
      <c r="A52" t="s">
        <v>4</v>
      </c>
    </row>
    <row r="53" spans="1:8" x14ac:dyDescent="0.25">
      <c r="A53" t="s">
        <v>5</v>
      </c>
    </row>
    <row r="54" spans="1:8" x14ac:dyDescent="0.25">
      <c r="A54" t="s">
        <v>6</v>
      </c>
    </row>
    <row r="55" spans="1:8" x14ac:dyDescent="0.25">
      <c r="A55" t="s">
        <v>7</v>
      </c>
    </row>
    <row r="56" spans="1:8" x14ac:dyDescent="0.25">
      <c r="A56" t="s">
        <v>8</v>
      </c>
    </row>
    <row r="57" spans="1:8" x14ac:dyDescent="0.25">
      <c r="A57" t="s">
        <v>9</v>
      </c>
      <c r="B57" s="1" t="s">
        <v>183</v>
      </c>
      <c r="C57" s="1" t="s">
        <v>27</v>
      </c>
      <c r="D57" s="1">
        <v>55</v>
      </c>
      <c r="E57" s="1">
        <v>57</v>
      </c>
      <c r="F57" s="1">
        <v>59</v>
      </c>
      <c r="G57" s="1">
        <v>61</v>
      </c>
      <c r="H57" s="1">
        <v>63</v>
      </c>
    </row>
    <row r="58" spans="1:8" x14ac:dyDescent="0.25">
      <c r="A58" t="s">
        <v>47</v>
      </c>
      <c r="B58" t="str" cm="1">
        <f t="array" ref="B58">БУКВЫ(MID($A58,3,11))</f>
        <v>775119222</v>
      </c>
      <c r="C58">
        <f>_xlfn.LET(_xlpm.Searching,"OSFA",_xlpm.inStr,IFERROR(FIND(_xlpm.Searching,$A60)&gt;=1,FALSE),IF(AND(_xlpm.inStr,LEN(A60)&lt;=6),A61,""))</f>
        <v>50</v>
      </c>
      <c r="D58" t="str">
        <f>_xlfn.LET(_xlpm.Searching,"55",_xlpm.inStr,IFERROR(FIND(_xlpm.Searching,$A60)&gt;=1,FALSE),IF(AND(_xlpm.inStr,LEN(A60)&lt;=6),A61,""))</f>
        <v/>
      </c>
      <c r="E58" t="str">
        <f>_xlfn.LET(_xlpm.Searching,"57",_xlpm.inStr,IFERROR(FIND(_xlpm.Searching,$A60)&gt;=1,FALSE),IF(AND(_xlpm.inStr,LEN(A60)&lt;=6),$A61,""))&amp;E59</f>
        <v/>
      </c>
      <c r="F58" t="str">
        <f>_xlfn.LET(_xlpm.Searching,"59",_xlpm.inStr,IFERROR(FIND(_xlpm.Searching,$A60)&gt;=1,FALSE),IF(AND(_xlpm.inStr,LEN(A60)&lt;=6),$A61,""))&amp;F59&amp;F60</f>
        <v/>
      </c>
      <c r="G58" t="str">
        <f>_xlfn.LET(_xlpm.Searching,"61",_xlpm.inStr,IFERROR(FIND(_xlpm.Searching,$A60)&gt;=1,FALSE),IF(AND(_xlpm.inStr,LEN(A60)&lt;=6),$A61,""))&amp;G59&amp;G60&amp;G61</f>
        <v/>
      </c>
      <c r="H58" t="str">
        <f>_xlfn.LET(_xlpm.Searching,"63",_xlpm.inStr,IFERROR(FIND(_xlpm.Searching,$A60)&gt;=1,FALSE),IF(AND(_xlpm.inStr,LEN(A60)&lt;=6),$A61,""))&amp;H59&amp;H60&amp;H61&amp;H62</f>
        <v/>
      </c>
    </row>
    <row r="59" spans="1:8" x14ac:dyDescent="0.25">
      <c r="A59" t="s">
        <v>48</v>
      </c>
      <c r="B59" t="str" cm="1">
        <f t="array" ref="B59">БУКВЫ(MID($A58,3,11))</f>
        <v>775119222</v>
      </c>
      <c r="C59" s="2"/>
      <c r="D59" s="2"/>
      <c r="E59" t="str">
        <f>_xlfn.LET(_xlpm.Searching,"57",_xlpm.inStr,IFERROR(FIND(_xlpm.Searching,$A62)&gt;=1,FALSE),IF(AND(_xlpm.inStr,LEN(A62)&lt;=6),$A63,""))</f>
        <v/>
      </c>
      <c r="F59" t="str">
        <f>_xlfn.LET(_xlpm.Searching,"59",_xlpm.inStr,IFERROR(FIND(_xlpm.Searching,$A62)&gt;=1,FALSE),IF(AND(_xlpm.inStr,LEN(A62)&lt;=6),$A63,""))</f>
        <v/>
      </c>
      <c r="G59" t="str">
        <f>_xlfn.LET(_xlpm.Searching,"61",_xlpm.inStr,IFERROR(FIND(_xlpm.Searching,$A62)&gt;=1,FALSE),IF(AND(_xlpm.inStr,LEN(A62)&lt;=6),$A63,""))</f>
        <v/>
      </c>
      <c r="H59" t="str">
        <f>_xlfn.LET(_xlpm.Searching,"63",_xlpm.inStr,IFERROR(FIND(_xlpm.Searching,$A62)&gt;=1,FALSE),IF(AND(_xlpm.inStr,LEN(A62)&lt;=6),$A63,""))</f>
        <v/>
      </c>
    </row>
    <row r="60" spans="1:8" x14ac:dyDescent="0.25">
      <c r="A60" t="s">
        <v>27</v>
      </c>
      <c r="B60" t="str" cm="1">
        <f t="array" ref="B60">БУКВЫ(MID($A58,3,11))</f>
        <v>775119222</v>
      </c>
      <c r="C60" s="2"/>
      <c r="D60" s="2"/>
      <c r="E60" s="2"/>
      <c r="F60" t="str">
        <f>_xlfn.LET(_xlpm.Searching,"59",_xlpm.inStr,IFERROR(FIND(_xlpm.Searching,$A64)&gt;=1,FALSE),IF(AND(_xlpm.inStr,LEN(A64)&lt;=6),$A65,""))</f>
        <v/>
      </c>
      <c r="G60" t="str">
        <f>_xlfn.LET(_xlpm.Searching,"61",_xlpm.inStr,IFERROR(FIND(_xlpm.Searching,$A64)&gt;=1,FALSE),IF(AND(_xlpm.inStr,LEN(A64)&lt;=6),$A65,""))</f>
        <v/>
      </c>
      <c r="H60" t="str">
        <f>_xlfn.LET(_xlpm.Searching,"63",_xlpm.inStr,IFERROR(FIND(_xlpm.Searching,$A64)&gt;=1,FALSE),IF(AND(_xlpm.inStr,LEN(A64)&lt;=6),$A65,""))</f>
        <v/>
      </c>
    </row>
    <row r="61" spans="1:8" x14ac:dyDescent="0.25">
      <c r="A61">
        <v>50</v>
      </c>
      <c r="B61" t="str" cm="1">
        <f t="array" ref="B61">БУКВЫ(MID($A58,3,11))</f>
        <v>775119222</v>
      </c>
      <c r="C61" s="2"/>
      <c r="D61" s="2"/>
      <c r="E61" s="2"/>
      <c r="F61" s="2"/>
      <c r="G61" t="str">
        <f>_xlfn.LET(_xlpm.Searching,"61",_xlpm.inStr,IFERROR(FIND(_xlpm.Searching,$A66)&gt;=1,FALSE),IF(AND(_xlpm.inStr,LEN(A66)&lt;=6),$A67,""))</f>
        <v/>
      </c>
      <c r="H61" t="str">
        <f>_xlfn.LET(_xlpm.Searching,"63",_xlpm.inStr,IFERROR(FIND(_xlpm.Searching,$A66)&gt;=1,FALSE),IF(AND(_xlpm.inStr,LEN(A66)&lt;=6),$A67,""))</f>
        <v/>
      </c>
    </row>
    <row r="62" spans="1:8" x14ac:dyDescent="0.25">
      <c r="A62" t="s">
        <v>28</v>
      </c>
      <c r="B62" t="str" cm="1">
        <f t="array" ref="B62">БУКВЫ(MID($A58,3,11))</f>
        <v>775119222</v>
      </c>
      <c r="C62" s="2"/>
      <c r="D62" s="2"/>
      <c r="E62" s="2"/>
      <c r="F62" s="2"/>
      <c r="G62" s="2"/>
      <c r="H62" t="str">
        <f>_xlfn.LET(_xlpm.Searching,"63",_xlpm.inStr,IFERROR(FIND(_xlpm.Searching,$A68)&gt;=1,FALSE),IF(AND(_xlpm.inStr,LEN(A68)&lt;=6),$A69,""))</f>
        <v/>
      </c>
    </row>
    <row r="63" spans="1:8" x14ac:dyDescent="0.25">
      <c r="A63" t="s">
        <v>49</v>
      </c>
    </row>
    <row r="64" spans="1:8" x14ac:dyDescent="0.25">
      <c r="A64" t="s">
        <v>50</v>
      </c>
      <c r="B64" s="1" t="s">
        <v>183</v>
      </c>
      <c r="C64" s="1" t="s">
        <v>27</v>
      </c>
      <c r="D64" s="1">
        <v>55</v>
      </c>
      <c r="E64" s="1">
        <v>57</v>
      </c>
      <c r="F64" s="1">
        <v>59</v>
      </c>
      <c r="G64" s="1">
        <v>61</v>
      </c>
      <c r="H64" s="1">
        <v>63</v>
      </c>
    </row>
    <row r="65" spans="1:8" x14ac:dyDescent="0.25">
      <c r="A65" t="s">
        <v>51</v>
      </c>
      <c r="B65" t="str" cm="1">
        <f t="array" ref="B65">БУКВЫ(MID($A65,3,11))</f>
        <v>775119283</v>
      </c>
      <c r="C65">
        <f>_xlfn.LET(_xlpm.Searching,"OSFA",_xlpm.inStr,IFERROR(FIND(_xlpm.Searching,$A67)&gt;=1,FALSE),IF(AND(_xlpm.inStr,LEN(A67)&lt;=6),A68,""))</f>
        <v>75</v>
      </c>
      <c r="D65" t="str">
        <f>_xlfn.LET(_xlpm.Searching,"55",_xlpm.inStr,IFERROR(FIND(_xlpm.Searching,$A67)&gt;=1,FALSE),IF(AND(_xlpm.inStr,LEN(A67)&lt;=6),A68,""))</f>
        <v/>
      </c>
      <c r="E65" t="str">
        <f>_xlfn.LET(_xlpm.Searching,"57",_xlpm.inStr,IFERROR(FIND(_xlpm.Searching,$A67)&gt;=1,FALSE),IF(AND(_xlpm.inStr,LEN(A67)&lt;=6),$A68,""))&amp;E66</f>
        <v/>
      </c>
      <c r="F65" t="str">
        <f>_xlfn.LET(_xlpm.Searching,"59",_xlpm.inStr,IFERROR(FIND(_xlpm.Searching,$A67)&gt;=1,FALSE),IF(AND(_xlpm.inStr,LEN(A67)&lt;=6),$A68,""))&amp;F66&amp;F67</f>
        <v/>
      </c>
      <c r="G65" t="str">
        <f>_xlfn.LET(_xlpm.Searching,"61",_xlpm.inStr,IFERROR(FIND(_xlpm.Searching,$A67)&gt;=1,FALSE),IF(AND(_xlpm.inStr,LEN(A67)&lt;=6),$A68,""))&amp;G66&amp;G67&amp;G68</f>
        <v/>
      </c>
      <c r="H65" t="str">
        <f>_xlfn.LET(_xlpm.Searching,"63",_xlpm.inStr,IFERROR(FIND(_xlpm.Searching,$A67)&gt;=1,FALSE),IF(AND(_xlpm.inStr,LEN(A67)&lt;=6),$A68,""))&amp;H66&amp;H67&amp;H68&amp;H69</f>
        <v/>
      </c>
    </row>
    <row r="66" spans="1:8" x14ac:dyDescent="0.25">
      <c r="A66" t="s">
        <v>48</v>
      </c>
      <c r="B66" t="str" cm="1">
        <f t="array" ref="B66">БУКВЫ(MID($A65,3,11))</f>
        <v>775119283</v>
      </c>
      <c r="C66" s="2"/>
      <c r="D66" s="2"/>
      <c r="E66" t="str">
        <f>_xlfn.LET(_xlpm.Searching,"57",_xlpm.inStr,IFERROR(FIND(_xlpm.Searching,$A69)&gt;=1,FALSE),IF(AND(_xlpm.inStr,LEN(A69)&lt;=6),$A70,""))</f>
        <v/>
      </c>
      <c r="F66" t="str">
        <f>_xlfn.LET(_xlpm.Searching,"59",_xlpm.inStr,IFERROR(FIND(_xlpm.Searching,$A69)&gt;=1,FALSE),IF(AND(_xlpm.inStr,LEN(A69)&lt;=6),$A70,""))</f>
        <v/>
      </c>
      <c r="G66" t="str">
        <f>_xlfn.LET(_xlpm.Searching,"61",_xlpm.inStr,IFERROR(FIND(_xlpm.Searching,$A69)&gt;=1,FALSE),IF(AND(_xlpm.inStr,LEN(A69)&lt;=6),$A70,""))</f>
        <v/>
      </c>
      <c r="H66" t="str">
        <f>_xlfn.LET(_xlpm.Searching,"63",_xlpm.inStr,IFERROR(FIND(_xlpm.Searching,$A69)&gt;=1,FALSE),IF(AND(_xlpm.inStr,LEN(A69)&lt;=6),$A70,""))</f>
        <v/>
      </c>
    </row>
    <row r="67" spans="1:8" x14ac:dyDescent="0.25">
      <c r="A67" t="s">
        <v>27</v>
      </c>
      <c r="B67" t="str" cm="1">
        <f t="array" ref="B67">БУКВЫ(MID($A65,3,11))</f>
        <v>775119283</v>
      </c>
      <c r="C67" s="2"/>
      <c r="D67" s="2"/>
      <c r="E67" s="2"/>
      <c r="F67" t="str">
        <f>_xlfn.LET(_xlpm.Searching,"59",_xlpm.inStr,IFERROR(FIND(_xlpm.Searching,$A71)&gt;=1,FALSE),IF(AND(_xlpm.inStr,LEN(A71)&lt;=6),$A72,""))</f>
        <v/>
      </c>
      <c r="G67" t="str">
        <f>_xlfn.LET(_xlpm.Searching,"61",_xlpm.inStr,IFERROR(FIND(_xlpm.Searching,$A71)&gt;=1,FALSE),IF(AND(_xlpm.inStr,LEN(A71)&lt;=6),$A72,""))</f>
        <v/>
      </c>
      <c r="H67" t="str">
        <f>_xlfn.LET(_xlpm.Searching,"63",_xlpm.inStr,IFERROR(FIND(_xlpm.Searching,$A71)&gt;=1,FALSE),IF(AND(_xlpm.inStr,LEN(A71)&lt;=6),$A72,""))</f>
        <v/>
      </c>
    </row>
    <row r="68" spans="1:8" x14ac:dyDescent="0.25">
      <c r="A68">
        <v>75</v>
      </c>
      <c r="B68" t="str" cm="1">
        <f t="array" ref="B68">БУКВЫ(MID($A65,3,11))</f>
        <v>775119283</v>
      </c>
      <c r="C68" s="2"/>
      <c r="D68" s="2"/>
      <c r="E68" s="2"/>
      <c r="F68" s="2"/>
      <c r="G68" t="str">
        <f>_xlfn.LET(_xlpm.Searching,"61",_xlpm.inStr,IFERROR(FIND(_xlpm.Searching,$A73)&gt;=1,FALSE),IF(AND(_xlpm.inStr,LEN(A73)&lt;=6),$A74,""))</f>
        <v/>
      </c>
      <c r="H68" t="str">
        <f>_xlfn.LET(_xlpm.Searching,"63",_xlpm.inStr,IFERROR(FIND(_xlpm.Searching,$A73)&gt;=1,FALSE),IF(AND(_xlpm.inStr,LEN(A73)&lt;=6),$A74,""))</f>
        <v/>
      </c>
    </row>
    <row r="69" spans="1:8" x14ac:dyDescent="0.25">
      <c r="A69" t="s">
        <v>28</v>
      </c>
      <c r="B69" t="str" cm="1">
        <f t="array" ref="B69">БУКВЫ(MID($A65,3,11))</f>
        <v>775119283</v>
      </c>
      <c r="C69" s="2"/>
      <c r="D69" s="2"/>
      <c r="E69" s="2"/>
      <c r="F69" s="2"/>
      <c r="G69" s="2"/>
      <c r="H69" t="str">
        <f>_xlfn.LET(_xlpm.Searching,"63",_xlpm.inStr,IFERROR(FIND(_xlpm.Searching,$A75)&gt;=1,FALSE),IF(AND(_xlpm.inStr,LEN(A75)&lt;=6),$A76,""))</f>
        <v/>
      </c>
    </row>
    <row r="70" spans="1:8" x14ac:dyDescent="0.25">
      <c r="A70" t="s">
        <v>52</v>
      </c>
    </row>
    <row r="71" spans="1:8" x14ac:dyDescent="0.25">
      <c r="A71" t="s">
        <v>53</v>
      </c>
      <c r="B71" s="1" t="s">
        <v>183</v>
      </c>
      <c r="C71" s="1" t="s">
        <v>27</v>
      </c>
      <c r="D71" s="1">
        <v>55</v>
      </c>
      <c r="E71" s="1">
        <v>57</v>
      </c>
      <c r="F71" s="1">
        <v>59</v>
      </c>
      <c r="G71" s="1">
        <v>61</v>
      </c>
      <c r="H71" s="1">
        <v>63</v>
      </c>
    </row>
    <row r="72" spans="1:8" x14ac:dyDescent="0.25">
      <c r="A72" t="s">
        <v>54</v>
      </c>
      <c r="B72" t="str" cm="1">
        <f t="array" ref="B72">БУКВЫ(MID($A72,3,11))</f>
        <v>775119352</v>
      </c>
      <c r="C72">
        <f>_xlfn.LET(_xlpm.Searching,"OSFA",_xlpm.inStr,IFERROR(FIND(_xlpm.Searching,$A74)&gt;=1,FALSE),IF(AND(_xlpm.inStr,LEN(A74)&lt;=6),A75,""))</f>
        <v>115</v>
      </c>
      <c r="D72" t="str">
        <f>_xlfn.LET(_xlpm.Searching,"55",_xlpm.inStr,IFERROR(FIND(_xlpm.Searching,$A74)&gt;=1,FALSE),IF(AND(_xlpm.inStr,LEN(A74)&lt;=6),A75,""))</f>
        <v/>
      </c>
      <c r="E72" t="str">
        <f>_xlfn.LET(_xlpm.Searching,"57",_xlpm.inStr,IFERROR(FIND(_xlpm.Searching,$A74)&gt;=1,FALSE),IF(AND(_xlpm.inStr,LEN(A74)&lt;=6),$A75,""))&amp;E73</f>
        <v/>
      </c>
      <c r="F72" t="str">
        <f>_xlfn.LET(_xlpm.Searching,"59",_xlpm.inStr,IFERROR(FIND(_xlpm.Searching,$A74)&gt;=1,FALSE),IF(AND(_xlpm.inStr,LEN(A74)&lt;=6),$A75,""))&amp;F73&amp;F74</f>
        <v/>
      </c>
      <c r="G72" t="str">
        <f>_xlfn.LET(_xlpm.Searching,"61",_xlpm.inStr,IFERROR(FIND(_xlpm.Searching,$A74)&gt;=1,FALSE),IF(AND(_xlpm.inStr,LEN(A74)&lt;=6),$A75,""))&amp;G73&amp;G74&amp;G75</f>
        <v/>
      </c>
      <c r="H72" t="str">
        <f>_xlfn.LET(_xlpm.Searching,"63",_xlpm.inStr,IFERROR(FIND(_xlpm.Searching,$A74)&gt;=1,FALSE),IF(AND(_xlpm.inStr,LEN(A74)&lt;=6),$A75,""))&amp;H73&amp;H74&amp;H75&amp;H76</f>
        <v/>
      </c>
    </row>
    <row r="73" spans="1:8" x14ac:dyDescent="0.25">
      <c r="A73" t="s">
        <v>55</v>
      </c>
      <c r="B73" t="str" cm="1">
        <f t="array" ref="B73">БУКВЫ(MID($A72,3,11))</f>
        <v>775119352</v>
      </c>
      <c r="C73" s="2"/>
      <c r="D73" s="2"/>
      <c r="E73" t="str">
        <f>_xlfn.LET(_xlpm.Searching,"57",_xlpm.inStr,IFERROR(FIND(_xlpm.Searching,$A76)&gt;=1,FALSE),IF(AND(_xlpm.inStr,LEN(A76)&lt;=6),$A77,""))</f>
        <v/>
      </c>
      <c r="F73" t="str">
        <f>_xlfn.LET(_xlpm.Searching,"59",_xlpm.inStr,IFERROR(FIND(_xlpm.Searching,$A76)&gt;=1,FALSE),IF(AND(_xlpm.inStr,LEN(A76)&lt;=6),$A77,""))</f>
        <v/>
      </c>
      <c r="G73" t="str">
        <f>_xlfn.LET(_xlpm.Searching,"61",_xlpm.inStr,IFERROR(FIND(_xlpm.Searching,$A76)&gt;=1,FALSE),IF(AND(_xlpm.inStr,LEN(A76)&lt;=6),$A77,""))</f>
        <v/>
      </c>
      <c r="H73" t="str">
        <f>_xlfn.LET(_xlpm.Searching,"63",_xlpm.inStr,IFERROR(FIND(_xlpm.Searching,$A76)&gt;=1,FALSE),IF(AND(_xlpm.inStr,LEN(A76)&lt;=6),$A77,""))</f>
        <v/>
      </c>
    </row>
    <row r="74" spans="1:8" x14ac:dyDescent="0.25">
      <c r="A74" t="s">
        <v>27</v>
      </c>
      <c r="B74" t="str" cm="1">
        <f t="array" ref="B74">БУКВЫ(MID($A72,3,11))</f>
        <v>775119352</v>
      </c>
      <c r="C74" s="2"/>
      <c r="D74" s="2"/>
      <c r="E74" s="2"/>
      <c r="F74" t="str">
        <f>_xlfn.LET(_xlpm.Searching,"59",_xlpm.inStr,IFERROR(FIND(_xlpm.Searching,$A78)&gt;=1,FALSE),IF(AND(_xlpm.inStr,LEN(A78)&lt;=6),$A79,""))</f>
        <v/>
      </c>
      <c r="G74" t="str">
        <f>_xlfn.LET(_xlpm.Searching,"61",_xlpm.inStr,IFERROR(FIND(_xlpm.Searching,$A78)&gt;=1,FALSE),IF(AND(_xlpm.inStr,LEN(A78)&lt;=6),$A79,""))</f>
        <v/>
      </c>
      <c r="H74" t="str">
        <f>_xlfn.LET(_xlpm.Searching,"63",_xlpm.inStr,IFERROR(FIND(_xlpm.Searching,$A78)&gt;=1,FALSE),IF(AND(_xlpm.inStr,LEN(A78)&lt;=6),$A79,""))</f>
        <v/>
      </c>
    </row>
    <row r="75" spans="1:8" x14ac:dyDescent="0.25">
      <c r="A75">
        <v>115</v>
      </c>
      <c r="B75" t="str" cm="1">
        <f t="array" ref="B75">БУКВЫ(MID($A72,3,11))</f>
        <v>775119352</v>
      </c>
      <c r="C75" s="2"/>
      <c r="D75" s="2"/>
      <c r="E75" s="2"/>
      <c r="F75" s="2"/>
      <c r="G75" t="str">
        <f>_xlfn.LET(_xlpm.Searching,"61",_xlpm.inStr,IFERROR(FIND(_xlpm.Searching,$A80)&gt;=1,FALSE),IF(AND(_xlpm.inStr,LEN(A80)&lt;=6),$A81,""))</f>
        <v/>
      </c>
      <c r="H75" t="str">
        <f>_xlfn.LET(_xlpm.Searching,"63",_xlpm.inStr,IFERROR(FIND(_xlpm.Searching,$A80)&gt;=1,FALSE),IF(AND(_xlpm.inStr,LEN(A80)&lt;=6),$A81,""))</f>
        <v/>
      </c>
    </row>
    <row r="76" spans="1:8" x14ac:dyDescent="0.25">
      <c r="A76" t="s">
        <v>28</v>
      </c>
      <c r="B76" t="str" cm="1">
        <f t="array" ref="B76">БУКВЫ(MID($A72,3,11))</f>
        <v>775119352</v>
      </c>
      <c r="C76" s="2"/>
      <c r="D76" s="2"/>
      <c r="E76" s="2"/>
      <c r="F76" s="2"/>
      <c r="G76" s="2"/>
      <c r="H76" t="str">
        <f>_xlfn.LET(_xlpm.Searching,"63",_xlpm.inStr,IFERROR(FIND(_xlpm.Searching,$A82)&gt;=1,FALSE),IF(AND(_xlpm.inStr,LEN(A82)&lt;=6),$A83,""))</f>
        <v/>
      </c>
    </row>
    <row r="77" spans="1:8" x14ac:dyDescent="0.25">
      <c r="A77" t="s">
        <v>56</v>
      </c>
    </row>
    <row r="78" spans="1:8" x14ac:dyDescent="0.25">
      <c r="A78" t="s">
        <v>57</v>
      </c>
      <c r="B78" s="1" t="s">
        <v>183</v>
      </c>
      <c r="C78" s="1" t="s">
        <v>27</v>
      </c>
      <c r="D78" s="1">
        <v>55</v>
      </c>
      <c r="E78" s="1">
        <v>57</v>
      </c>
      <c r="F78" s="1">
        <v>59</v>
      </c>
      <c r="G78" s="1">
        <v>61</v>
      </c>
      <c r="H78" s="1">
        <v>63</v>
      </c>
    </row>
    <row r="79" spans="1:8" x14ac:dyDescent="0.25">
      <c r="A79" t="s">
        <v>58</v>
      </c>
      <c r="B79" t="str" cm="1">
        <f t="array" ref="B79">БУКВЫ(MID($A79,3,11))</f>
        <v>775119526</v>
      </c>
      <c r="C79">
        <f>_xlfn.LET(_xlpm.Searching,"OSFA",_xlpm.inStr,IFERROR(FIND(_xlpm.Searching,$A81)&gt;=1,FALSE),IF(AND(_xlpm.inStr,LEN(A81)&lt;=6),A82,""))</f>
        <v>140</v>
      </c>
      <c r="D79" t="str">
        <f>_xlfn.LET(_xlpm.Searching,"55",_xlpm.inStr,IFERROR(FIND(_xlpm.Searching,$A81)&gt;=1,FALSE),IF(AND(_xlpm.inStr,LEN(A81)&lt;=6),A82,""))</f>
        <v/>
      </c>
      <c r="E79" t="str">
        <f>_xlfn.LET(_xlpm.Searching,"57",_xlpm.inStr,IFERROR(FIND(_xlpm.Searching,$A81)&gt;=1,FALSE),IF(AND(_xlpm.inStr,LEN(A81)&lt;=6),$A82,""))&amp;E80</f>
        <v/>
      </c>
      <c r="F79" t="str">
        <f>_xlfn.LET(_xlpm.Searching,"59",_xlpm.inStr,IFERROR(FIND(_xlpm.Searching,$A81)&gt;=1,FALSE),IF(AND(_xlpm.inStr,LEN(A81)&lt;=6),$A82,""))&amp;F80&amp;F81</f>
        <v/>
      </c>
      <c r="G79" t="str">
        <f>_xlfn.LET(_xlpm.Searching,"61",_xlpm.inStr,IFERROR(FIND(_xlpm.Searching,$A81)&gt;=1,FALSE),IF(AND(_xlpm.inStr,LEN(A81)&lt;=6),$A82,""))&amp;G80&amp;G81&amp;G82</f>
        <v/>
      </c>
      <c r="H79" t="str">
        <f>_xlfn.LET(_xlpm.Searching,"63",_xlpm.inStr,IFERROR(FIND(_xlpm.Searching,$A81)&gt;=1,FALSE),IF(AND(_xlpm.inStr,LEN(A81)&lt;=6),$A82,""))&amp;H80&amp;H81&amp;H82&amp;H83</f>
        <v/>
      </c>
    </row>
    <row r="80" spans="1:8" x14ac:dyDescent="0.25">
      <c r="A80" t="s">
        <v>59</v>
      </c>
      <c r="B80" t="str" cm="1">
        <f t="array" ref="B80">БУКВЫ(MID($A79,3,11))</f>
        <v>775119526</v>
      </c>
      <c r="C80" s="2"/>
      <c r="D80" s="2"/>
      <c r="E80" t="str">
        <f>_xlfn.LET(_xlpm.Searching,"57",_xlpm.inStr,IFERROR(FIND(_xlpm.Searching,$A83)&gt;=1,FALSE),IF(AND(_xlpm.inStr,LEN(A83)&lt;=6),$A84,""))</f>
        <v/>
      </c>
      <c r="F80" t="str">
        <f>_xlfn.LET(_xlpm.Searching,"59",_xlpm.inStr,IFERROR(FIND(_xlpm.Searching,$A83)&gt;=1,FALSE),IF(AND(_xlpm.inStr,LEN(A83)&lt;=6),$A84,""))</f>
        <v/>
      </c>
      <c r="G80" t="str">
        <f>_xlfn.LET(_xlpm.Searching,"61",_xlpm.inStr,IFERROR(FIND(_xlpm.Searching,$A83)&gt;=1,FALSE),IF(AND(_xlpm.inStr,LEN(A83)&lt;=6),$A84,""))</f>
        <v/>
      </c>
      <c r="H80" t="str">
        <f>_xlfn.LET(_xlpm.Searching,"63",_xlpm.inStr,IFERROR(FIND(_xlpm.Searching,$A83)&gt;=1,FALSE),IF(AND(_xlpm.inStr,LEN(A83)&lt;=6),$A84,""))</f>
        <v/>
      </c>
    </row>
    <row r="81" spans="1:8" x14ac:dyDescent="0.25">
      <c r="A81" t="s">
        <v>27</v>
      </c>
      <c r="B81" t="str" cm="1">
        <f t="array" ref="B81">БУКВЫ(MID($A79,3,11))</f>
        <v>775119526</v>
      </c>
      <c r="C81" s="2"/>
      <c r="D81" s="2"/>
      <c r="E81" s="2"/>
      <c r="F81" t="str">
        <f>_xlfn.LET(_xlpm.Searching,"59",_xlpm.inStr,IFERROR(FIND(_xlpm.Searching,$A85)&gt;=1,FALSE),IF(AND(_xlpm.inStr,LEN(A85)&lt;=6),$A86,""))</f>
        <v/>
      </c>
      <c r="G81" t="str">
        <f>_xlfn.LET(_xlpm.Searching,"61",_xlpm.inStr,IFERROR(FIND(_xlpm.Searching,$A85)&gt;=1,FALSE),IF(AND(_xlpm.inStr,LEN(A85)&lt;=6),$A86,""))</f>
        <v/>
      </c>
      <c r="H81" t="str">
        <f>_xlfn.LET(_xlpm.Searching,"63",_xlpm.inStr,IFERROR(FIND(_xlpm.Searching,$A85)&gt;=1,FALSE),IF(AND(_xlpm.inStr,LEN(A85)&lt;=6),$A86,""))</f>
        <v/>
      </c>
    </row>
    <row r="82" spans="1:8" x14ac:dyDescent="0.25">
      <c r="A82">
        <v>140</v>
      </c>
      <c r="B82" t="str" cm="1">
        <f t="array" ref="B82">БУКВЫ(MID($A79,3,11))</f>
        <v>775119526</v>
      </c>
      <c r="C82" s="2"/>
      <c r="D82" s="2"/>
      <c r="E82" s="2"/>
      <c r="F82" s="2"/>
      <c r="G82" t="str">
        <f>_xlfn.LET(_xlpm.Searching,"61",_xlpm.inStr,IFERROR(FIND(_xlpm.Searching,$A87)&gt;=1,FALSE),IF(AND(_xlpm.inStr,LEN(A87)&lt;=6),$A88,""))</f>
        <v/>
      </c>
      <c r="H82" t="str">
        <f>_xlfn.LET(_xlpm.Searching,"63",_xlpm.inStr,IFERROR(FIND(_xlpm.Searching,$A87)&gt;=1,FALSE),IF(AND(_xlpm.inStr,LEN(A87)&lt;=6),$A88,""))</f>
        <v/>
      </c>
    </row>
    <row r="83" spans="1:8" x14ac:dyDescent="0.25">
      <c r="A83" t="s">
        <v>28</v>
      </c>
      <c r="B83" t="str" cm="1">
        <f t="array" ref="B83">БУКВЫ(MID($A79,3,11))</f>
        <v>775119526</v>
      </c>
      <c r="C83" s="2"/>
      <c r="D83" s="2"/>
      <c r="E83" s="2"/>
      <c r="F83" s="2"/>
      <c r="G83" s="2"/>
      <c r="H83" t="str">
        <f>_xlfn.LET(_xlpm.Searching,"63",_xlpm.inStr,IFERROR(FIND(_xlpm.Searching,$A89)&gt;=1,FALSE),IF(AND(_xlpm.inStr,LEN(A89)&lt;=6),$A90,""))</f>
        <v/>
      </c>
    </row>
    <row r="84" spans="1:8" x14ac:dyDescent="0.25">
      <c r="A84" t="s">
        <v>60</v>
      </c>
    </row>
    <row r="85" spans="1:8" x14ac:dyDescent="0.25">
      <c r="A85" t="s">
        <v>61</v>
      </c>
      <c r="B85" s="1" t="s">
        <v>183</v>
      </c>
      <c r="C85" s="1" t="s">
        <v>27</v>
      </c>
      <c r="D85" s="1">
        <v>55</v>
      </c>
      <c r="E85" s="1">
        <v>57</v>
      </c>
      <c r="F85" s="1">
        <v>59</v>
      </c>
      <c r="G85" s="1">
        <v>61</v>
      </c>
      <c r="H85" s="1">
        <v>63</v>
      </c>
    </row>
    <row r="86" spans="1:8" x14ac:dyDescent="0.25">
      <c r="A86" t="s">
        <v>62</v>
      </c>
      <c r="B86" t="str" cm="1">
        <f t="array" ref="B86">БУКВЫ(MID($A86,3,11))</f>
        <v>775611527</v>
      </c>
      <c r="C86">
        <f>_xlfn.LET(_xlpm.Searching,"OSFA",_xlpm.inStr,IFERROR(FIND(_xlpm.Searching,$A88)&gt;=1,FALSE),IF(AND(_xlpm.inStr,LEN(A88)&lt;=6),A89,""))</f>
        <v>140</v>
      </c>
      <c r="D86" t="str">
        <f>_xlfn.LET(_xlpm.Searching,"55",_xlpm.inStr,IFERROR(FIND(_xlpm.Searching,$A88)&gt;=1,FALSE),IF(AND(_xlpm.inStr,LEN(A88)&lt;=6),A89,""))</f>
        <v/>
      </c>
      <c r="E86" t="str">
        <f>_xlfn.LET(_xlpm.Searching,"57",_xlpm.inStr,IFERROR(FIND(_xlpm.Searching,$A88)&gt;=1,FALSE),IF(AND(_xlpm.inStr,LEN(A88)&lt;=6),$A89,""))&amp;E87</f>
        <v/>
      </c>
      <c r="F86" t="str">
        <f>_xlfn.LET(_xlpm.Searching,"59",_xlpm.inStr,IFERROR(FIND(_xlpm.Searching,$A88)&gt;=1,FALSE),IF(AND(_xlpm.inStr,LEN(A88)&lt;=6),$A89,""))&amp;F87&amp;F88</f>
        <v/>
      </c>
      <c r="G86" t="str">
        <f>_xlfn.LET(_xlpm.Searching,"61",_xlpm.inStr,IFERROR(FIND(_xlpm.Searching,$A88)&gt;=1,FALSE),IF(AND(_xlpm.inStr,LEN(A88)&lt;=6),$A89,""))&amp;G87&amp;G88&amp;G89</f>
        <v/>
      </c>
      <c r="H86" t="str">
        <f>_xlfn.LET(_xlpm.Searching,"63",_xlpm.inStr,IFERROR(FIND(_xlpm.Searching,$A88)&gt;=1,FALSE),IF(AND(_xlpm.inStr,LEN(A88)&lt;=6),$A89,""))&amp;H87&amp;H88&amp;H89&amp;H90</f>
        <v/>
      </c>
    </row>
    <row r="87" spans="1:8" x14ac:dyDescent="0.25">
      <c r="A87" t="s">
        <v>63</v>
      </c>
      <c r="B87" t="str" cm="1">
        <f t="array" ref="B87">БУКВЫ(MID($A86,3,11))</f>
        <v>775611527</v>
      </c>
      <c r="C87" s="2"/>
      <c r="D87" s="2"/>
      <c r="E87" t="str">
        <f>_xlfn.LET(_xlpm.Searching,"57",_xlpm.inStr,IFERROR(FIND(_xlpm.Searching,$A90)&gt;=1,FALSE),IF(AND(_xlpm.inStr,LEN(A90)&lt;=6),$A91,""))</f>
        <v/>
      </c>
      <c r="F87" t="str">
        <f>_xlfn.LET(_xlpm.Searching,"59",_xlpm.inStr,IFERROR(FIND(_xlpm.Searching,$A90)&gt;=1,FALSE),IF(AND(_xlpm.inStr,LEN(A90)&lt;=6),$A91,""))</f>
        <v/>
      </c>
      <c r="G87" t="str">
        <f>_xlfn.LET(_xlpm.Searching,"61",_xlpm.inStr,IFERROR(FIND(_xlpm.Searching,$A90)&gt;=1,FALSE),IF(AND(_xlpm.inStr,LEN(A90)&lt;=6),$A91,""))</f>
        <v/>
      </c>
      <c r="H87" t="str">
        <f>_xlfn.LET(_xlpm.Searching,"63",_xlpm.inStr,IFERROR(FIND(_xlpm.Searching,$A90)&gt;=1,FALSE),IF(AND(_xlpm.inStr,LEN(A90)&lt;=6),$A91,""))</f>
        <v/>
      </c>
    </row>
    <row r="88" spans="1:8" x14ac:dyDescent="0.25">
      <c r="A88" t="s">
        <v>27</v>
      </c>
      <c r="B88" t="str" cm="1">
        <f t="array" ref="B88">БУКВЫ(MID($A86,3,11))</f>
        <v>775611527</v>
      </c>
      <c r="C88" s="2"/>
      <c r="D88" s="2"/>
      <c r="E88" s="2"/>
      <c r="F88" t="str">
        <f>_xlfn.LET(_xlpm.Searching,"59",_xlpm.inStr,IFERROR(FIND(_xlpm.Searching,$A92)&gt;=1,FALSE),IF(AND(_xlpm.inStr,LEN(A92)&lt;=6),$A93,""))</f>
        <v/>
      </c>
      <c r="G88" t="str">
        <f>_xlfn.LET(_xlpm.Searching,"61",_xlpm.inStr,IFERROR(FIND(_xlpm.Searching,$A92)&gt;=1,FALSE),IF(AND(_xlpm.inStr,LEN(A92)&lt;=6),$A93,""))</f>
        <v/>
      </c>
      <c r="H88" t="str">
        <f>_xlfn.LET(_xlpm.Searching,"63",_xlpm.inStr,IFERROR(FIND(_xlpm.Searching,$A92)&gt;=1,FALSE),IF(AND(_xlpm.inStr,LEN(A92)&lt;=6),$A93,""))</f>
        <v/>
      </c>
    </row>
    <row r="89" spans="1:8" x14ac:dyDescent="0.25">
      <c r="A89">
        <v>140</v>
      </c>
      <c r="B89" t="str" cm="1">
        <f t="array" ref="B89">БУКВЫ(MID($A86,3,11))</f>
        <v>775611527</v>
      </c>
      <c r="C89" s="2"/>
      <c r="D89" s="2"/>
      <c r="E89" s="2"/>
      <c r="F89" s="2"/>
      <c r="G89" t="str">
        <f>_xlfn.LET(_xlpm.Searching,"61",_xlpm.inStr,IFERROR(FIND(_xlpm.Searching,$A94)&gt;=1,FALSE),IF(AND(_xlpm.inStr,LEN(A94)&lt;=6),$A95,""))</f>
        <v/>
      </c>
      <c r="H89" t="str">
        <f>_xlfn.LET(_xlpm.Searching,"63",_xlpm.inStr,IFERROR(FIND(_xlpm.Searching,$A94)&gt;=1,FALSE),IF(AND(_xlpm.inStr,LEN(A94)&lt;=6),$A95,""))</f>
        <v/>
      </c>
    </row>
    <row r="90" spans="1:8" x14ac:dyDescent="0.25">
      <c r="A90" t="s">
        <v>28</v>
      </c>
      <c r="B90" t="str" cm="1">
        <f t="array" ref="B90">БУКВЫ(MID($A86,3,11))</f>
        <v>775611527</v>
      </c>
      <c r="C90" s="2"/>
      <c r="D90" s="2"/>
      <c r="E90" s="2"/>
      <c r="F90" s="2"/>
      <c r="G90" s="2"/>
      <c r="H90" t="str">
        <f>_xlfn.LET(_xlpm.Searching,"63",_xlpm.inStr,IFERROR(FIND(_xlpm.Searching,$A96)&gt;=1,FALSE),IF(AND(_xlpm.inStr,LEN(A96)&lt;=6),$A97,""))</f>
        <v/>
      </c>
    </row>
    <row r="91" spans="1:8" x14ac:dyDescent="0.25">
      <c r="A91" t="s">
        <v>60</v>
      </c>
    </row>
    <row r="92" spans="1:8" x14ac:dyDescent="0.25">
      <c r="A92" t="s">
        <v>61</v>
      </c>
      <c r="B92" s="1" t="s">
        <v>183</v>
      </c>
      <c r="C92" s="1" t="s">
        <v>27</v>
      </c>
      <c r="D92" s="1">
        <v>55</v>
      </c>
      <c r="E92" s="1">
        <v>57</v>
      </c>
      <c r="F92" s="1">
        <v>59</v>
      </c>
      <c r="G92" s="1">
        <v>61</v>
      </c>
      <c r="H92" s="1">
        <v>63</v>
      </c>
    </row>
    <row r="93" spans="1:8" x14ac:dyDescent="0.25">
      <c r="A93" t="s">
        <v>64</v>
      </c>
      <c r="B93" t="str" cm="1">
        <f t="array" ref="B93">БУКВЫ(MID($A93,3,11))</f>
        <v>775110153</v>
      </c>
      <c r="C93">
        <f>_xlfn.LET(_xlpm.Searching,"OSFA",_xlpm.inStr,IFERROR(FIND(_xlpm.Searching,$A95)&gt;=1,FALSE),IF(AND(_xlpm.inStr,LEN(A95)&lt;=6),A96,""))</f>
        <v>100</v>
      </c>
      <c r="D93" t="str">
        <f>_xlfn.LET(_xlpm.Searching,"55",_xlpm.inStr,IFERROR(FIND(_xlpm.Searching,$A95)&gt;=1,FALSE),IF(AND(_xlpm.inStr,LEN(A95)&lt;=6),A96,""))</f>
        <v/>
      </c>
      <c r="E93" t="str">
        <f>_xlfn.LET(_xlpm.Searching,"57",_xlpm.inStr,IFERROR(FIND(_xlpm.Searching,$A95)&gt;=1,FALSE),IF(AND(_xlpm.inStr,LEN(A95)&lt;=6),$A96,""))&amp;E94</f>
        <v/>
      </c>
      <c r="F93" t="str">
        <f>_xlfn.LET(_xlpm.Searching,"59",_xlpm.inStr,IFERROR(FIND(_xlpm.Searching,$A95)&gt;=1,FALSE),IF(AND(_xlpm.inStr,LEN(A95)&lt;=6),$A96,""))&amp;F94&amp;F95</f>
        <v/>
      </c>
      <c r="G93" t="str">
        <f>_xlfn.LET(_xlpm.Searching,"61",_xlpm.inStr,IFERROR(FIND(_xlpm.Searching,$A95)&gt;=1,FALSE),IF(AND(_xlpm.inStr,LEN(A95)&lt;=6),$A96,""))&amp;G94&amp;G95&amp;G96</f>
        <v/>
      </c>
      <c r="H93" t="str">
        <f>_xlfn.LET(_xlpm.Searching,"63",_xlpm.inStr,IFERROR(FIND(_xlpm.Searching,$A95)&gt;=1,FALSE),IF(AND(_xlpm.inStr,LEN(A95)&lt;=6),$A96,""))&amp;H94&amp;H95&amp;H96&amp;H97</f>
        <v/>
      </c>
    </row>
    <row r="94" spans="1:8" x14ac:dyDescent="0.25">
      <c r="A94" t="s">
        <v>65</v>
      </c>
      <c r="B94" t="str" cm="1">
        <f t="array" ref="B94">БУКВЫ(MID($A93,3,11))</f>
        <v>775110153</v>
      </c>
      <c r="C94" s="2"/>
      <c r="D94" s="2"/>
      <c r="E94" t="str">
        <f>_xlfn.LET(_xlpm.Searching,"57",_xlpm.inStr,IFERROR(FIND(_xlpm.Searching,$A97)&gt;=1,FALSE),IF(AND(_xlpm.inStr,LEN(A97)&lt;=6),$A98,""))</f>
        <v/>
      </c>
      <c r="F94" t="str">
        <f>_xlfn.LET(_xlpm.Searching,"59",_xlpm.inStr,IFERROR(FIND(_xlpm.Searching,$A97)&gt;=1,FALSE),IF(AND(_xlpm.inStr,LEN(A97)&lt;=6),$A98,""))</f>
        <v/>
      </c>
      <c r="G94" t="str">
        <f>_xlfn.LET(_xlpm.Searching,"61",_xlpm.inStr,IFERROR(FIND(_xlpm.Searching,$A97)&gt;=1,FALSE),IF(AND(_xlpm.inStr,LEN(A97)&lt;=6),$A98,""))</f>
        <v/>
      </c>
      <c r="H94" t="str">
        <f>_xlfn.LET(_xlpm.Searching,"63",_xlpm.inStr,IFERROR(FIND(_xlpm.Searching,$A97)&gt;=1,FALSE),IF(AND(_xlpm.inStr,LEN(A97)&lt;=6),$A98,""))</f>
        <v/>
      </c>
    </row>
    <row r="95" spans="1:8" x14ac:dyDescent="0.25">
      <c r="A95" t="s">
        <v>27</v>
      </c>
      <c r="B95" t="str" cm="1">
        <f t="array" ref="B95">БУКВЫ(MID($A93,3,11))</f>
        <v>775110153</v>
      </c>
      <c r="C95" s="2"/>
      <c r="D95" s="2"/>
      <c r="E95" s="2"/>
      <c r="F95" t="str">
        <f>_xlfn.LET(_xlpm.Searching,"59",_xlpm.inStr,IFERROR(FIND(_xlpm.Searching,$A99)&gt;=1,FALSE),IF(AND(_xlpm.inStr,LEN(A99)&lt;=6),$A100,""))</f>
        <v/>
      </c>
      <c r="G95" t="str">
        <f>_xlfn.LET(_xlpm.Searching,"61",_xlpm.inStr,IFERROR(FIND(_xlpm.Searching,$A99)&gt;=1,FALSE),IF(AND(_xlpm.inStr,LEN(A99)&lt;=6),$A100,""))</f>
        <v/>
      </c>
      <c r="H95" t="str">
        <f>_xlfn.LET(_xlpm.Searching,"63",_xlpm.inStr,IFERROR(FIND(_xlpm.Searching,$A99)&gt;=1,FALSE),IF(AND(_xlpm.inStr,LEN(A99)&lt;=6),$A100,""))</f>
        <v/>
      </c>
    </row>
    <row r="96" spans="1:8" x14ac:dyDescent="0.25">
      <c r="A96">
        <v>100</v>
      </c>
      <c r="B96" t="str" cm="1">
        <f t="array" ref="B96">БУКВЫ(MID($A93,3,11))</f>
        <v>775110153</v>
      </c>
      <c r="C96" s="2"/>
      <c r="D96" s="2"/>
      <c r="E96" s="2"/>
      <c r="F96" s="2"/>
      <c r="G96" t="str">
        <f>_xlfn.LET(_xlpm.Searching,"61",_xlpm.inStr,IFERROR(FIND(_xlpm.Searching,$A101)&gt;=1,FALSE),IF(AND(_xlpm.inStr,LEN(A101)&lt;=6),$A102,""))</f>
        <v/>
      </c>
      <c r="H96" t="str">
        <f>_xlfn.LET(_xlpm.Searching,"63",_xlpm.inStr,IFERROR(FIND(_xlpm.Searching,$A101)&gt;=1,FALSE),IF(AND(_xlpm.inStr,LEN(A101)&lt;=6),$A102,""))</f>
        <v/>
      </c>
    </row>
    <row r="97" spans="1:8" x14ac:dyDescent="0.25">
      <c r="A97" t="s">
        <v>28</v>
      </c>
      <c r="B97" t="str" cm="1">
        <f t="array" ref="B97">БУКВЫ(MID($A93,3,11))</f>
        <v>775110153</v>
      </c>
      <c r="C97" s="2"/>
      <c r="D97" s="2"/>
      <c r="E97" s="2"/>
      <c r="F97" s="2"/>
      <c r="G97" s="2"/>
      <c r="H97" t="str">
        <f>_xlfn.LET(_xlpm.Searching,"63",_xlpm.inStr,IFERROR(FIND(_xlpm.Searching,$A103)&gt;=1,FALSE),IF(AND(_xlpm.inStr,LEN(A103)&lt;=6),$A104,""))</f>
        <v/>
      </c>
    </row>
    <row r="98" spans="1:8" x14ac:dyDescent="0.25">
      <c r="A98" t="s">
        <v>66</v>
      </c>
    </row>
    <row r="99" spans="1:8" x14ac:dyDescent="0.25">
      <c r="A99" t="s">
        <v>67</v>
      </c>
    </row>
    <row r="100" spans="1:8" x14ac:dyDescent="0.25">
      <c r="A100" t="s">
        <v>2</v>
      </c>
    </row>
    <row r="101" spans="1:8" x14ac:dyDescent="0.25">
      <c r="A101" t="s">
        <v>31</v>
      </c>
    </row>
    <row r="102" spans="1:8" x14ac:dyDescent="0.25">
      <c r="A102" t="s">
        <v>32</v>
      </c>
    </row>
    <row r="103" spans="1:8" x14ac:dyDescent="0.25">
      <c r="A103" t="s">
        <v>33</v>
      </c>
    </row>
    <row r="104" spans="1:8" x14ac:dyDescent="0.25">
      <c r="A104" t="s">
        <v>34</v>
      </c>
    </row>
    <row r="105" spans="1:8" x14ac:dyDescent="0.25">
      <c r="A105" t="s">
        <v>35</v>
      </c>
    </row>
    <row r="106" spans="1:8" x14ac:dyDescent="0.25">
      <c r="A106" t="s">
        <v>36</v>
      </c>
    </row>
    <row r="107" spans="1:8" x14ac:dyDescent="0.25">
      <c r="A107" t="s">
        <v>37</v>
      </c>
    </row>
    <row r="108" spans="1:8" x14ac:dyDescent="0.25">
      <c r="A108" t="s">
        <v>38</v>
      </c>
    </row>
    <row r="109" spans="1:8" x14ac:dyDescent="0.25">
      <c r="A109" t="s">
        <v>39</v>
      </c>
    </row>
    <row r="110" spans="1:8" x14ac:dyDescent="0.25">
      <c r="A110" t="s">
        <v>40</v>
      </c>
    </row>
    <row r="111" spans="1:8" x14ac:dyDescent="0.25">
      <c r="A111" t="s">
        <v>41</v>
      </c>
    </row>
    <row r="112" spans="1:8" x14ac:dyDescent="0.25">
      <c r="A112" t="s">
        <v>42</v>
      </c>
    </row>
    <row r="113" spans="1:8" x14ac:dyDescent="0.25">
      <c r="A113" t="s">
        <v>43</v>
      </c>
    </row>
    <row r="114" spans="1:8" x14ac:dyDescent="0.25">
      <c r="A114" t="s">
        <v>44</v>
      </c>
    </row>
    <row r="115" spans="1:8" x14ac:dyDescent="0.25">
      <c r="A115" t="s">
        <v>1</v>
      </c>
    </row>
    <row r="116" spans="1:8" x14ac:dyDescent="0.25">
      <c r="A116" t="s">
        <v>45</v>
      </c>
    </row>
    <row r="117" spans="1:8" x14ac:dyDescent="0.25">
      <c r="A117" t="s">
        <v>68</v>
      </c>
    </row>
    <row r="118" spans="1:8" x14ac:dyDescent="0.25">
      <c r="A118" t="s">
        <v>3</v>
      </c>
    </row>
    <row r="119" spans="1:8" x14ac:dyDescent="0.25">
      <c r="A119" t="s">
        <v>4</v>
      </c>
    </row>
    <row r="120" spans="1:8" x14ac:dyDescent="0.25">
      <c r="A120" t="s">
        <v>5</v>
      </c>
    </row>
    <row r="121" spans="1:8" x14ac:dyDescent="0.25">
      <c r="A121" t="s">
        <v>6</v>
      </c>
    </row>
    <row r="122" spans="1:8" x14ac:dyDescent="0.25">
      <c r="A122" t="s">
        <v>7</v>
      </c>
    </row>
    <row r="123" spans="1:8" x14ac:dyDescent="0.25">
      <c r="A123" t="s">
        <v>8</v>
      </c>
    </row>
    <row r="124" spans="1:8" x14ac:dyDescent="0.25">
      <c r="A124" t="s">
        <v>9</v>
      </c>
      <c r="B124" s="1" t="s">
        <v>183</v>
      </c>
      <c r="C124" s="1" t="s">
        <v>27</v>
      </c>
      <c r="D124" s="1">
        <v>55</v>
      </c>
      <c r="E124" s="1">
        <v>57</v>
      </c>
      <c r="F124" s="1">
        <v>59</v>
      </c>
      <c r="G124" s="1">
        <v>61</v>
      </c>
      <c r="H124" s="1">
        <v>63</v>
      </c>
    </row>
    <row r="125" spans="1:8" x14ac:dyDescent="0.25">
      <c r="A125" t="s">
        <v>69</v>
      </c>
      <c r="B125" t="str" cm="1">
        <f t="array" ref="B125">БУКВЫ(MID($A125,3,11))</f>
        <v>775110317</v>
      </c>
      <c r="C125">
        <f>_xlfn.LET(_xlpm.Searching,"OSFA",_xlpm.inStr,IFERROR(FIND(_xlpm.Searching,$A127)&gt;=1,FALSE),IF(AND(_xlpm.inStr,LEN(A127)&lt;=6),A128,""))</f>
        <v>100</v>
      </c>
      <c r="D125" t="str">
        <f>_xlfn.LET(_xlpm.Searching,"55",_xlpm.inStr,IFERROR(FIND(_xlpm.Searching,$A127)&gt;=1,FALSE),IF(AND(_xlpm.inStr,LEN(A127)&lt;=6),A128,""))</f>
        <v/>
      </c>
      <c r="E125" t="str">
        <f>_xlfn.LET(_xlpm.Searching,"57",_xlpm.inStr,IFERROR(FIND(_xlpm.Searching,$A127)&gt;=1,FALSE),IF(AND(_xlpm.inStr,LEN(A127)&lt;=6),$A128,""))&amp;E126</f>
        <v/>
      </c>
      <c r="F125" t="str">
        <f>_xlfn.LET(_xlpm.Searching,"59",_xlpm.inStr,IFERROR(FIND(_xlpm.Searching,$A127)&gt;=1,FALSE),IF(AND(_xlpm.inStr,LEN(A127)&lt;=6),$A128,""))&amp;F126&amp;F127</f>
        <v/>
      </c>
      <c r="G125" t="str">
        <f>_xlfn.LET(_xlpm.Searching,"61",_xlpm.inStr,IFERROR(FIND(_xlpm.Searching,$A127)&gt;=1,FALSE),IF(AND(_xlpm.inStr,LEN(A127)&lt;=6),$A128,""))&amp;G126&amp;G127&amp;G128</f>
        <v/>
      </c>
      <c r="H125" t="str">
        <f>_xlfn.LET(_xlpm.Searching,"63",_xlpm.inStr,IFERROR(FIND(_xlpm.Searching,$A127)&gt;=1,FALSE),IF(AND(_xlpm.inStr,LEN(A127)&lt;=6),$A128,""))&amp;H126&amp;H127&amp;H128&amp;H129</f>
        <v/>
      </c>
    </row>
    <row r="126" spans="1:8" x14ac:dyDescent="0.25">
      <c r="A126" t="s">
        <v>70</v>
      </c>
      <c r="B126" t="str" cm="1">
        <f t="array" ref="B126">БУКВЫ(MID($A125,3,11))</f>
        <v>775110317</v>
      </c>
      <c r="C126" s="2"/>
      <c r="D126" s="2"/>
      <c r="E126" t="str">
        <f>_xlfn.LET(_xlpm.Searching,"57",_xlpm.inStr,IFERROR(FIND(_xlpm.Searching,$A129)&gt;=1,FALSE),IF(AND(_xlpm.inStr,LEN(A129)&lt;=6),$A130,""))</f>
        <v/>
      </c>
      <c r="F126" t="str">
        <f>_xlfn.LET(_xlpm.Searching,"59",_xlpm.inStr,IFERROR(FIND(_xlpm.Searching,$A129)&gt;=1,FALSE),IF(AND(_xlpm.inStr,LEN(A129)&lt;=6),$A130,""))</f>
        <v/>
      </c>
      <c r="G126" t="str">
        <f>_xlfn.LET(_xlpm.Searching,"61",_xlpm.inStr,IFERROR(FIND(_xlpm.Searching,$A129)&gt;=1,FALSE),IF(AND(_xlpm.inStr,LEN(A129)&lt;=6),$A130,""))</f>
        <v/>
      </c>
      <c r="H126" t="str">
        <f>_xlfn.LET(_xlpm.Searching,"63",_xlpm.inStr,IFERROR(FIND(_xlpm.Searching,$A129)&gt;=1,FALSE),IF(AND(_xlpm.inStr,LEN(A129)&lt;=6),$A130,""))</f>
        <v/>
      </c>
    </row>
    <row r="127" spans="1:8" x14ac:dyDescent="0.25">
      <c r="A127" t="s">
        <v>27</v>
      </c>
      <c r="B127" t="str" cm="1">
        <f t="array" ref="B127">БУКВЫ(MID($A125,3,11))</f>
        <v>775110317</v>
      </c>
      <c r="C127" s="2"/>
      <c r="D127" s="2"/>
      <c r="E127" s="2"/>
      <c r="F127" t="str">
        <f>_xlfn.LET(_xlpm.Searching,"59",_xlpm.inStr,IFERROR(FIND(_xlpm.Searching,$A131)&gt;=1,FALSE),IF(AND(_xlpm.inStr,LEN(A131)&lt;=6),$A132,""))</f>
        <v/>
      </c>
      <c r="G127" t="str">
        <f>_xlfn.LET(_xlpm.Searching,"61",_xlpm.inStr,IFERROR(FIND(_xlpm.Searching,$A131)&gt;=1,FALSE),IF(AND(_xlpm.inStr,LEN(A131)&lt;=6),$A132,""))</f>
        <v/>
      </c>
      <c r="H127" t="str">
        <f>_xlfn.LET(_xlpm.Searching,"63",_xlpm.inStr,IFERROR(FIND(_xlpm.Searching,$A131)&gt;=1,FALSE),IF(AND(_xlpm.inStr,LEN(A131)&lt;=6),$A132,""))</f>
        <v/>
      </c>
    </row>
    <row r="128" spans="1:8" x14ac:dyDescent="0.25">
      <c r="A128">
        <v>100</v>
      </c>
      <c r="B128" t="str" cm="1">
        <f t="array" ref="B128">БУКВЫ(MID($A125,3,11))</f>
        <v>775110317</v>
      </c>
      <c r="C128" s="2"/>
      <c r="D128" s="2"/>
      <c r="E128" s="2"/>
      <c r="F128" s="2"/>
      <c r="G128" t="str">
        <f>_xlfn.LET(_xlpm.Searching,"61",_xlpm.inStr,IFERROR(FIND(_xlpm.Searching,$A133)&gt;=1,FALSE),IF(AND(_xlpm.inStr,LEN(A133)&lt;=6),$A134,""))</f>
        <v/>
      </c>
      <c r="H128" t="str">
        <f>_xlfn.LET(_xlpm.Searching,"63",_xlpm.inStr,IFERROR(FIND(_xlpm.Searching,$A133)&gt;=1,FALSE),IF(AND(_xlpm.inStr,LEN(A133)&lt;=6),$A134,""))</f>
        <v/>
      </c>
    </row>
    <row r="129" spans="1:8" x14ac:dyDescent="0.25">
      <c r="A129" t="s">
        <v>28</v>
      </c>
      <c r="B129" t="str" cm="1">
        <f t="array" ref="B129">БУКВЫ(MID($A125,3,11))</f>
        <v>775110317</v>
      </c>
      <c r="C129" s="2"/>
      <c r="D129" s="2"/>
      <c r="E129" s="2"/>
      <c r="F129" s="2"/>
      <c r="G129" s="2"/>
      <c r="H129" t="str">
        <f>_xlfn.LET(_xlpm.Searching,"63",_xlpm.inStr,IFERROR(FIND(_xlpm.Searching,$A135)&gt;=1,FALSE),IF(AND(_xlpm.inStr,LEN(A135)&lt;=6),$A136,""))</f>
        <v/>
      </c>
    </row>
    <row r="130" spans="1:8" x14ac:dyDescent="0.25">
      <c r="A130" t="s">
        <v>66</v>
      </c>
    </row>
    <row r="131" spans="1:8" x14ac:dyDescent="0.25">
      <c r="A131" t="s">
        <v>67</v>
      </c>
      <c r="B131" s="1" t="s">
        <v>183</v>
      </c>
      <c r="C131" s="1" t="s">
        <v>27</v>
      </c>
      <c r="D131" s="1">
        <v>55</v>
      </c>
      <c r="E131" s="1">
        <v>57</v>
      </c>
      <c r="F131" s="1">
        <v>59</v>
      </c>
      <c r="G131" s="1">
        <v>61</v>
      </c>
      <c r="H131" s="1">
        <v>63</v>
      </c>
    </row>
    <row r="132" spans="1:8" x14ac:dyDescent="0.25">
      <c r="A132" t="s">
        <v>71</v>
      </c>
      <c r="B132" t="str" cm="1">
        <f t="array" ref="B132">БУКВЫ(MID($A132,3,11))</f>
        <v>775110387</v>
      </c>
      <c r="C132">
        <f>_xlfn.LET(_xlpm.Searching,"OSFA",_xlpm.inStr,IFERROR(FIND(_xlpm.Searching,$A134)&gt;=1,FALSE),IF(AND(_xlpm.inStr,LEN(A134)&lt;=6),A135,""))</f>
        <v>100</v>
      </c>
      <c r="D132" t="str">
        <f>_xlfn.LET(_xlpm.Searching,"55",_xlpm.inStr,IFERROR(FIND(_xlpm.Searching,$A134)&gt;=1,FALSE),IF(AND(_xlpm.inStr,LEN(A134)&lt;=6),A135,""))</f>
        <v/>
      </c>
      <c r="E132" t="str">
        <f>_xlfn.LET(_xlpm.Searching,"57",_xlpm.inStr,IFERROR(FIND(_xlpm.Searching,$A134)&gt;=1,FALSE),IF(AND(_xlpm.inStr,LEN(A134)&lt;=6),$A135,""))&amp;E133</f>
        <v/>
      </c>
      <c r="F132" t="str">
        <f>_xlfn.LET(_xlpm.Searching,"59",_xlpm.inStr,IFERROR(FIND(_xlpm.Searching,$A134)&gt;=1,FALSE),IF(AND(_xlpm.inStr,LEN(A134)&lt;=6),$A135,""))&amp;F133&amp;F134</f>
        <v/>
      </c>
      <c r="G132" t="str">
        <f>_xlfn.LET(_xlpm.Searching,"61",_xlpm.inStr,IFERROR(FIND(_xlpm.Searching,$A134)&gt;=1,FALSE),IF(AND(_xlpm.inStr,LEN(A134)&lt;=6),$A135,""))&amp;G133&amp;G134&amp;G135</f>
        <v/>
      </c>
      <c r="H132" t="str">
        <f>_xlfn.LET(_xlpm.Searching,"63",_xlpm.inStr,IFERROR(FIND(_xlpm.Searching,$A134)&gt;=1,FALSE),IF(AND(_xlpm.inStr,LEN(A134)&lt;=6),$A135,""))&amp;H133&amp;H134&amp;H135&amp;H136</f>
        <v/>
      </c>
    </row>
    <row r="133" spans="1:8" x14ac:dyDescent="0.25">
      <c r="A133" t="s">
        <v>70</v>
      </c>
      <c r="B133" t="str" cm="1">
        <f t="array" ref="B133">БУКВЫ(MID($A132,3,11))</f>
        <v>775110387</v>
      </c>
      <c r="C133" s="2"/>
      <c r="D133" s="2"/>
      <c r="E133" t="str">
        <f>_xlfn.LET(_xlpm.Searching,"57",_xlpm.inStr,IFERROR(FIND(_xlpm.Searching,$A136)&gt;=1,FALSE),IF(AND(_xlpm.inStr,LEN(A136)&lt;=6),$A137,""))</f>
        <v/>
      </c>
      <c r="F133" t="str">
        <f>_xlfn.LET(_xlpm.Searching,"59",_xlpm.inStr,IFERROR(FIND(_xlpm.Searching,$A136)&gt;=1,FALSE),IF(AND(_xlpm.inStr,LEN(A136)&lt;=6),$A137,""))</f>
        <v/>
      </c>
      <c r="G133" t="str">
        <f>_xlfn.LET(_xlpm.Searching,"61",_xlpm.inStr,IFERROR(FIND(_xlpm.Searching,$A136)&gt;=1,FALSE),IF(AND(_xlpm.inStr,LEN(A136)&lt;=6),$A137,""))</f>
        <v/>
      </c>
      <c r="H133" t="str">
        <f>_xlfn.LET(_xlpm.Searching,"63",_xlpm.inStr,IFERROR(FIND(_xlpm.Searching,$A136)&gt;=1,FALSE),IF(AND(_xlpm.inStr,LEN(A136)&lt;=6),$A137,""))</f>
        <v/>
      </c>
    </row>
    <row r="134" spans="1:8" x14ac:dyDescent="0.25">
      <c r="A134" t="s">
        <v>27</v>
      </c>
      <c r="B134" t="str" cm="1">
        <f t="array" ref="B134">БУКВЫ(MID($A132,3,11))</f>
        <v>775110387</v>
      </c>
      <c r="C134" s="2"/>
      <c r="D134" s="2"/>
      <c r="E134" s="2"/>
      <c r="F134" t="str">
        <f>_xlfn.LET(_xlpm.Searching,"59",_xlpm.inStr,IFERROR(FIND(_xlpm.Searching,$A138)&gt;=1,FALSE),IF(AND(_xlpm.inStr,LEN(A138)&lt;=6),$A139,""))</f>
        <v/>
      </c>
      <c r="G134" t="str">
        <f>_xlfn.LET(_xlpm.Searching,"61",_xlpm.inStr,IFERROR(FIND(_xlpm.Searching,$A138)&gt;=1,FALSE),IF(AND(_xlpm.inStr,LEN(A138)&lt;=6),$A139,""))</f>
        <v/>
      </c>
      <c r="H134" t="str">
        <f>_xlfn.LET(_xlpm.Searching,"63",_xlpm.inStr,IFERROR(FIND(_xlpm.Searching,$A138)&gt;=1,FALSE),IF(AND(_xlpm.inStr,LEN(A138)&lt;=6),$A139,""))</f>
        <v/>
      </c>
    </row>
    <row r="135" spans="1:8" x14ac:dyDescent="0.25">
      <c r="A135">
        <v>100</v>
      </c>
      <c r="B135" t="str" cm="1">
        <f t="array" ref="B135">БУКВЫ(MID($A132,3,11))</f>
        <v>775110387</v>
      </c>
      <c r="C135" s="2"/>
      <c r="D135" s="2"/>
      <c r="E135" s="2"/>
      <c r="F135" s="2"/>
      <c r="G135" t="str">
        <f>_xlfn.LET(_xlpm.Searching,"61",_xlpm.inStr,IFERROR(FIND(_xlpm.Searching,$A140)&gt;=1,FALSE),IF(AND(_xlpm.inStr,LEN(A140)&lt;=6),$A141,""))</f>
        <v/>
      </c>
      <c r="H135" t="str">
        <f>_xlfn.LET(_xlpm.Searching,"63",_xlpm.inStr,IFERROR(FIND(_xlpm.Searching,$A140)&gt;=1,FALSE),IF(AND(_xlpm.inStr,LEN(A140)&lt;=6),$A141,""))</f>
        <v/>
      </c>
    </row>
    <row r="136" spans="1:8" x14ac:dyDescent="0.25">
      <c r="A136" t="s">
        <v>28</v>
      </c>
      <c r="B136" t="str" cm="1">
        <f t="array" ref="B136">БУКВЫ(MID($A132,3,11))</f>
        <v>775110387</v>
      </c>
      <c r="C136" s="2"/>
      <c r="D136" s="2"/>
      <c r="E136" s="2"/>
      <c r="F136" s="2"/>
      <c r="G136" s="2"/>
      <c r="H136" t="str">
        <f>_xlfn.LET(_xlpm.Searching,"63",_xlpm.inStr,IFERROR(FIND(_xlpm.Searching,$A142)&gt;=1,FALSE),IF(AND(_xlpm.inStr,LEN(A142)&lt;=6),$A143,""))</f>
        <v/>
      </c>
    </row>
    <row r="137" spans="1:8" x14ac:dyDescent="0.25">
      <c r="A137" t="s">
        <v>66</v>
      </c>
    </row>
    <row r="138" spans="1:8" x14ac:dyDescent="0.25">
      <c r="A138" t="s">
        <v>67</v>
      </c>
      <c r="B138" s="1" t="s">
        <v>183</v>
      </c>
      <c r="C138" s="1" t="s">
        <v>27</v>
      </c>
      <c r="D138" s="1">
        <v>55</v>
      </c>
      <c r="E138" s="1">
        <v>57</v>
      </c>
      <c r="F138" s="1">
        <v>59</v>
      </c>
      <c r="G138" s="1">
        <v>61</v>
      </c>
      <c r="H138" s="1">
        <v>63</v>
      </c>
    </row>
    <row r="139" spans="1:8" x14ac:dyDescent="0.25">
      <c r="A139" t="s">
        <v>72</v>
      </c>
      <c r="B139" t="str" cm="1">
        <f t="array" ref="B139">БУКВЫ(MID($A139,3,11))</f>
        <v>245840271</v>
      </c>
      <c r="C139" t="str">
        <f>_xlfn.LET(_xlpm.Searching,"OSFA",_xlpm.inStr,IFERROR(FIND(_xlpm.Searching,$A141)&gt;=1,FALSE),IF(AND(_xlpm.inStr,LEN(A141)&lt;=6),A142,""))</f>
        <v/>
      </c>
      <c r="D139" t="str">
        <f>_xlfn.LET(_xlpm.Searching,"55",_xlpm.inStr,IFERROR(FIND(_xlpm.Searching,$A141)&gt;=1,FALSE),IF(AND(_xlpm.inStr,LEN(A141)&lt;=6),A142,""))</f>
        <v/>
      </c>
      <c r="E139" t="str">
        <f>_xlfn.LET(_xlpm.Searching,"57",_xlpm.inStr,IFERROR(FIND(_xlpm.Searching,$A141)&gt;=1,FALSE),IF(AND(_xlpm.inStr,LEN(A141)&lt;=6),$A142,""))&amp;E140</f>
        <v>1</v>
      </c>
      <c r="F139" t="str">
        <f>_xlfn.LET(_xlpm.Searching,"59",_xlpm.inStr,IFERROR(FIND(_xlpm.Searching,$A141)&gt;=1,FALSE),IF(AND(_xlpm.inStr,LEN(A141)&lt;=6),$A142,""))&amp;F140&amp;F141</f>
        <v>1</v>
      </c>
      <c r="G139" t="str">
        <f>_xlfn.LET(_xlpm.Searching,"61",_xlpm.inStr,IFERROR(FIND(_xlpm.Searching,$A141)&gt;=1,FALSE),IF(AND(_xlpm.inStr,LEN(A141)&lt;=6),$A142,""))&amp;G140&amp;G141&amp;G142</f>
        <v/>
      </c>
      <c r="H139" t="str">
        <f>_xlfn.LET(_xlpm.Searching,"63",_xlpm.inStr,IFERROR(FIND(_xlpm.Searching,$A141)&gt;=1,FALSE),IF(AND(_xlpm.inStr,LEN(A141)&lt;=6),$A142,""))&amp;H140&amp;H141&amp;H142&amp;H143</f>
        <v/>
      </c>
    </row>
    <row r="140" spans="1:8" x14ac:dyDescent="0.25">
      <c r="A140" t="s">
        <v>73</v>
      </c>
      <c r="B140" t="str" cm="1">
        <f t="array" ref="B140">БУКВЫ(MID($A139,3,11))</f>
        <v>245840271</v>
      </c>
      <c r="C140" s="2"/>
      <c r="D140" s="2"/>
      <c r="E140" t="str">
        <f>_xlfn.LET(_xlpm.Searching,"57",_xlpm.inStr,IFERROR(FIND(_xlpm.Searching,$A143)&gt;=1,FALSE),IF(AND(_xlpm.inStr,LEN(A143)&lt;=6),$A144,""))</f>
        <v/>
      </c>
      <c r="F140">
        <f>_xlfn.LET(_xlpm.Searching,"59",_xlpm.inStr,IFERROR(FIND(_xlpm.Searching,$A143)&gt;=1,FALSE),IF(AND(_xlpm.inStr,LEN(A143)&lt;=6),$A144,""))</f>
        <v>1</v>
      </c>
      <c r="G140" t="str">
        <f>_xlfn.LET(_xlpm.Searching,"61",_xlpm.inStr,IFERROR(FIND(_xlpm.Searching,$A143)&gt;=1,FALSE),IF(AND(_xlpm.inStr,LEN(A143)&lt;=6),$A144,""))</f>
        <v/>
      </c>
      <c r="H140" t="str">
        <f>_xlfn.LET(_xlpm.Searching,"63",_xlpm.inStr,IFERROR(FIND(_xlpm.Searching,$A143)&gt;=1,FALSE),IF(AND(_xlpm.inStr,LEN(A143)&lt;=6),$A144,""))</f>
        <v/>
      </c>
    </row>
    <row r="141" spans="1:8" x14ac:dyDescent="0.25">
      <c r="A141" t="s">
        <v>20</v>
      </c>
      <c r="B141" t="str" cm="1">
        <f t="array" ref="B141">БУКВЫ(MID($A139,3,11))</f>
        <v>245840271</v>
      </c>
      <c r="C141" s="2"/>
      <c r="D141" s="2"/>
      <c r="E141" s="2"/>
      <c r="F141" t="str">
        <f>_xlfn.LET(_xlpm.Searching,"59",_xlpm.inStr,IFERROR(FIND(_xlpm.Searching,$A145)&gt;=1,FALSE),IF(AND(_xlpm.inStr,LEN(A145)&lt;=6),$A146,""))</f>
        <v/>
      </c>
      <c r="G141" t="str">
        <f>_xlfn.LET(_xlpm.Searching,"61",_xlpm.inStr,IFERROR(FIND(_xlpm.Searching,$A145)&gt;=1,FALSE),IF(AND(_xlpm.inStr,LEN(A145)&lt;=6),$A146,""))</f>
        <v/>
      </c>
      <c r="H141" t="str">
        <f>_xlfn.LET(_xlpm.Searching,"63",_xlpm.inStr,IFERROR(FIND(_xlpm.Searching,$A145)&gt;=1,FALSE),IF(AND(_xlpm.inStr,LEN(A145)&lt;=6),$A146,""))</f>
        <v/>
      </c>
    </row>
    <row r="142" spans="1:8" x14ac:dyDescent="0.25">
      <c r="A142">
        <v>1</v>
      </c>
      <c r="B142" t="str" cm="1">
        <f t="array" ref="B142">БУКВЫ(MID($A139,3,11))</f>
        <v>245840271</v>
      </c>
      <c r="C142" s="2"/>
      <c r="D142" s="2"/>
      <c r="E142" s="2"/>
      <c r="F142" s="2"/>
      <c r="G142" t="str">
        <f>_xlfn.LET(_xlpm.Searching,"61",_xlpm.inStr,IFERROR(FIND(_xlpm.Searching,$A147)&gt;=1,FALSE),IF(AND(_xlpm.inStr,LEN(A147)&lt;=6),$A148,""))</f>
        <v/>
      </c>
      <c r="H142" t="str">
        <f>_xlfn.LET(_xlpm.Searching,"63",_xlpm.inStr,IFERROR(FIND(_xlpm.Searching,$A147)&gt;=1,FALSE),IF(AND(_xlpm.inStr,LEN(A147)&lt;=6),$A148,""))</f>
        <v/>
      </c>
    </row>
    <row r="143" spans="1:8" x14ac:dyDescent="0.25">
      <c r="A143" t="s">
        <v>12</v>
      </c>
      <c r="B143" t="str" cm="1">
        <f t="array" ref="B143">БУКВЫ(MID($A139,3,11))</f>
        <v>245840271</v>
      </c>
      <c r="C143" s="2"/>
      <c r="D143" s="2"/>
      <c r="E143" s="2"/>
      <c r="F143" s="2"/>
      <c r="G143" s="2"/>
      <c r="H143" t="str">
        <f>_xlfn.LET(_xlpm.Searching,"63",_xlpm.inStr,IFERROR(FIND(_xlpm.Searching,$A149)&gt;=1,FALSE),IF(AND(_xlpm.inStr,LEN(A149)&lt;=6),$A150,""))</f>
        <v/>
      </c>
    </row>
    <row r="144" spans="1:8" x14ac:dyDescent="0.25">
      <c r="A144">
        <v>1</v>
      </c>
    </row>
    <row r="145" spans="1:8" x14ac:dyDescent="0.25">
      <c r="A145" t="s">
        <v>14</v>
      </c>
    </row>
    <row r="146" spans="1:8" x14ac:dyDescent="0.25">
      <c r="A146" t="s">
        <v>74</v>
      </c>
    </row>
    <row r="147" spans="1:8" x14ac:dyDescent="0.25">
      <c r="A147" t="s">
        <v>75</v>
      </c>
      <c r="B147" s="1" t="s">
        <v>183</v>
      </c>
      <c r="C147" s="1" t="s">
        <v>27</v>
      </c>
      <c r="D147" s="1">
        <v>55</v>
      </c>
      <c r="E147" s="1">
        <v>57</v>
      </c>
      <c r="F147" s="1">
        <v>59</v>
      </c>
      <c r="G147" s="1">
        <v>61</v>
      </c>
      <c r="H147" s="1">
        <v>63</v>
      </c>
    </row>
    <row r="148" spans="1:8" x14ac:dyDescent="0.25">
      <c r="A148" t="s">
        <v>76</v>
      </c>
      <c r="B148" t="str" cm="1">
        <f t="array" ref="B148">БУКВЫ(MID($A148,3,11))</f>
        <v>775110327</v>
      </c>
      <c r="C148">
        <f>_xlfn.LET(_xlpm.Searching,"OSFA",_xlpm.inStr,IFERROR(FIND(_xlpm.Searching,$A150)&gt;=1,FALSE),IF(AND(_xlpm.inStr,LEN(A150)&lt;=6),A151,""))</f>
        <v>70</v>
      </c>
      <c r="D148" t="str">
        <f>_xlfn.LET(_xlpm.Searching,"55",_xlpm.inStr,IFERROR(FIND(_xlpm.Searching,$A150)&gt;=1,FALSE),IF(AND(_xlpm.inStr,LEN(A150)&lt;=6),A151,""))</f>
        <v/>
      </c>
      <c r="E148" t="str">
        <f>_xlfn.LET(_xlpm.Searching,"57",_xlpm.inStr,IFERROR(FIND(_xlpm.Searching,$A150)&gt;=1,FALSE),IF(AND(_xlpm.inStr,LEN(A150)&lt;=6),$A151,""))&amp;E149</f>
        <v/>
      </c>
      <c r="F148" t="str">
        <f>_xlfn.LET(_xlpm.Searching,"59",_xlpm.inStr,IFERROR(FIND(_xlpm.Searching,$A150)&gt;=1,FALSE),IF(AND(_xlpm.inStr,LEN(A150)&lt;=6),$A151,""))&amp;F149&amp;F150</f>
        <v/>
      </c>
      <c r="G148" t="str">
        <f>_xlfn.LET(_xlpm.Searching,"61",_xlpm.inStr,IFERROR(FIND(_xlpm.Searching,$A150)&gt;=1,FALSE),IF(AND(_xlpm.inStr,LEN(A150)&lt;=6),$A151,""))&amp;G149&amp;G150&amp;G151</f>
        <v/>
      </c>
      <c r="H148" t="str">
        <f>_xlfn.LET(_xlpm.Searching,"63",_xlpm.inStr,IFERROR(FIND(_xlpm.Searching,$A150)&gt;=1,FALSE),IF(AND(_xlpm.inStr,LEN(A150)&lt;=6),$A151,""))&amp;H149&amp;H150&amp;H151&amp;H152</f>
        <v/>
      </c>
    </row>
    <row r="149" spans="1:8" x14ac:dyDescent="0.25">
      <c r="A149" t="s">
        <v>70</v>
      </c>
      <c r="B149" t="str" cm="1">
        <f t="array" ref="B149">БУКВЫ(MID($A148,3,11))</f>
        <v>775110327</v>
      </c>
      <c r="C149" s="2"/>
      <c r="D149" s="2"/>
      <c r="E149" t="str">
        <f>_xlfn.LET(_xlpm.Searching,"57",_xlpm.inStr,IFERROR(FIND(_xlpm.Searching,$A152)&gt;=1,FALSE),IF(AND(_xlpm.inStr,LEN(A152)&lt;=6),$A153,""))</f>
        <v/>
      </c>
      <c r="F149" t="str">
        <f>_xlfn.LET(_xlpm.Searching,"59",_xlpm.inStr,IFERROR(FIND(_xlpm.Searching,$A152)&gt;=1,FALSE),IF(AND(_xlpm.inStr,LEN(A152)&lt;=6),$A153,""))</f>
        <v/>
      </c>
      <c r="G149" t="str">
        <f>_xlfn.LET(_xlpm.Searching,"61",_xlpm.inStr,IFERROR(FIND(_xlpm.Searching,$A152)&gt;=1,FALSE),IF(AND(_xlpm.inStr,LEN(A152)&lt;=6),$A153,""))</f>
        <v/>
      </c>
      <c r="H149" t="str">
        <f>_xlfn.LET(_xlpm.Searching,"63",_xlpm.inStr,IFERROR(FIND(_xlpm.Searching,$A152)&gt;=1,FALSE),IF(AND(_xlpm.inStr,LEN(A152)&lt;=6),$A153,""))</f>
        <v/>
      </c>
    </row>
    <row r="150" spans="1:8" x14ac:dyDescent="0.25">
      <c r="A150" t="s">
        <v>27</v>
      </c>
      <c r="B150" t="str" cm="1">
        <f t="array" ref="B150">БУКВЫ(MID($A148,3,11))</f>
        <v>775110327</v>
      </c>
      <c r="C150" s="2"/>
      <c r="D150" s="2"/>
      <c r="E150" s="2"/>
      <c r="F150" t="str">
        <f>_xlfn.LET(_xlpm.Searching,"59",_xlpm.inStr,IFERROR(FIND(_xlpm.Searching,$A154)&gt;=1,FALSE),IF(AND(_xlpm.inStr,LEN(A154)&lt;=6),$A155,""))</f>
        <v/>
      </c>
      <c r="G150" t="str">
        <f>_xlfn.LET(_xlpm.Searching,"61",_xlpm.inStr,IFERROR(FIND(_xlpm.Searching,$A154)&gt;=1,FALSE),IF(AND(_xlpm.inStr,LEN(A154)&lt;=6),$A155,""))</f>
        <v/>
      </c>
      <c r="H150" t="str">
        <f>_xlfn.LET(_xlpm.Searching,"63",_xlpm.inStr,IFERROR(FIND(_xlpm.Searching,$A154)&gt;=1,FALSE),IF(AND(_xlpm.inStr,LEN(A154)&lt;=6),$A155,""))</f>
        <v/>
      </c>
    </row>
    <row r="151" spans="1:8" x14ac:dyDescent="0.25">
      <c r="A151">
        <v>70</v>
      </c>
      <c r="B151" t="str" cm="1">
        <f t="array" ref="B151">БУКВЫ(MID($A148,3,11))</f>
        <v>775110327</v>
      </c>
      <c r="C151" s="2"/>
      <c r="D151" s="2"/>
      <c r="E151" s="2"/>
      <c r="F151" s="2"/>
      <c r="G151" t="str">
        <f>_xlfn.LET(_xlpm.Searching,"61",_xlpm.inStr,IFERROR(FIND(_xlpm.Searching,$A156)&gt;=1,FALSE),IF(AND(_xlpm.inStr,LEN(A156)&lt;=6),$A157,""))</f>
        <v/>
      </c>
      <c r="H151" t="str">
        <f>_xlfn.LET(_xlpm.Searching,"63",_xlpm.inStr,IFERROR(FIND(_xlpm.Searching,$A156)&gt;=1,FALSE),IF(AND(_xlpm.inStr,LEN(A156)&lt;=6),$A157,""))</f>
        <v/>
      </c>
    </row>
    <row r="152" spans="1:8" x14ac:dyDescent="0.25">
      <c r="A152" t="s">
        <v>28</v>
      </c>
      <c r="B152" t="str" cm="1">
        <f t="array" ref="B152">БУКВЫ(MID($A148,3,11))</f>
        <v>775110327</v>
      </c>
      <c r="C152" s="2"/>
      <c r="D152" s="2"/>
      <c r="E152" s="2"/>
      <c r="F152" s="2"/>
      <c r="G152" s="2"/>
      <c r="H152" t="str">
        <f>_xlfn.LET(_xlpm.Searching,"63",_xlpm.inStr,IFERROR(FIND(_xlpm.Searching,$A158)&gt;=1,FALSE),IF(AND(_xlpm.inStr,LEN(A158)&lt;=6),$A159,""))</f>
        <v/>
      </c>
    </row>
    <row r="153" spans="1:8" x14ac:dyDescent="0.25">
      <c r="A153" t="s">
        <v>77</v>
      </c>
    </row>
    <row r="154" spans="1:8" x14ac:dyDescent="0.25">
      <c r="A154" t="s">
        <v>78</v>
      </c>
      <c r="B154" s="1" t="s">
        <v>183</v>
      </c>
      <c r="C154" s="1" t="s">
        <v>27</v>
      </c>
      <c r="D154" s="1">
        <v>55</v>
      </c>
      <c r="E154" s="1">
        <v>57</v>
      </c>
      <c r="F154" s="1">
        <v>59</v>
      </c>
      <c r="G154" s="1">
        <v>61</v>
      </c>
      <c r="H154" s="1">
        <v>63</v>
      </c>
    </row>
    <row r="155" spans="1:8" x14ac:dyDescent="0.25">
      <c r="A155" t="s">
        <v>79</v>
      </c>
      <c r="B155" t="str" cm="1">
        <f t="array" ref="B155">БУКВЫ(MID($A155,3,11))</f>
        <v>775110728</v>
      </c>
      <c r="C155">
        <f>_xlfn.LET(_xlpm.Searching,"OSFA",_xlpm.inStr,IFERROR(FIND(_xlpm.Searching,$A157)&gt;=1,FALSE),IF(AND(_xlpm.inStr,LEN(A157)&lt;=6),A158,""))</f>
        <v>130</v>
      </c>
      <c r="D155" t="str">
        <f>_xlfn.LET(_xlpm.Searching,"55",_xlpm.inStr,IFERROR(FIND(_xlpm.Searching,$A157)&gt;=1,FALSE),IF(AND(_xlpm.inStr,LEN(A157)&lt;=6),A158,""))</f>
        <v/>
      </c>
      <c r="E155" t="str">
        <f>_xlfn.LET(_xlpm.Searching,"57",_xlpm.inStr,IFERROR(FIND(_xlpm.Searching,$A157)&gt;=1,FALSE),IF(AND(_xlpm.inStr,LEN(A157)&lt;=6),$A158,""))&amp;E156</f>
        <v/>
      </c>
      <c r="F155" t="str">
        <f>_xlfn.LET(_xlpm.Searching,"59",_xlpm.inStr,IFERROR(FIND(_xlpm.Searching,$A157)&gt;=1,FALSE),IF(AND(_xlpm.inStr,LEN(A157)&lt;=6),$A158,""))&amp;F156&amp;F157</f>
        <v/>
      </c>
      <c r="G155" t="str">
        <f>_xlfn.LET(_xlpm.Searching,"61",_xlpm.inStr,IFERROR(FIND(_xlpm.Searching,$A157)&gt;=1,FALSE),IF(AND(_xlpm.inStr,LEN(A157)&lt;=6),$A158,""))&amp;G156&amp;G157&amp;G158</f>
        <v/>
      </c>
      <c r="H155" t="str">
        <f>_xlfn.LET(_xlpm.Searching,"63",_xlpm.inStr,IFERROR(FIND(_xlpm.Searching,$A157)&gt;=1,FALSE),IF(AND(_xlpm.inStr,LEN(A157)&lt;=6),$A158,""))&amp;H156&amp;H157&amp;H158&amp;H159</f>
        <v/>
      </c>
    </row>
    <row r="156" spans="1:8" x14ac:dyDescent="0.25">
      <c r="A156" t="s">
        <v>80</v>
      </c>
      <c r="B156" t="str" cm="1">
        <f t="array" ref="B156">БУКВЫ(MID($A155,3,11))</f>
        <v>775110728</v>
      </c>
      <c r="C156" s="2"/>
      <c r="D156" s="2"/>
      <c r="E156" t="str">
        <f>_xlfn.LET(_xlpm.Searching,"57",_xlpm.inStr,IFERROR(FIND(_xlpm.Searching,$A159)&gt;=1,FALSE),IF(AND(_xlpm.inStr,LEN(A159)&lt;=6),$A160,""))</f>
        <v/>
      </c>
      <c r="F156" t="str">
        <f>_xlfn.LET(_xlpm.Searching,"59",_xlpm.inStr,IFERROR(FIND(_xlpm.Searching,$A159)&gt;=1,FALSE),IF(AND(_xlpm.inStr,LEN(A159)&lt;=6),$A160,""))</f>
        <v/>
      </c>
      <c r="G156" t="str">
        <f>_xlfn.LET(_xlpm.Searching,"61",_xlpm.inStr,IFERROR(FIND(_xlpm.Searching,$A159)&gt;=1,FALSE),IF(AND(_xlpm.inStr,LEN(A159)&lt;=6),$A160,""))</f>
        <v/>
      </c>
      <c r="H156" t="str">
        <f>_xlfn.LET(_xlpm.Searching,"63",_xlpm.inStr,IFERROR(FIND(_xlpm.Searching,$A159)&gt;=1,FALSE),IF(AND(_xlpm.inStr,LEN(A159)&lt;=6),$A160,""))</f>
        <v/>
      </c>
    </row>
    <row r="157" spans="1:8" x14ac:dyDescent="0.25">
      <c r="A157" t="s">
        <v>27</v>
      </c>
      <c r="B157" t="str" cm="1">
        <f t="array" ref="B157">БУКВЫ(MID($A155,3,11))</f>
        <v>775110728</v>
      </c>
      <c r="C157" s="2"/>
      <c r="D157" s="2"/>
      <c r="E157" s="2"/>
      <c r="F157" t="str">
        <f>_xlfn.LET(_xlpm.Searching,"59",_xlpm.inStr,IFERROR(FIND(_xlpm.Searching,$A161)&gt;=1,FALSE),IF(AND(_xlpm.inStr,LEN(A161)&lt;=6),$A162,""))</f>
        <v/>
      </c>
      <c r="G157" t="str">
        <f>_xlfn.LET(_xlpm.Searching,"61",_xlpm.inStr,IFERROR(FIND(_xlpm.Searching,$A161)&gt;=1,FALSE),IF(AND(_xlpm.inStr,LEN(A161)&lt;=6),$A162,""))</f>
        <v/>
      </c>
      <c r="H157" t="str">
        <f>_xlfn.LET(_xlpm.Searching,"63",_xlpm.inStr,IFERROR(FIND(_xlpm.Searching,$A161)&gt;=1,FALSE),IF(AND(_xlpm.inStr,LEN(A161)&lt;=6),$A162,""))</f>
        <v/>
      </c>
    </row>
    <row r="158" spans="1:8" x14ac:dyDescent="0.25">
      <c r="A158">
        <v>130</v>
      </c>
      <c r="B158" t="str" cm="1">
        <f t="array" ref="B158">БУКВЫ(MID($A155,3,11))</f>
        <v>775110728</v>
      </c>
      <c r="C158" s="2"/>
      <c r="D158" s="2"/>
      <c r="E158" s="2"/>
      <c r="F158" s="2"/>
      <c r="G158" t="str">
        <f>_xlfn.LET(_xlpm.Searching,"61",_xlpm.inStr,IFERROR(FIND(_xlpm.Searching,$A163)&gt;=1,FALSE),IF(AND(_xlpm.inStr,LEN(A163)&lt;=6),$A164,""))</f>
        <v/>
      </c>
      <c r="H158" t="str">
        <f>_xlfn.LET(_xlpm.Searching,"63",_xlpm.inStr,IFERROR(FIND(_xlpm.Searching,$A163)&gt;=1,FALSE),IF(AND(_xlpm.inStr,LEN(A163)&lt;=6),$A164,""))</f>
        <v/>
      </c>
    </row>
    <row r="159" spans="1:8" x14ac:dyDescent="0.25">
      <c r="A159" t="s">
        <v>28</v>
      </c>
      <c r="B159" t="str" cm="1">
        <f t="array" ref="B159">БУКВЫ(MID($A155,3,11))</f>
        <v>775110728</v>
      </c>
      <c r="C159" s="2"/>
      <c r="D159" s="2"/>
      <c r="E159" s="2"/>
      <c r="F159" s="2"/>
      <c r="G159" s="2"/>
      <c r="H159" t="str">
        <f>_xlfn.LET(_xlpm.Searching,"63",_xlpm.inStr,IFERROR(FIND(_xlpm.Searching,$A165)&gt;=1,FALSE),IF(AND(_xlpm.inStr,LEN(A165)&lt;=6),$A166,""))</f>
        <v/>
      </c>
    </row>
    <row r="160" spans="1:8" x14ac:dyDescent="0.25">
      <c r="A160" t="s">
        <v>81</v>
      </c>
    </row>
    <row r="161" spans="1:8" x14ac:dyDescent="0.25">
      <c r="A161" t="s">
        <v>82</v>
      </c>
      <c r="B161" s="1" t="s">
        <v>183</v>
      </c>
      <c r="C161" s="1" t="s">
        <v>27</v>
      </c>
      <c r="D161" s="1">
        <v>55</v>
      </c>
      <c r="E161" s="1">
        <v>57</v>
      </c>
      <c r="F161" s="1">
        <v>59</v>
      </c>
      <c r="G161" s="1">
        <v>61</v>
      </c>
      <c r="H161" s="1">
        <v>63</v>
      </c>
    </row>
    <row r="162" spans="1:8" x14ac:dyDescent="0.25">
      <c r="A162" t="s">
        <v>83</v>
      </c>
      <c r="B162" t="str" cm="1">
        <f t="array" ref="B162">БУКВЫ(MID($A162,3,11))</f>
        <v>775115225</v>
      </c>
      <c r="C162">
        <f>_xlfn.LET(_xlpm.Searching,"OSFA",_xlpm.inStr,IFERROR(FIND(_xlpm.Searching,$A164)&gt;=1,FALSE),IF(AND(_xlpm.inStr,LEN(A164)&lt;=6),A165,""))</f>
        <v>130</v>
      </c>
      <c r="D162" t="str">
        <f>_xlfn.LET(_xlpm.Searching,"55",_xlpm.inStr,IFERROR(FIND(_xlpm.Searching,$A164)&gt;=1,FALSE),IF(AND(_xlpm.inStr,LEN(A164)&lt;=6),A165,""))</f>
        <v/>
      </c>
      <c r="E162" t="str">
        <f>_xlfn.LET(_xlpm.Searching,"57",_xlpm.inStr,IFERROR(FIND(_xlpm.Searching,$A164)&gt;=1,FALSE),IF(AND(_xlpm.inStr,LEN(A164)&lt;=6),$A165,""))&amp;E163</f>
        <v/>
      </c>
      <c r="F162" t="str">
        <f>_xlfn.LET(_xlpm.Searching,"59",_xlpm.inStr,IFERROR(FIND(_xlpm.Searching,$A164)&gt;=1,FALSE),IF(AND(_xlpm.inStr,LEN(A164)&lt;=6),$A165,""))&amp;F163&amp;F164</f>
        <v/>
      </c>
      <c r="G162" t="str">
        <f>_xlfn.LET(_xlpm.Searching,"61",_xlpm.inStr,IFERROR(FIND(_xlpm.Searching,$A164)&gt;=1,FALSE),IF(AND(_xlpm.inStr,LEN(A164)&lt;=6),$A165,""))&amp;G163&amp;G164&amp;G165</f>
        <v/>
      </c>
      <c r="H162" t="str">
        <f>_xlfn.LET(_xlpm.Searching,"63",_xlpm.inStr,IFERROR(FIND(_xlpm.Searching,$A164)&gt;=1,FALSE),IF(AND(_xlpm.inStr,LEN(A164)&lt;=6),$A165,""))&amp;H163&amp;H164&amp;H165&amp;H166</f>
        <v/>
      </c>
    </row>
    <row r="163" spans="1:8" x14ac:dyDescent="0.25">
      <c r="A163" t="s">
        <v>84</v>
      </c>
      <c r="B163" t="str" cm="1">
        <f t="array" ref="B163">БУКВЫ(MID($A162,3,11))</f>
        <v>775115225</v>
      </c>
      <c r="C163" s="2"/>
      <c r="D163" s="2"/>
      <c r="E163" t="str">
        <f>_xlfn.LET(_xlpm.Searching,"57",_xlpm.inStr,IFERROR(FIND(_xlpm.Searching,$A166)&gt;=1,FALSE),IF(AND(_xlpm.inStr,LEN(A166)&lt;=6),$A167,""))</f>
        <v/>
      </c>
      <c r="F163" t="str">
        <f>_xlfn.LET(_xlpm.Searching,"59",_xlpm.inStr,IFERROR(FIND(_xlpm.Searching,$A166)&gt;=1,FALSE),IF(AND(_xlpm.inStr,LEN(A166)&lt;=6),$A167,""))</f>
        <v/>
      </c>
      <c r="G163" t="str">
        <f>_xlfn.LET(_xlpm.Searching,"61",_xlpm.inStr,IFERROR(FIND(_xlpm.Searching,$A166)&gt;=1,FALSE),IF(AND(_xlpm.inStr,LEN(A166)&lt;=6),$A167,""))</f>
        <v/>
      </c>
      <c r="H163" t="str">
        <f>_xlfn.LET(_xlpm.Searching,"63",_xlpm.inStr,IFERROR(FIND(_xlpm.Searching,$A166)&gt;=1,FALSE),IF(AND(_xlpm.inStr,LEN(A166)&lt;=6),$A167,""))</f>
        <v/>
      </c>
    </row>
    <row r="164" spans="1:8" x14ac:dyDescent="0.25">
      <c r="A164" t="s">
        <v>27</v>
      </c>
      <c r="B164" t="str" cm="1">
        <f t="array" ref="B164">БУКВЫ(MID($A162,3,11))</f>
        <v>775115225</v>
      </c>
      <c r="C164" s="2"/>
      <c r="D164" s="2"/>
      <c r="E164" s="2"/>
      <c r="F164" t="str">
        <f>_xlfn.LET(_xlpm.Searching,"59",_xlpm.inStr,IFERROR(FIND(_xlpm.Searching,$A168)&gt;=1,FALSE),IF(AND(_xlpm.inStr,LEN(A168)&lt;=6),$A169,""))</f>
        <v/>
      </c>
      <c r="G164" t="str">
        <f>_xlfn.LET(_xlpm.Searching,"61",_xlpm.inStr,IFERROR(FIND(_xlpm.Searching,$A168)&gt;=1,FALSE),IF(AND(_xlpm.inStr,LEN(A168)&lt;=6),$A169,""))</f>
        <v/>
      </c>
      <c r="H164" t="str">
        <f>_xlfn.LET(_xlpm.Searching,"63",_xlpm.inStr,IFERROR(FIND(_xlpm.Searching,$A168)&gt;=1,FALSE),IF(AND(_xlpm.inStr,LEN(A168)&lt;=6),$A169,""))</f>
        <v/>
      </c>
    </row>
    <row r="165" spans="1:8" x14ac:dyDescent="0.25">
      <c r="A165">
        <v>130</v>
      </c>
      <c r="B165" t="str" cm="1">
        <f t="array" ref="B165">БУКВЫ(MID($A162,3,11))</f>
        <v>775115225</v>
      </c>
      <c r="C165" s="2"/>
      <c r="D165" s="2"/>
      <c r="E165" s="2"/>
      <c r="F165" s="2"/>
      <c r="G165" t="str">
        <f>_xlfn.LET(_xlpm.Searching,"61",_xlpm.inStr,IFERROR(FIND(_xlpm.Searching,$A170)&gt;=1,FALSE),IF(AND(_xlpm.inStr,LEN(A170)&lt;=6),$A171,""))</f>
        <v/>
      </c>
      <c r="H165" t="str">
        <f>_xlfn.LET(_xlpm.Searching,"63",_xlpm.inStr,IFERROR(FIND(_xlpm.Searching,$A170)&gt;=1,FALSE),IF(AND(_xlpm.inStr,LEN(A170)&lt;=6),$A171,""))</f>
        <v/>
      </c>
    </row>
    <row r="166" spans="1:8" x14ac:dyDescent="0.25">
      <c r="A166" t="s">
        <v>28</v>
      </c>
      <c r="B166" t="str" cm="1">
        <f t="array" ref="B166">БУКВЫ(MID($A162,3,11))</f>
        <v>775115225</v>
      </c>
      <c r="C166" s="2"/>
      <c r="D166" s="2"/>
      <c r="E166" s="2"/>
      <c r="F166" s="2"/>
      <c r="G166" s="2"/>
      <c r="H166" t="str">
        <f>_xlfn.LET(_xlpm.Searching,"63",_xlpm.inStr,IFERROR(FIND(_xlpm.Searching,$A172)&gt;=1,FALSE),IF(AND(_xlpm.inStr,LEN(A172)&lt;=6),$A173,""))</f>
        <v/>
      </c>
    </row>
    <row r="167" spans="1:8" x14ac:dyDescent="0.25">
      <c r="A167" t="s">
        <v>81</v>
      </c>
    </row>
    <row r="168" spans="1:8" x14ac:dyDescent="0.25">
      <c r="A168" t="s">
        <v>82</v>
      </c>
    </row>
    <row r="169" spans="1:8" x14ac:dyDescent="0.25">
      <c r="A169" t="s">
        <v>2</v>
      </c>
    </row>
    <row r="170" spans="1:8" x14ac:dyDescent="0.25">
      <c r="A170" t="s">
        <v>31</v>
      </c>
    </row>
    <row r="171" spans="1:8" x14ac:dyDescent="0.25">
      <c r="A171" t="s">
        <v>32</v>
      </c>
    </row>
    <row r="172" spans="1:8" x14ac:dyDescent="0.25">
      <c r="A172" t="s">
        <v>33</v>
      </c>
    </row>
    <row r="173" spans="1:8" x14ac:dyDescent="0.25">
      <c r="A173" t="s">
        <v>34</v>
      </c>
    </row>
    <row r="174" spans="1:8" x14ac:dyDescent="0.25">
      <c r="A174" t="s">
        <v>35</v>
      </c>
    </row>
    <row r="175" spans="1:8" x14ac:dyDescent="0.25">
      <c r="A175" t="s">
        <v>36</v>
      </c>
    </row>
    <row r="176" spans="1:8" x14ac:dyDescent="0.25">
      <c r="A176" t="s">
        <v>37</v>
      </c>
    </row>
    <row r="177" spans="1:1" x14ac:dyDescent="0.25">
      <c r="A177" t="s">
        <v>38</v>
      </c>
    </row>
    <row r="178" spans="1:1" x14ac:dyDescent="0.25">
      <c r="A178" t="s">
        <v>39</v>
      </c>
    </row>
    <row r="179" spans="1:1" x14ac:dyDescent="0.25">
      <c r="A179" t="s">
        <v>40</v>
      </c>
    </row>
    <row r="180" spans="1:1" x14ac:dyDescent="0.25">
      <c r="A180" t="s">
        <v>41</v>
      </c>
    </row>
    <row r="181" spans="1:1" x14ac:dyDescent="0.25">
      <c r="A181" t="s">
        <v>42</v>
      </c>
    </row>
    <row r="182" spans="1:1" x14ac:dyDescent="0.25">
      <c r="A182" t="s">
        <v>43</v>
      </c>
    </row>
    <row r="183" spans="1:1" x14ac:dyDescent="0.25">
      <c r="A183" t="s">
        <v>44</v>
      </c>
    </row>
    <row r="184" spans="1:1" x14ac:dyDescent="0.25">
      <c r="A184" t="s">
        <v>1</v>
      </c>
    </row>
    <row r="185" spans="1:1" x14ac:dyDescent="0.25">
      <c r="A185" t="s">
        <v>45</v>
      </c>
    </row>
    <row r="186" spans="1:1" x14ac:dyDescent="0.25">
      <c r="A186" t="s">
        <v>85</v>
      </c>
    </row>
    <row r="187" spans="1:1" x14ac:dyDescent="0.25">
      <c r="A187" t="s">
        <v>3</v>
      </c>
    </row>
    <row r="188" spans="1:1" x14ac:dyDescent="0.25">
      <c r="A188" t="s">
        <v>4</v>
      </c>
    </row>
    <row r="189" spans="1:1" x14ac:dyDescent="0.25">
      <c r="A189" t="s">
        <v>5</v>
      </c>
    </row>
    <row r="190" spans="1:1" x14ac:dyDescent="0.25">
      <c r="A190" t="s">
        <v>6</v>
      </c>
    </row>
    <row r="191" spans="1:1" x14ac:dyDescent="0.25">
      <c r="A191" t="s">
        <v>7</v>
      </c>
    </row>
    <row r="192" spans="1:1" x14ac:dyDescent="0.25">
      <c r="A192" t="s">
        <v>8</v>
      </c>
    </row>
    <row r="193" spans="1:8" x14ac:dyDescent="0.25">
      <c r="A193" t="s">
        <v>9</v>
      </c>
      <c r="B193" s="1" t="s">
        <v>183</v>
      </c>
      <c r="C193" s="1" t="s">
        <v>27</v>
      </c>
      <c r="D193" s="1">
        <v>55</v>
      </c>
      <c r="E193" s="1">
        <v>57</v>
      </c>
      <c r="F193" s="1">
        <v>59</v>
      </c>
      <c r="G193" s="1">
        <v>61</v>
      </c>
      <c r="H193" s="1">
        <v>63</v>
      </c>
    </row>
    <row r="194" spans="1:8" x14ac:dyDescent="0.25">
      <c r="A194" t="s">
        <v>86</v>
      </c>
      <c r="B194" t="str" cm="1">
        <f t="array" ref="B194">БУКВЫ(MID($A194,3,11))</f>
        <v>775115429</v>
      </c>
      <c r="C194">
        <f>_xlfn.LET(_xlpm.Searching,"OSFA",_xlpm.inStr,IFERROR(FIND(_xlpm.Searching,$A196)&gt;=1,FALSE),IF(AND(_xlpm.inStr,LEN(A196)&lt;=6),A197,""))</f>
        <v>130</v>
      </c>
      <c r="D194" t="str">
        <f>_xlfn.LET(_xlpm.Searching,"55",_xlpm.inStr,IFERROR(FIND(_xlpm.Searching,$A196)&gt;=1,FALSE),IF(AND(_xlpm.inStr,LEN(A196)&lt;=6),A197,""))</f>
        <v/>
      </c>
      <c r="E194" t="str">
        <f>_xlfn.LET(_xlpm.Searching,"57",_xlpm.inStr,IFERROR(FIND(_xlpm.Searching,$A196)&gt;=1,FALSE),IF(AND(_xlpm.inStr,LEN(A196)&lt;=6),$A197,""))&amp;E195</f>
        <v/>
      </c>
      <c r="F194" t="str">
        <f>_xlfn.LET(_xlpm.Searching,"59",_xlpm.inStr,IFERROR(FIND(_xlpm.Searching,$A196)&gt;=1,FALSE),IF(AND(_xlpm.inStr,LEN(A196)&lt;=6),$A197,""))&amp;F195&amp;F196</f>
        <v/>
      </c>
      <c r="G194" t="str">
        <f>_xlfn.LET(_xlpm.Searching,"61",_xlpm.inStr,IFERROR(FIND(_xlpm.Searching,$A196)&gt;=1,FALSE),IF(AND(_xlpm.inStr,LEN(A196)&lt;=6),$A197,""))&amp;G195&amp;G196&amp;G197</f>
        <v/>
      </c>
      <c r="H194" t="str">
        <f>_xlfn.LET(_xlpm.Searching,"63",_xlpm.inStr,IFERROR(FIND(_xlpm.Searching,$A196)&gt;=1,FALSE),IF(AND(_xlpm.inStr,LEN(A196)&lt;=6),$A197,""))&amp;H195&amp;H196&amp;H197&amp;H198</f>
        <v/>
      </c>
    </row>
    <row r="195" spans="1:8" x14ac:dyDescent="0.25">
      <c r="A195" t="s">
        <v>87</v>
      </c>
      <c r="B195" t="str" cm="1">
        <f t="array" ref="B195">БУКВЫ(MID($A194,3,11))</f>
        <v>775115429</v>
      </c>
      <c r="C195" s="2"/>
      <c r="D195" s="2"/>
      <c r="E195" t="str">
        <f>_xlfn.LET(_xlpm.Searching,"57",_xlpm.inStr,IFERROR(FIND(_xlpm.Searching,$A198)&gt;=1,FALSE),IF(AND(_xlpm.inStr,LEN(A198)&lt;=6),$A199,""))</f>
        <v/>
      </c>
      <c r="F195" t="str">
        <f>_xlfn.LET(_xlpm.Searching,"59",_xlpm.inStr,IFERROR(FIND(_xlpm.Searching,$A198)&gt;=1,FALSE),IF(AND(_xlpm.inStr,LEN(A198)&lt;=6),$A199,""))</f>
        <v/>
      </c>
      <c r="G195" t="str">
        <f>_xlfn.LET(_xlpm.Searching,"61",_xlpm.inStr,IFERROR(FIND(_xlpm.Searching,$A198)&gt;=1,FALSE),IF(AND(_xlpm.inStr,LEN(A198)&lt;=6),$A199,""))</f>
        <v/>
      </c>
      <c r="H195" t="str">
        <f>_xlfn.LET(_xlpm.Searching,"63",_xlpm.inStr,IFERROR(FIND(_xlpm.Searching,$A198)&gt;=1,FALSE),IF(AND(_xlpm.inStr,LEN(A198)&lt;=6),$A199,""))</f>
        <v/>
      </c>
    </row>
    <row r="196" spans="1:8" x14ac:dyDescent="0.25">
      <c r="A196" t="s">
        <v>27</v>
      </c>
      <c r="B196" t="str" cm="1">
        <f t="array" ref="B196">БУКВЫ(MID($A194,3,11))</f>
        <v>775115429</v>
      </c>
      <c r="C196" s="2"/>
      <c r="D196" s="2"/>
      <c r="E196" s="2"/>
      <c r="F196" t="str">
        <f>_xlfn.LET(_xlpm.Searching,"59",_xlpm.inStr,IFERROR(FIND(_xlpm.Searching,$A200)&gt;=1,FALSE),IF(AND(_xlpm.inStr,LEN(A200)&lt;=6),$A201,""))</f>
        <v/>
      </c>
      <c r="G196" t="str">
        <f>_xlfn.LET(_xlpm.Searching,"61",_xlpm.inStr,IFERROR(FIND(_xlpm.Searching,$A200)&gt;=1,FALSE),IF(AND(_xlpm.inStr,LEN(A200)&lt;=6),$A201,""))</f>
        <v/>
      </c>
      <c r="H196" t="str">
        <f>_xlfn.LET(_xlpm.Searching,"63",_xlpm.inStr,IFERROR(FIND(_xlpm.Searching,$A200)&gt;=1,FALSE),IF(AND(_xlpm.inStr,LEN(A200)&lt;=6),$A201,""))</f>
        <v/>
      </c>
    </row>
    <row r="197" spans="1:8" x14ac:dyDescent="0.25">
      <c r="A197">
        <v>130</v>
      </c>
      <c r="B197" t="str" cm="1">
        <f t="array" ref="B197">БУКВЫ(MID($A194,3,11))</f>
        <v>775115429</v>
      </c>
      <c r="C197" s="2"/>
      <c r="D197" s="2"/>
      <c r="E197" s="2"/>
      <c r="F197" s="2"/>
      <c r="G197" t="str">
        <f>_xlfn.LET(_xlpm.Searching,"61",_xlpm.inStr,IFERROR(FIND(_xlpm.Searching,$A202)&gt;=1,FALSE),IF(AND(_xlpm.inStr,LEN(A202)&lt;=6),$A203,""))</f>
        <v/>
      </c>
      <c r="H197" t="str">
        <f>_xlfn.LET(_xlpm.Searching,"63",_xlpm.inStr,IFERROR(FIND(_xlpm.Searching,$A202)&gt;=1,FALSE),IF(AND(_xlpm.inStr,LEN(A202)&lt;=6),$A203,""))</f>
        <v/>
      </c>
    </row>
    <row r="198" spans="1:8" x14ac:dyDescent="0.25">
      <c r="A198" t="s">
        <v>28</v>
      </c>
      <c r="B198" t="str" cm="1">
        <f t="array" ref="B198">БУКВЫ(MID($A194,3,11))</f>
        <v>775115429</v>
      </c>
      <c r="C198" s="2"/>
      <c r="D198" s="2"/>
      <c r="E198" s="2"/>
      <c r="F198" s="2"/>
      <c r="G198" s="2"/>
      <c r="H198" t="str">
        <f>_xlfn.LET(_xlpm.Searching,"63",_xlpm.inStr,IFERROR(FIND(_xlpm.Searching,$A204)&gt;=1,FALSE),IF(AND(_xlpm.inStr,LEN(A204)&lt;=6),$A205,""))</f>
        <v/>
      </c>
    </row>
    <row r="199" spans="1:8" x14ac:dyDescent="0.25">
      <c r="A199" t="s">
        <v>81</v>
      </c>
    </row>
    <row r="200" spans="1:8" x14ac:dyDescent="0.25">
      <c r="A200" t="s">
        <v>82</v>
      </c>
      <c r="B200" s="1" t="s">
        <v>183</v>
      </c>
      <c r="C200" s="1" t="s">
        <v>27</v>
      </c>
      <c r="D200" s="1">
        <v>55</v>
      </c>
      <c r="E200" s="1">
        <v>57</v>
      </c>
      <c r="F200" s="1">
        <v>59</v>
      </c>
      <c r="G200" s="1">
        <v>61</v>
      </c>
      <c r="H200" s="1">
        <v>63</v>
      </c>
    </row>
    <row r="201" spans="1:8" x14ac:dyDescent="0.25">
      <c r="A201" t="s">
        <v>88</v>
      </c>
      <c r="B201" t="str" cm="1">
        <f t="array" ref="B201">БУКВЫ(MID($A201,3,11))</f>
        <v>775115557</v>
      </c>
      <c r="C201">
        <f>_xlfn.LET(_xlpm.Searching,"OSFA",_xlpm.inStr,IFERROR(FIND(_xlpm.Searching,$A203)&gt;=1,FALSE),IF(AND(_xlpm.inStr,LEN(A203)&lt;=6),A204,""))</f>
        <v>140</v>
      </c>
      <c r="D201" t="str">
        <f>_xlfn.LET(_xlpm.Searching,"55",_xlpm.inStr,IFERROR(FIND(_xlpm.Searching,$A203)&gt;=1,FALSE),IF(AND(_xlpm.inStr,LEN(A203)&lt;=6),A204,""))</f>
        <v/>
      </c>
      <c r="E201" t="str">
        <f>_xlfn.LET(_xlpm.Searching,"57",_xlpm.inStr,IFERROR(FIND(_xlpm.Searching,$A203)&gt;=1,FALSE),IF(AND(_xlpm.inStr,LEN(A203)&lt;=6),$A204,""))&amp;E202</f>
        <v/>
      </c>
      <c r="F201" t="str">
        <f>_xlfn.LET(_xlpm.Searching,"59",_xlpm.inStr,IFERROR(FIND(_xlpm.Searching,$A203)&gt;=1,FALSE),IF(AND(_xlpm.inStr,LEN(A203)&lt;=6),$A204,""))&amp;F202&amp;F203</f>
        <v/>
      </c>
      <c r="G201" t="str">
        <f>_xlfn.LET(_xlpm.Searching,"61",_xlpm.inStr,IFERROR(FIND(_xlpm.Searching,$A203)&gt;=1,FALSE),IF(AND(_xlpm.inStr,LEN(A203)&lt;=6),$A204,""))&amp;G202&amp;G203&amp;G204</f>
        <v/>
      </c>
      <c r="H201" t="str">
        <f>_xlfn.LET(_xlpm.Searching,"63",_xlpm.inStr,IFERROR(FIND(_xlpm.Searching,$A203)&gt;=1,FALSE),IF(AND(_xlpm.inStr,LEN(A203)&lt;=6),$A204,""))&amp;H202&amp;H203&amp;H204&amp;H205</f>
        <v/>
      </c>
    </row>
    <row r="202" spans="1:8" x14ac:dyDescent="0.25">
      <c r="A202" t="s">
        <v>89</v>
      </c>
      <c r="B202" t="str" cm="1">
        <f t="array" ref="B202">БУКВЫ(MID($A201,3,11))</f>
        <v>775115557</v>
      </c>
      <c r="C202" s="2"/>
      <c r="D202" s="2"/>
      <c r="E202" t="str">
        <f>_xlfn.LET(_xlpm.Searching,"57",_xlpm.inStr,IFERROR(FIND(_xlpm.Searching,$A205)&gt;=1,FALSE),IF(AND(_xlpm.inStr,LEN(A205)&lt;=6),$A206,""))</f>
        <v/>
      </c>
      <c r="F202" t="str">
        <f>_xlfn.LET(_xlpm.Searching,"59",_xlpm.inStr,IFERROR(FIND(_xlpm.Searching,$A205)&gt;=1,FALSE),IF(AND(_xlpm.inStr,LEN(A205)&lt;=6),$A206,""))</f>
        <v/>
      </c>
      <c r="G202" t="str">
        <f>_xlfn.LET(_xlpm.Searching,"61",_xlpm.inStr,IFERROR(FIND(_xlpm.Searching,$A205)&gt;=1,FALSE),IF(AND(_xlpm.inStr,LEN(A205)&lt;=6),$A206,""))</f>
        <v/>
      </c>
      <c r="H202" t="str">
        <f>_xlfn.LET(_xlpm.Searching,"63",_xlpm.inStr,IFERROR(FIND(_xlpm.Searching,$A205)&gt;=1,FALSE),IF(AND(_xlpm.inStr,LEN(A205)&lt;=6),$A206,""))</f>
        <v/>
      </c>
    </row>
    <row r="203" spans="1:8" x14ac:dyDescent="0.25">
      <c r="A203" t="s">
        <v>27</v>
      </c>
      <c r="B203" t="str" cm="1">
        <f t="array" ref="B203">БУКВЫ(MID($A201,3,11))</f>
        <v>775115557</v>
      </c>
      <c r="C203" s="2"/>
      <c r="D203" s="2"/>
      <c r="E203" s="2"/>
      <c r="F203" t="str">
        <f>_xlfn.LET(_xlpm.Searching,"59",_xlpm.inStr,IFERROR(FIND(_xlpm.Searching,$A207)&gt;=1,FALSE),IF(AND(_xlpm.inStr,LEN(A207)&lt;=6),$A208,""))</f>
        <v/>
      </c>
      <c r="G203" t="str">
        <f>_xlfn.LET(_xlpm.Searching,"61",_xlpm.inStr,IFERROR(FIND(_xlpm.Searching,$A207)&gt;=1,FALSE),IF(AND(_xlpm.inStr,LEN(A207)&lt;=6),$A208,""))</f>
        <v/>
      </c>
      <c r="H203" t="str">
        <f>_xlfn.LET(_xlpm.Searching,"63",_xlpm.inStr,IFERROR(FIND(_xlpm.Searching,$A207)&gt;=1,FALSE),IF(AND(_xlpm.inStr,LEN(A207)&lt;=6),$A208,""))</f>
        <v/>
      </c>
    </row>
    <row r="204" spans="1:8" x14ac:dyDescent="0.25">
      <c r="A204">
        <v>140</v>
      </c>
      <c r="B204" t="str" cm="1">
        <f t="array" ref="B204">БУКВЫ(MID($A201,3,11))</f>
        <v>775115557</v>
      </c>
      <c r="C204" s="2"/>
      <c r="D204" s="2"/>
      <c r="E204" s="2"/>
      <c r="F204" s="2"/>
      <c r="G204" t="str">
        <f>_xlfn.LET(_xlpm.Searching,"61",_xlpm.inStr,IFERROR(FIND(_xlpm.Searching,$A209)&gt;=1,FALSE),IF(AND(_xlpm.inStr,LEN(A209)&lt;=6),$A210,""))</f>
        <v/>
      </c>
      <c r="H204" t="str">
        <f>_xlfn.LET(_xlpm.Searching,"63",_xlpm.inStr,IFERROR(FIND(_xlpm.Searching,$A209)&gt;=1,FALSE),IF(AND(_xlpm.inStr,LEN(A209)&lt;=6),$A210,""))</f>
        <v/>
      </c>
    </row>
    <row r="205" spans="1:8" x14ac:dyDescent="0.25">
      <c r="A205" t="s">
        <v>28</v>
      </c>
      <c r="B205" t="str" cm="1">
        <f t="array" ref="B205">БУКВЫ(MID($A201,3,11))</f>
        <v>775115557</v>
      </c>
      <c r="C205" s="2"/>
      <c r="D205" s="2"/>
      <c r="E205" s="2"/>
      <c r="F205" s="2"/>
      <c r="G205" s="2"/>
      <c r="H205" t="str">
        <f>_xlfn.LET(_xlpm.Searching,"63",_xlpm.inStr,IFERROR(FIND(_xlpm.Searching,$A211)&gt;=1,FALSE),IF(AND(_xlpm.inStr,LEN(A211)&lt;=6),$A212,""))</f>
        <v/>
      </c>
    </row>
    <row r="206" spans="1:8" x14ac:dyDescent="0.25">
      <c r="A206" t="s">
        <v>60</v>
      </c>
    </row>
    <row r="207" spans="1:8" x14ac:dyDescent="0.25">
      <c r="A207" t="s">
        <v>61</v>
      </c>
      <c r="B207" s="1" t="s">
        <v>183</v>
      </c>
      <c r="C207" s="1" t="s">
        <v>27</v>
      </c>
      <c r="D207" s="1">
        <v>55</v>
      </c>
      <c r="E207" s="1">
        <v>57</v>
      </c>
      <c r="F207" s="1">
        <v>59</v>
      </c>
      <c r="G207" s="1">
        <v>61</v>
      </c>
      <c r="H207" s="1">
        <v>63</v>
      </c>
    </row>
    <row r="208" spans="1:8" x14ac:dyDescent="0.25">
      <c r="A208" t="s">
        <v>90</v>
      </c>
      <c r="B208" t="str" cm="1">
        <f t="array" ref="B208">БУКВЫ(MID($A208,3,11))</f>
        <v>77511715</v>
      </c>
      <c r="C208">
        <f>_xlfn.LET(_xlpm.Searching,"OSFA",_xlpm.inStr,IFERROR(FIND(_xlpm.Searching,$A210)&gt;=1,FALSE),IF(AND(_xlpm.inStr,LEN(A210)&lt;=6),A211,""))</f>
        <v>20</v>
      </c>
      <c r="D208" t="str">
        <f>_xlfn.LET(_xlpm.Searching,"55",_xlpm.inStr,IFERROR(FIND(_xlpm.Searching,$A210)&gt;=1,FALSE),IF(AND(_xlpm.inStr,LEN(A210)&lt;=6),A211,""))</f>
        <v/>
      </c>
      <c r="E208" t="str">
        <f>_xlfn.LET(_xlpm.Searching,"57",_xlpm.inStr,IFERROR(FIND(_xlpm.Searching,$A210)&gt;=1,FALSE),IF(AND(_xlpm.inStr,LEN(A210)&lt;=6),$A211,""))&amp;E209</f>
        <v/>
      </c>
      <c r="F208" t="str">
        <f>_xlfn.LET(_xlpm.Searching,"59",_xlpm.inStr,IFERROR(FIND(_xlpm.Searching,$A210)&gt;=1,FALSE),IF(AND(_xlpm.inStr,LEN(A210)&lt;=6),$A211,""))&amp;F209&amp;F210</f>
        <v/>
      </c>
      <c r="G208" t="str">
        <f>_xlfn.LET(_xlpm.Searching,"61",_xlpm.inStr,IFERROR(FIND(_xlpm.Searching,$A210)&gt;=1,FALSE),IF(AND(_xlpm.inStr,LEN(A210)&lt;=6),$A211,""))&amp;G209&amp;G210&amp;G211</f>
        <v/>
      </c>
      <c r="H208" t="str">
        <f>_xlfn.LET(_xlpm.Searching,"63",_xlpm.inStr,IFERROR(FIND(_xlpm.Searching,$A210)&gt;=1,FALSE),IF(AND(_xlpm.inStr,LEN(A210)&lt;=6),$A211,""))&amp;H209&amp;H210&amp;H211&amp;H212</f>
        <v/>
      </c>
    </row>
    <row r="209" spans="1:16" x14ac:dyDescent="0.25">
      <c r="A209" t="s">
        <v>91</v>
      </c>
      <c r="B209" t="str" cm="1">
        <f t="array" ref="B209">БУКВЫ(MID($A208,3,11))</f>
        <v>77511715</v>
      </c>
      <c r="C209" s="2"/>
      <c r="D209" s="2"/>
      <c r="E209" t="str">
        <f>_xlfn.LET(_xlpm.Searching,"57",_xlpm.inStr,IFERROR(FIND(_xlpm.Searching,$A212)&gt;=1,FALSE),IF(AND(_xlpm.inStr,LEN(A212)&lt;=6),$A213,""))</f>
        <v/>
      </c>
      <c r="F209" t="str">
        <f>_xlfn.LET(_xlpm.Searching,"59",_xlpm.inStr,IFERROR(FIND(_xlpm.Searching,$A212)&gt;=1,FALSE),IF(AND(_xlpm.inStr,LEN(A212)&lt;=6),$A213,""))</f>
        <v/>
      </c>
      <c r="G209" t="str">
        <f>_xlfn.LET(_xlpm.Searching,"61",_xlpm.inStr,IFERROR(FIND(_xlpm.Searching,$A212)&gt;=1,FALSE),IF(AND(_xlpm.inStr,LEN(A212)&lt;=6),$A213,""))</f>
        <v/>
      </c>
      <c r="H209" t="str">
        <f>_xlfn.LET(_xlpm.Searching,"63",_xlpm.inStr,IFERROR(FIND(_xlpm.Searching,$A212)&gt;=1,FALSE),IF(AND(_xlpm.inStr,LEN(A212)&lt;=6),$A213,""))</f>
        <v/>
      </c>
    </row>
    <row r="210" spans="1:16" x14ac:dyDescent="0.25">
      <c r="A210" t="s">
        <v>27</v>
      </c>
      <c r="B210" t="str" cm="1">
        <f t="array" ref="B210">БУКВЫ(MID($A208,3,11))</f>
        <v>77511715</v>
      </c>
      <c r="C210" s="2"/>
      <c r="D210" s="2"/>
      <c r="E210" s="2"/>
      <c r="F210" t="str">
        <f>_xlfn.LET(_xlpm.Searching,"59",_xlpm.inStr,IFERROR(FIND(_xlpm.Searching,$A214)&gt;=1,FALSE),IF(AND(_xlpm.inStr,LEN(A214)&lt;=6),$A215,""))</f>
        <v/>
      </c>
      <c r="G210" t="str">
        <f>_xlfn.LET(_xlpm.Searching,"61",_xlpm.inStr,IFERROR(FIND(_xlpm.Searching,$A214)&gt;=1,FALSE),IF(AND(_xlpm.inStr,LEN(A214)&lt;=6),$A215,""))</f>
        <v/>
      </c>
      <c r="H210" t="str">
        <f>_xlfn.LET(_xlpm.Searching,"63",_xlpm.inStr,IFERROR(FIND(_xlpm.Searching,$A214)&gt;=1,FALSE),IF(AND(_xlpm.inStr,LEN(A214)&lt;=6),$A215,""))</f>
        <v/>
      </c>
    </row>
    <row r="211" spans="1:16" x14ac:dyDescent="0.25">
      <c r="A211">
        <v>20</v>
      </c>
      <c r="B211" t="str" cm="1">
        <f t="array" ref="B211">БУКВЫ(MID($A208,3,11))</f>
        <v>77511715</v>
      </c>
      <c r="C211" s="2"/>
      <c r="D211" s="2"/>
      <c r="E211" s="2"/>
      <c r="F211" s="2"/>
      <c r="G211" t="str">
        <f>_xlfn.LET(_xlpm.Searching,"61",_xlpm.inStr,IFERROR(FIND(_xlpm.Searching,$A216)&gt;=1,FALSE),IF(AND(_xlpm.inStr,LEN(A216)&lt;=6),$A217,""))</f>
        <v/>
      </c>
      <c r="H211" t="str">
        <f>_xlfn.LET(_xlpm.Searching,"63",_xlpm.inStr,IFERROR(FIND(_xlpm.Searching,$A216)&gt;=1,FALSE),IF(AND(_xlpm.inStr,LEN(A216)&lt;=6),$A217,""))</f>
        <v/>
      </c>
    </row>
    <row r="212" spans="1:16" x14ac:dyDescent="0.25">
      <c r="A212" t="s">
        <v>28</v>
      </c>
      <c r="B212" t="str" cm="1">
        <f t="array" ref="B212">БУКВЫ(MID($A208,3,11))</f>
        <v>77511715</v>
      </c>
      <c r="C212" s="2"/>
      <c r="D212" s="2"/>
      <c r="E212" s="2"/>
      <c r="F212" s="2"/>
      <c r="G212" s="2"/>
      <c r="H212" t="str">
        <f>_xlfn.LET(_xlpm.Searching,"63",_xlpm.inStr,IFERROR(FIND(_xlpm.Searching,$A218)&gt;=1,FALSE),IF(AND(_xlpm.inStr,LEN(A218)&lt;=6),$A219,""))</f>
        <v/>
      </c>
    </row>
    <row r="213" spans="1:16" x14ac:dyDescent="0.25">
      <c r="A213" t="s">
        <v>92</v>
      </c>
    </row>
    <row r="214" spans="1:16" x14ac:dyDescent="0.25">
      <c r="A214" t="s">
        <v>93</v>
      </c>
      <c r="B214" s="1" t="s">
        <v>183</v>
      </c>
      <c r="C214" s="1" t="s">
        <v>27</v>
      </c>
      <c r="D214" s="1">
        <v>55</v>
      </c>
      <c r="E214" s="1">
        <v>57</v>
      </c>
      <c r="F214" s="1">
        <v>59</v>
      </c>
      <c r="G214" s="1">
        <v>61</v>
      </c>
      <c r="H214" s="1">
        <v>63</v>
      </c>
    </row>
    <row r="215" spans="1:16" x14ac:dyDescent="0.25">
      <c r="A215" t="s">
        <v>94</v>
      </c>
      <c r="B215" t="str" cm="1">
        <f t="array" ref="B215">БУКВЫ(MID($A215,3,11))</f>
        <v>77511711</v>
      </c>
      <c r="C215">
        <f>_xlfn.LET(_xlpm.Searching,"OSFA",_xlpm.inStr,IFERROR(FIND(_xlpm.Searching,$A217)&gt;=1,FALSE),IF(AND(_xlpm.inStr,LEN(A217)&lt;=6),A218,""))</f>
        <v>110</v>
      </c>
      <c r="D215" t="str">
        <f>_xlfn.LET(_xlpm.Searching,"55",_xlpm.inStr,IFERROR(FIND(_xlpm.Searching,$A217)&gt;=1,FALSE),IF(AND(_xlpm.inStr,LEN(A217)&lt;=6),A218,""))</f>
        <v/>
      </c>
      <c r="E215" t="str">
        <f>_xlfn.LET(_xlpm.Searching,"57",_xlpm.inStr,IFERROR(FIND(_xlpm.Searching,$A217)&gt;=1,FALSE),IF(AND(_xlpm.inStr,LEN(A217)&lt;=6),$A218,""))&amp;E216</f>
        <v/>
      </c>
      <c r="F215" t="str">
        <f>_xlfn.LET(_xlpm.Searching,"59",_xlpm.inStr,IFERROR(FIND(_xlpm.Searching,$A217)&gt;=1,FALSE),IF(AND(_xlpm.inStr,LEN(A217)&lt;=6),$A218,""))&amp;F216&amp;F217</f>
        <v/>
      </c>
      <c r="G215" t="str">
        <f>_xlfn.LET(_xlpm.Searching,"61",_xlpm.inStr,IFERROR(FIND(_xlpm.Searching,$A217)&gt;=1,FALSE),IF(AND(_xlpm.inStr,LEN(A217)&lt;=6),$A218,""))&amp;G216&amp;G217&amp;G218</f>
        <v/>
      </c>
      <c r="H215" t="str">
        <f>_xlfn.LET(_xlpm.Searching,"63",_xlpm.inStr,IFERROR(FIND(_xlpm.Searching,$A217)&gt;=1,FALSE),IF(AND(_xlpm.inStr,LEN(A217)&lt;=6),$A218,""))&amp;H216&amp;H217&amp;H218&amp;H219</f>
        <v/>
      </c>
    </row>
    <row r="216" spans="1:16" x14ac:dyDescent="0.25">
      <c r="A216" t="s">
        <v>91</v>
      </c>
      <c r="B216" t="str" cm="1">
        <f t="array" ref="B216">БУКВЫ(MID($A215,3,11))</f>
        <v>77511711</v>
      </c>
      <c r="C216" s="2"/>
      <c r="D216" s="2"/>
      <c r="E216" t="str">
        <f>_xlfn.LET(_xlpm.Searching,"57",_xlpm.inStr,IFERROR(FIND(_xlpm.Searching,$A219)&gt;=1,FALSE),IF(AND(_xlpm.inStr,LEN(A219)&lt;=6),$A220,""))</f>
        <v/>
      </c>
      <c r="F216" t="str">
        <f>_xlfn.LET(_xlpm.Searching,"59",_xlpm.inStr,IFERROR(FIND(_xlpm.Searching,$A219)&gt;=1,FALSE),IF(AND(_xlpm.inStr,LEN(A219)&lt;=6),$A220,""))</f>
        <v/>
      </c>
      <c r="G216" t="str">
        <f>_xlfn.LET(_xlpm.Searching,"61",_xlpm.inStr,IFERROR(FIND(_xlpm.Searching,$A219)&gt;=1,FALSE),IF(AND(_xlpm.inStr,LEN(A219)&lt;=6),$A220,""))</f>
        <v/>
      </c>
      <c r="H216" t="str">
        <f>_xlfn.LET(_xlpm.Searching,"63",_xlpm.inStr,IFERROR(FIND(_xlpm.Searching,$A219)&gt;=1,FALSE),IF(AND(_xlpm.inStr,LEN(A219)&lt;=6),$A220,""))</f>
        <v/>
      </c>
    </row>
    <row r="217" spans="1:16" x14ac:dyDescent="0.25">
      <c r="A217" t="s">
        <v>27</v>
      </c>
      <c r="B217" t="str" cm="1">
        <f t="array" ref="B217">БУКВЫ(MID($A215,3,11))</f>
        <v>77511711</v>
      </c>
      <c r="C217" s="2"/>
      <c r="D217" s="2"/>
      <c r="E217" s="2"/>
      <c r="F217" t="str">
        <f>_xlfn.LET(_xlpm.Searching,"59",_xlpm.inStr,IFERROR(FIND(_xlpm.Searching,$A221)&gt;=1,FALSE),IF(AND(_xlpm.inStr,LEN(A221)&lt;=6),$A222,""))</f>
        <v/>
      </c>
      <c r="G217" t="str">
        <f>_xlfn.LET(_xlpm.Searching,"61",_xlpm.inStr,IFERROR(FIND(_xlpm.Searching,$A221)&gt;=1,FALSE),IF(AND(_xlpm.inStr,LEN(A221)&lt;=6),$A222,""))</f>
        <v/>
      </c>
      <c r="H217" t="str">
        <f>_xlfn.LET(_xlpm.Searching,"63",_xlpm.inStr,IFERROR(FIND(_xlpm.Searching,$A221)&gt;=1,FALSE),IF(AND(_xlpm.inStr,LEN(A221)&lt;=6),$A222,""))</f>
        <v/>
      </c>
    </row>
    <row r="218" spans="1:16" x14ac:dyDescent="0.25">
      <c r="A218">
        <v>110</v>
      </c>
      <c r="B218" t="str" cm="1">
        <f t="array" ref="B218">БУКВЫ(MID($A215,3,11))</f>
        <v>77511711</v>
      </c>
      <c r="C218" s="2"/>
      <c r="D218" s="2"/>
      <c r="E218" s="2"/>
      <c r="F218" s="2"/>
      <c r="G218" t="str">
        <f>_xlfn.LET(_xlpm.Searching,"61",_xlpm.inStr,IFERROR(FIND(_xlpm.Searching,$A223)&gt;=1,FALSE),IF(AND(_xlpm.inStr,LEN(A223)&lt;=6),$A224,""))</f>
        <v/>
      </c>
      <c r="H218" t="str">
        <f>_xlfn.LET(_xlpm.Searching,"63",_xlpm.inStr,IFERROR(FIND(_xlpm.Searching,$A223)&gt;=1,FALSE),IF(AND(_xlpm.inStr,LEN(A223)&lt;=6),$A224,""))</f>
        <v/>
      </c>
    </row>
    <row r="219" spans="1:16" x14ac:dyDescent="0.25">
      <c r="A219" t="s">
        <v>28</v>
      </c>
      <c r="B219" t="str" cm="1">
        <f t="array" ref="B219">БУКВЫ(MID($A215,3,11))</f>
        <v>77511711</v>
      </c>
      <c r="C219" s="2"/>
      <c r="D219" s="2"/>
      <c r="E219" s="2"/>
      <c r="F219" s="2"/>
      <c r="G219" s="2"/>
      <c r="H219" t="str">
        <f>_xlfn.LET(_xlpm.Searching,"63",_xlpm.inStr,IFERROR(FIND(_xlpm.Searching,$A225)&gt;=1,FALSE),IF(AND(_xlpm.inStr,LEN(A225)&lt;=6),$A226,""))</f>
        <v/>
      </c>
    </row>
    <row r="220" spans="1:16" x14ac:dyDescent="0.25">
      <c r="A220" t="s">
        <v>29</v>
      </c>
    </row>
    <row r="221" spans="1:16" x14ac:dyDescent="0.25">
      <c r="A221" t="s">
        <v>30</v>
      </c>
      <c r="B221" s="1" t="s">
        <v>183</v>
      </c>
      <c r="C221" s="1" t="s">
        <v>27</v>
      </c>
      <c r="D221" s="1">
        <v>55</v>
      </c>
      <c r="E221" s="1">
        <v>57</v>
      </c>
      <c r="F221" s="1">
        <v>59</v>
      </c>
      <c r="G221" s="1">
        <v>61</v>
      </c>
      <c r="H221" s="1">
        <v>63</v>
      </c>
      <c r="J221" s="1"/>
      <c r="K221" s="1"/>
      <c r="L221" s="1"/>
      <c r="M221" s="1"/>
      <c r="N221" s="1"/>
      <c r="O221" s="1"/>
      <c r="P221" s="1"/>
    </row>
    <row r="222" spans="1:16" x14ac:dyDescent="0.25">
      <c r="A222" t="s">
        <v>95</v>
      </c>
      <c r="B222" t="str" cm="1">
        <f t="array" ref="B222">БУКВЫ(MID($A222,3,11))</f>
        <v>77511717</v>
      </c>
      <c r="C222">
        <f>_xlfn.LET(_xlpm.Searching,"OSFA",_xlpm.inStr,IFERROR(FIND(_xlpm.Searching,$A224)&gt;=1,FALSE),IF(AND(_xlpm.inStr,LEN(A224)&lt;=6),A225,""))</f>
        <v>50</v>
      </c>
      <c r="D222" t="str">
        <f>_xlfn.LET(_xlpm.Searching,"55",_xlpm.inStr,IFERROR(FIND(_xlpm.Searching,$A224)&gt;=1,FALSE),IF(AND(_xlpm.inStr,LEN(A224)&lt;=6),A225,""))</f>
        <v/>
      </c>
      <c r="E222" t="str">
        <f>_xlfn.LET(_xlpm.Searching,"57",_xlpm.inStr,IFERROR(FIND(_xlpm.Searching,$A224)&gt;=1,FALSE),IF(AND(_xlpm.inStr,LEN(A224)&lt;=6),$A225,""))&amp;E223</f>
        <v/>
      </c>
      <c r="F222" t="str">
        <f>_xlfn.LET(_xlpm.Searching,"59",_xlpm.inStr,IFERROR(FIND(_xlpm.Searching,$A224)&gt;=1,FALSE),IF(AND(_xlpm.inStr,LEN(A224)&lt;=6),$A225,""))&amp;F223&amp;F224</f>
        <v/>
      </c>
      <c r="G222" t="str">
        <f>_xlfn.LET(_xlpm.Searching,"61",_xlpm.inStr,IFERROR(FIND(_xlpm.Searching,$A224)&gt;=1,FALSE),IF(AND(_xlpm.inStr,LEN(A224)&lt;=6),$A225,""))&amp;G223&amp;G224&amp;G225</f>
        <v/>
      </c>
      <c r="H222" t="str">
        <f>_xlfn.LET(_xlpm.Searching,"63",_xlpm.inStr,IFERROR(FIND(_xlpm.Searching,$A224)&gt;=1,FALSE),IF(AND(_xlpm.inStr,LEN(A224)&lt;=6),$A225,""))&amp;H223&amp;H224&amp;H225&amp;H226</f>
        <v/>
      </c>
    </row>
    <row r="223" spans="1:16" x14ac:dyDescent="0.25">
      <c r="A223" t="s">
        <v>91</v>
      </c>
      <c r="B223" t="str" cm="1">
        <f t="array" ref="B223">БУКВЫ(MID($A222,3,11))</f>
        <v>77511717</v>
      </c>
      <c r="C223" s="2"/>
      <c r="D223" s="2"/>
      <c r="E223" t="str">
        <f>_xlfn.LET(_xlpm.Searching,"57",_xlpm.inStr,IFERROR(FIND(_xlpm.Searching,$A226)&gt;=1,FALSE),IF(AND(_xlpm.inStr,LEN(A226)&lt;=6),$A227,""))</f>
        <v/>
      </c>
      <c r="F223" t="str">
        <f>_xlfn.LET(_xlpm.Searching,"59",_xlpm.inStr,IFERROR(FIND(_xlpm.Searching,$A226)&gt;=1,FALSE),IF(AND(_xlpm.inStr,LEN(A226)&lt;=6),$A227,""))</f>
        <v/>
      </c>
      <c r="G223" t="str">
        <f>_xlfn.LET(_xlpm.Searching,"61",_xlpm.inStr,IFERROR(FIND(_xlpm.Searching,$A226)&gt;=1,FALSE),IF(AND(_xlpm.inStr,LEN(A226)&lt;=6),$A227,""))</f>
        <v/>
      </c>
      <c r="H223" t="str">
        <f>_xlfn.LET(_xlpm.Searching,"63",_xlpm.inStr,IFERROR(FIND(_xlpm.Searching,$A226)&gt;=1,FALSE),IF(AND(_xlpm.inStr,LEN(A226)&lt;=6),$A227,""))</f>
        <v/>
      </c>
    </row>
    <row r="224" spans="1:16" x14ac:dyDescent="0.25">
      <c r="A224" t="s">
        <v>27</v>
      </c>
      <c r="B224" t="str" cm="1">
        <f t="array" ref="B224">БУКВЫ(MID($A222,3,11))</f>
        <v>77511717</v>
      </c>
      <c r="C224" s="2"/>
      <c r="D224" s="2"/>
      <c r="E224" s="2"/>
      <c r="F224" t="str">
        <f>_xlfn.LET(_xlpm.Searching,"59",_xlpm.inStr,IFERROR(FIND(_xlpm.Searching,$A228)&gt;=1,FALSE),IF(AND(_xlpm.inStr,LEN(A228)&lt;=6),$A229,""))</f>
        <v/>
      </c>
      <c r="G224" t="str">
        <f>_xlfn.LET(_xlpm.Searching,"61",_xlpm.inStr,IFERROR(FIND(_xlpm.Searching,$A228)&gt;=1,FALSE),IF(AND(_xlpm.inStr,LEN(A228)&lt;=6),$A229,""))</f>
        <v/>
      </c>
      <c r="H224" t="str">
        <f>_xlfn.LET(_xlpm.Searching,"63",_xlpm.inStr,IFERROR(FIND(_xlpm.Searching,$A228)&gt;=1,FALSE),IF(AND(_xlpm.inStr,LEN(A228)&lt;=6),$A229,""))</f>
        <v/>
      </c>
    </row>
    <row r="225" spans="1:8" x14ac:dyDescent="0.25">
      <c r="A225">
        <v>50</v>
      </c>
      <c r="B225" t="str" cm="1">
        <f t="array" ref="B225">БУКВЫ(MID($A222,3,11))</f>
        <v>77511717</v>
      </c>
      <c r="C225" s="2"/>
      <c r="D225" s="2"/>
      <c r="E225" s="2"/>
      <c r="F225" s="2"/>
      <c r="G225" t="str">
        <f>_xlfn.LET(_xlpm.Searching,"61",_xlpm.inStr,IFERROR(FIND(_xlpm.Searching,$A230)&gt;=1,FALSE),IF(AND(_xlpm.inStr,LEN(A230)&lt;=6),$A231,""))</f>
        <v/>
      </c>
      <c r="H225" t="str">
        <f>_xlfn.LET(_xlpm.Searching,"63",_xlpm.inStr,IFERROR(FIND(_xlpm.Searching,$A230)&gt;=1,FALSE),IF(AND(_xlpm.inStr,LEN(A230)&lt;=6),$A231,""))</f>
        <v/>
      </c>
    </row>
    <row r="226" spans="1:8" x14ac:dyDescent="0.25">
      <c r="A226" t="s">
        <v>28</v>
      </c>
      <c r="B226" t="str" cm="1">
        <f t="array" ref="B226">БУКВЫ(MID($A222,3,11))</f>
        <v>77511717</v>
      </c>
      <c r="C226" s="2"/>
      <c r="D226" s="2"/>
      <c r="E226" s="2"/>
      <c r="F226" s="2"/>
      <c r="G226" s="2"/>
      <c r="H226" t="str">
        <f>_xlfn.LET(_xlpm.Searching,"63",_xlpm.inStr,IFERROR(FIND(_xlpm.Searching,$A232)&gt;=1,FALSE),IF(AND(_xlpm.inStr,LEN(A232)&lt;=6),$A233,""))</f>
        <v/>
      </c>
    </row>
    <row r="227" spans="1:8" x14ac:dyDescent="0.25">
      <c r="A227" t="s">
        <v>49</v>
      </c>
    </row>
    <row r="228" spans="1:8" x14ac:dyDescent="0.25">
      <c r="A228" t="s">
        <v>50</v>
      </c>
      <c r="B228" s="1" t="s">
        <v>183</v>
      </c>
      <c r="C228" s="1" t="s">
        <v>27</v>
      </c>
      <c r="D228" s="1">
        <v>55</v>
      </c>
      <c r="E228" s="1">
        <v>57</v>
      </c>
      <c r="F228" s="1">
        <v>59</v>
      </c>
      <c r="G228" s="1">
        <v>61</v>
      </c>
      <c r="H228" s="1">
        <v>63</v>
      </c>
    </row>
    <row r="229" spans="1:8" x14ac:dyDescent="0.25">
      <c r="A229" t="s">
        <v>96</v>
      </c>
      <c r="B229" t="str" cm="1">
        <f t="array" ref="B229">БУКВЫ(MID($A229,3,11))</f>
        <v>77511718</v>
      </c>
      <c r="C229">
        <f>_xlfn.LET(_xlpm.Searching,"OSFA",_xlpm.inStr,IFERROR(FIND(_xlpm.Searching,$A231)&gt;=1,FALSE),IF(AND(_xlpm.inStr,LEN(A231)&lt;=6),A232,""))</f>
        <v>65</v>
      </c>
      <c r="D229" t="str">
        <f>_xlfn.LET(_xlpm.Searching,"55",_xlpm.inStr,IFERROR(FIND(_xlpm.Searching,$A231)&gt;=1,FALSE),IF(AND(_xlpm.inStr,LEN(A231)&lt;=6),A232,""))</f>
        <v/>
      </c>
      <c r="E229" t="str">
        <f>_xlfn.LET(_xlpm.Searching,"57",_xlpm.inStr,IFERROR(FIND(_xlpm.Searching,$A231)&gt;=1,FALSE),IF(AND(_xlpm.inStr,LEN(A231)&lt;=6),$A232,""))&amp;E230</f>
        <v/>
      </c>
      <c r="F229" t="str">
        <f>_xlfn.LET(_xlpm.Searching,"59",_xlpm.inStr,IFERROR(FIND(_xlpm.Searching,$A231)&gt;=1,FALSE),IF(AND(_xlpm.inStr,LEN(A231)&lt;=6),$A232,""))&amp;F230&amp;F231</f>
        <v/>
      </c>
      <c r="G229" t="str">
        <f>_xlfn.LET(_xlpm.Searching,"61",_xlpm.inStr,IFERROR(FIND(_xlpm.Searching,$A231)&gt;=1,FALSE),IF(AND(_xlpm.inStr,LEN(A231)&lt;=6),$A232,""))&amp;G230&amp;G231&amp;G232</f>
        <v/>
      </c>
      <c r="H229" t="str">
        <f>_xlfn.LET(_xlpm.Searching,"63",_xlpm.inStr,IFERROR(FIND(_xlpm.Searching,$A231)&gt;=1,FALSE),IF(AND(_xlpm.inStr,LEN(A231)&lt;=6),$A232,""))&amp;H230&amp;H231&amp;H232&amp;H233</f>
        <v/>
      </c>
    </row>
    <row r="230" spans="1:8" x14ac:dyDescent="0.25">
      <c r="A230" t="s">
        <v>91</v>
      </c>
      <c r="B230" t="str" cm="1">
        <f t="array" ref="B230">БУКВЫ(MID($A229,3,11))</f>
        <v>77511718</v>
      </c>
      <c r="C230" s="2"/>
      <c r="D230" s="2"/>
      <c r="E230" t="str">
        <f>_xlfn.LET(_xlpm.Searching,"57",_xlpm.inStr,IFERROR(FIND(_xlpm.Searching,$A233)&gt;=1,FALSE),IF(AND(_xlpm.inStr,LEN(A233)&lt;=6),$A234,""))</f>
        <v/>
      </c>
      <c r="F230" t="str">
        <f>_xlfn.LET(_xlpm.Searching,"59",_xlpm.inStr,IFERROR(FIND(_xlpm.Searching,$A233)&gt;=1,FALSE),IF(AND(_xlpm.inStr,LEN(A233)&lt;=6),$A234,""))</f>
        <v/>
      </c>
      <c r="G230" t="str">
        <f>_xlfn.LET(_xlpm.Searching,"61",_xlpm.inStr,IFERROR(FIND(_xlpm.Searching,$A233)&gt;=1,FALSE),IF(AND(_xlpm.inStr,LEN(A233)&lt;=6),$A234,""))</f>
        <v/>
      </c>
      <c r="H230" t="str">
        <f>_xlfn.LET(_xlpm.Searching,"63",_xlpm.inStr,IFERROR(FIND(_xlpm.Searching,$A233)&gt;=1,FALSE),IF(AND(_xlpm.inStr,LEN(A233)&lt;=6),$A234,""))</f>
        <v/>
      </c>
    </row>
    <row r="231" spans="1:8" x14ac:dyDescent="0.25">
      <c r="A231" t="s">
        <v>27</v>
      </c>
      <c r="B231" t="str" cm="1">
        <f t="array" ref="B231">БУКВЫ(MID($A229,3,11))</f>
        <v>77511718</v>
      </c>
      <c r="C231" s="2"/>
      <c r="D231" s="2"/>
      <c r="E231" s="2"/>
      <c r="F231" t="str">
        <f>_xlfn.LET(_xlpm.Searching,"59",_xlpm.inStr,IFERROR(FIND(_xlpm.Searching,$A235)&gt;=1,FALSE),IF(AND(_xlpm.inStr,LEN(A235)&lt;=6),$A236,""))</f>
        <v/>
      </c>
      <c r="G231" t="str">
        <f>_xlfn.LET(_xlpm.Searching,"61",_xlpm.inStr,IFERROR(FIND(_xlpm.Searching,$A235)&gt;=1,FALSE),IF(AND(_xlpm.inStr,LEN(A235)&lt;=6),$A236,""))</f>
        <v/>
      </c>
      <c r="H231" t="str">
        <f>_xlfn.LET(_xlpm.Searching,"63",_xlpm.inStr,IFERROR(FIND(_xlpm.Searching,$A235)&gt;=1,FALSE),IF(AND(_xlpm.inStr,LEN(A235)&lt;=6),$A236,""))</f>
        <v/>
      </c>
    </row>
    <row r="232" spans="1:8" x14ac:dyDescent="0.25">
      <c r="A232">
        <v>65</v>
      </c>
      <c r="B232" t="str" cm="1">
        <f t="array" ref="B232">БУКВЫ(MID($A229,3,11))</f>
        <v>77511718</v>
      </c>
      <c r="C232" s="2"/>
      <c r="D232" s="2"/>
      <c r="E232" s="2"/>
      <c r="F232" s="2"/>
      <c r="G232" t="str">
        <f>_xlfn.LET(_xlpm.Searching,"61",_xlpm.inStr,IFERROR(FIND(_xlpm.Searching,$A237)&gt;=1,FALSE),IF(AND(_xlpm.inStr,LEN(A237)&lt;=6),$A238,""))</f>
        <v/>
      </c>
      <c r="H232" t="str">
        <f>_xlfn.LET(_xlpm.Searching,"63",_xlpm.inStr,IFERROR(FIND(_xlpm.Searching,$A237)&gt;=1,FALSE),IF(AND(_xlpm.inStr,LEN(A237)&lt;=6),$A238,""))</f>
        <v/>
      </c>
    </row>
    <row r="233" spans="1:8" x14ac:dyDescent="0.25">
      <c r="A233" t="s">
        <v>28</v>
      </c>
      <c r="B233" t="str" cm="1">
        <f t="array" ref="B233">БУКВЫ(MID($A229,3,11))</f>
        <v>77511718</v>
      </c>
      <c r="C233" s="2"/>
      <c r="D233" s="2"/>
      <c r="E233" s="2"/>
      <c r="F233" s="2"/>
      <c r="G233" s="2"/>
      <c r="H233" t="str">
        <f>_xlfn.LET(_xlpm.Searching,"63",_xlpm.inStr,IFERROR(FIND(_xlpm.Searching,$A239)&gt;=1,FALSE),IF(AND(_xlpm.inStr,LEN(A239)&lt;=6),$A240,""))</f>
        <v/>
      </c>
    </row>
    <row r="234" spans="1:8" x14ac:dyDescent="0.25">
      <c r="A234" t="s">
        <v>97</v>
      </c>
    </row>
    <row r="235" spans="1:8" x14ac:dyDescent="0.25">
      <c r="A235" t="s">
        <v>98</v>
      </c>
    </row>
    <row r="236" spans="1:8" x14ac:dyDescent="0.25">
      <c r="A236" t="s">
        <v>2</v>
      </c>
    </row>
    <row r="237" spans="1:8" x14ac:dyDescent="0.25">
      <c r="A237" t="s">
        <v>31</v>
      </c>
    </row>
    <row r="238" spans="1:8" x14ac:dyDescent="0.25">
      <c r="A238" t="s">
        <v>32</v>
      </c>
    </row>
    <row r="239" spans="1:8" x14ac:dyDescent="0.25">
      <c r="A239" t="s">
        <v>33</v>
      </c>
    </row>
    <row r="240" spans="1:8" x14ac:dyDescent="0.25">
      <c r="A240" t="s">
        <v>34</v>
      </c>
    </row>
    <row r="241" spans="1:1" x14ac:dyDescent="0.25">
      <c r="A241" t="s">
        <v>35</v>
      </c>
    </row>
    <row r="242" spans="1:1" x14ac:dyDescent="0.25">
      <c r="A242" t="s">
        <v>36</v>
      </c>
    </row>
    <row r="243" spans="1:1" x14ac:dyDescent="0.25">
      <c r="A243" t="s">
        <v>37</v>
      </c>
    </row>
    <row r="244" spans="1:1" x14ac:dyDescent="0.25">
      <c r="A244" t="s">
        <v>38</v>
      </c>
    </row>
    <row r="245" spans="1:1" x14ac:dyDescent="0.25">
      <c r="A245" t="s">
        <v>39</v>
      </c>
    </row>
    <row r="246" spans="1:1" x14ac:dyDescent="0.25">
      <c r="A246" t="s">
        <v>40</v>
      </c>
    </row>
    <row r="247" spans="1:1" x14ac:dyDescent="0.25">
      <c r="A247" t="s">
        <v>41</v>
      </c>
    </row>
    <row r="248" spans="1:1" x14ac:dyDescent="0.25">
      <c r="A248" t="s">
        <v>42</v>
      </c>
    </row>
    <row r="249" spans="1:1" x14ac:dyDescent="0.25">
      <c r="A249" t="s">
        <v>43</v>
      </c>
    </row>
    <row r="250" spans="1:1" x14ac:dyDescent="0.25">
      <c r="A250" t="s">
        <v>44</v>
      </c>
    </row>
    <row r="251" spans="1:1" x14ac:dyDescent="0.25">
      <c r="A251" t="s">
        <v>1</v>
      </c>
    </row>
    <row r="252" spans="1:1" x14ac:dyDescent="0.25">
      <c r="A252" t="s">
        <v>45</v>
      </c>
    </row>
    <row r="253" spans="1:1" x14ac:dyDescent="0.25">
      <c r="A253" t="s">
        <v>99</v>
      </c>
    </row>
    <row r="254" spans="1:1" x14ac:dyDescent="0.25">
      <c r="A254" t="s">
        <v>3</v>
      </c>
    </row>
    <row r="255" spans="1:1" x14ac:dyDescent="0.25">
      <c r="A255" t="s">
        <v>4</v>
      </c>
    </row>
    <row r="256" spans="1:1" x14ac:dyDescent="0.25">
      <c r="A256" t="s">
        <v>5</v>
      </c>
    </row>
    <row r="257" spans="1:8" x14ac:dyDescent="0.25">
      <c r="A257" t="s">
        <v>6</v>
      </c>
    </row>
    <row r="258" spans="1:8" x14ac:dyDescent="0.25">
      <c r="A258" t="s">
        <v>7</v>
      </c>
    </row>
    <row r="259" spans="1:8" x14ac:dyDescent="0.25">
      <c r="A259" t="s">
        <v>8</v>
      </c>
    </row>
    <row r="260" spans="1:8" x14ac:dyDescent="0.25">
      <c r="A260" t="s">
        <v>9</v>
      </c>
      <c r="B260" s="1" t="s">
        <v>183</v>
      </c>
      <c r="C260" s="1" t="s">
        <v>27</v>
      </c>
      <c r="D260" s="1">
        <v>55</v>
      </c>
      <c r="E260" s="1">
        <v>57</v>
      </c>
      <c r="F260" s="1">
        <v>59</v>
      </c>
      <c r="G260" s="1">
        <v>61</v>
      </c>
      <c r="H260" s="1">
        <v>63</v>
      </c>
    </row>
    <row r="261" spans="1:8" x14ac:dyDescent="0.25">
      <c r="A261" t="s">
        <v>100</v>
      </c>
      <c r="B261" t="str" cm="1">
        <f t="array" ref="B261">БУКВЫ(MID($A261,3,11))</f>
        <v>775117665</v>
      </c>
      <c r="C261">
        <f>_xlfn.LET(_xlpm.Searching,"OSFA",_xlpm.inStr,IFERROR(FIND(_xlpm.Searching,$A263)&gt;=1,FALSE),IF(AND(_xlpm.inStr,LEN(A263)&lt;=6),A264,""))</f>
        <v>20</v>
      </c>
      <c r="D261" t="str">
        <f>_xlfn.LET(_xlpm.Searching,"55",_xlpm.inStr,IFERROR(FIND(_xlpm.Searching,$A263)&gt;=1,FALSE),IF(AND(_xlpm.inStr,LEN(A263)&lt;=6),A264,""))</f>
        <v/>
      </c>
      <c r="E261" t="str">
        <f>_xlfn.LET(_xlpm.Searching,"57",_xlpm.inStr,IFERROR(FIND(_xlpm.Searching,$A263)&gt;=1,FALSE),IF(AND(_xlpm.inStr,LEN(A263)&lt;=6),$A264,""))&amp;E262</f>
        <v/>
      </c>
      <c r="F261" t="str">
        <f>_xlfn.LET(_xlpm.Searching,"59",_xlpm.inStr,IFERROR(FIND(_xlpm.Searching,$A263)&gt;=1,FALSE),IF(AND(_xlpm.inStr,LEN(A263)&lt;=6),$A264,""))&amp;F262&amp;F263</f>
        <v/>
      </c>
      <c r="G261" t="str">
        <f>_xlfn.LET(_xlpm.Searching,"61",_xlpm.inStr,IFERROR(FIND(_xlpm.Searching,$A263)&gt;=1,FALSE),IF(AND(_xlpm.inStr,LEN(A263)&lt;=6),$A264,""))&amp;G262&amp;G263&amp;G264</f>
        <v/>
      </c>
      <c r="H261" t="str">
        <f>_xlfn.LET(_xlpm.Searching,"63",_xlpm.inStr,IFERROR(FIND(_xlpm.Searching,$A263)&gt;=1,FALSE),IF(AND(_xlpm.inStr,LEN(A263)&lt;=6),$A264,""))&amp;H262&amp;H263&amp;H264&amp;H265</f>
        <v/>
      </c>
    </row>
    <row r="262" spans="1:8" x14ac:dyDescent="0.25">
      <c r="A262" t="s">
        <v>101</v>
      </c>
      <c r="B262" t="str" cm="1">
        <f t="array" ref="B262">БУКВЫ(MID($A261,3,11))</f>
        <v>775117665</v>
      </c>
      <c r="C262" s="2"/>
      <c r="D262" s="2"/>
      <c r="E262" t="str">
        <f>_xlfn.LET(_xlpm.Searching,"57",_xlpm.inStr,IFERROR(FIND(_xlpm.Searching,$A265)&gt;=1,FALSE),IF(AND(_xlpm.inStr,LEN(A265)&lt;=6),$A266,""))</f>
        <v/>
      </c>
      <c r="F262" t="str">
        <f>_xlfn.LET(_xlpm.Searching,"59",_xlpm.inStr,IFERROR(FIND(_xlpm.Searching,$A265)&gt;=1,FALSE),IF(AND(_xlpm.inStr,LEN(A265)&lt;=6),$A266,""))</f>
        <v/>
      </c>
      <c r="G262" t="str">
        <f>_xlfn.LET(_xlpm.Searching,"61",_xlpm.inStr,IFERROR(FIND(_xlpm.Searching,$A265)&gt;=1,FALSE),IF(AND(_xlpm.inStr,LEN(A265)&lt;=6),$A266,""))</f>
        <v/>
      </c>
      <c r="H262" t="str">
        <f>_xlfn.LET(_xlpm.Searching,"63",_xlpm.inStr,IFERROR(FIND(_xlpm.Searching,$A265)&gt;=1,FALSE),IF(AND(_xlpm.inStr,LEN(A265)&lt;=6),$A266,""))</f>
        <v/>
      </c>
    </row>
    <row r="263" spans="1:8" x14ac:dyDescent="0.25">
      <c r="A263" t="s">
        <v>27</v>
      </c>
      <c r="B263" t="str" cm="1">
        <f t="array" ref="B263">БУКВЫ(MID($A261,3,11))</f>
        <v>775117665</v>
      </c>
      <c r="C263" s="2"/>
      <c r="D263" s="2"/>
      <c r="E263" s="2"/>
      <c r="F263" t="str">
        <f>_xlfn.LET(_xlpm.Searching,"59",_xlpm.inStr,IFERROR(FIND(_xlpm.Searching,$A267)&gt;=1,FALSE),IF(AND(_xlpm.inStr,LEN(A267)&lt;=6),$A268,""))</f>
        <v/>
      </c>
      <c r="G263" t="str">
        <f>_xlfn.LET(_xlpm.Searching,"61",_xlpm.inStr,IFERROR(FIND(_xlpm.Searching,$A267)&gt;=1,FALSE),IF(AND(_xlpm.inStr,LEN(A267)&lt;=6),$A268,""))</f>
        <v/>
      </c>
      <c r="H263" t="str">
        <f>_xlfn.LET(_xlpm.Searching,"63",_xlpm.inStr,IFERROR(FIND(_xlpm.Searching,$A267)&gt;=1,FALSE),IF(AND(_xlpm.inStr,LEN(A267)&lt;=6),$A268,""))</f>
        <v/>
      </c>
    </row>
    <row r="264" spans="1:8" x14ac:dyDescent="0.25">
      <c r="A264">
        <v>20</v>
      </c>
      <c r="B264" t="str" cm="1">
        <f t="array" ref="B264">БУКВЫ(MID($A261,3,11))</f>
        <v>775117665</v>
      </c>
      <c r="C264" s="2"/>
      <c r="D264" s="2"/>
      <c r="E264" s="2"/>
      <c r="F264" s="2"/>
      <c r="G264" t="str">
        <f>_xlfn.LET(_xlpm.Searching,"61",_xlpm.inStr,IFERROR(FIND(_xlpm.Searching,$A269)&gt;=1,FALSE),IF(AND(_xlpm.inStr,LEN(A269)&lt;=6),$A270,""))</f>
        <v/>
      </c>
      <c r="H264" t="str">
        <f>_xlfn.LET(_xlpm.Searching,"63",_xlpm.inStr,IFERROR(FIND(_xlpm.Searching,$A269)&gt;=1,FALSE),IF(AND(_xlpm.inStr,LEN(A269)&lt;=6),$A270,""))</f>
        <v/>
      </c>
    </row>
    <row r="265" spans="1:8" x14ac:dyDescent="0.25">
      <c r="A265" t="s">
        <v>28</v>
      </c>
      <c r="B265" t="str" cm="1">
        <f t="array" ref="B265">БУКВЫ(MID($A261,3,11))</f>
        <v>775117665</v>
      </c>
      <c r="C265" s="2"/>
      <c r="D265" s="2"/>
      <c r="E265" s="2"/>
      <c r="F265" s="2"/>
      <c r="G265" s="2"/>
      <c r="H265" t="str">
        <f>_xlfn.LET(_xlpm.Searching,"63",_xlpm.inStr,IFERROR(FIND(_xlpm.Searching,$A271)&gt;=1,FALSE),IF(AND(_xlpm.inStr,LEN(A271)&lt;=6),$A272,""))</f>
        <v/>
      </c>
    </row>
    <row r="266" spans="1:8" x14ac:dyDescent="0.25">
      <c r="A266" t="s">
        <v>92</v>
      </c>
    </row>
    <row r="267" spans="1:8" x14ac:dyDescent="0.25">
      <c r="A267" t="s">
        <v>93</v>
      </c>
      <c r="B267" s="1" t="s">
        <v>183</v>
      </c>
      <c r="C267" s="1" t="s">
        <v>27</v>
      </c>
      <c r="D267" s="1">
        <v>55</v>
      </c>
      <c r="E267" s="1">
        <v>57</v>
      </c>
      <c r="F267" s="1">
        <v>59</v>
      </c>
      <c r="G267" s="1">
        <v>61</v>
      </c>
      <c r="H267" s="1">
        <v>63</v>
      </c>
    </row>
    <row r="268" spans="1:8" x14ac:dyDescent="0.25">
      <c r="A268" t="s">
        <v>102</v>
      </c>
      <c r="B268" t="str" cm="1">
        <f t="array" ref="B268">БУКВЫ(MID($A268,3,11))</f>
        <v>21385047</v>
      </c>
      <c r="C268" t="str">
        <f>_xlfn.LET(_xlpm.Searching,"OSFA",_xlpm.inStr,IFERROR(FIND(_xlpm.Searching,$A270)&gt;=1,FALSE),IF(AND(_xlpm.inStr,LEN(A270)&lt;=6),A271,""))</f>
        <v/>
      </c>
      <c r="D268">
        <f>_xlfn.LET(_xlpm.Searching,"55",_xlpm.inStr,IFERROR(FIND(_xlpm.Searching,$A270)&gt;=1,FALSE),IF(AND(_xlpm.inStr,LEN(A270)&lt;=6),A271,""))</f>
        <v>1</v>
      </c>
      <c r="E268" t="str">
        <f>_xlfn.LET(_xlpm.Searching,"57",_xlpm.inStr,IFERROR(FIND(_xlpm.Searching,$A270)&gt;=1,FALSE),IF(AND(_xlpm.inStr,LEN(A270)&lt;=6),$A271,""))&amp;E269</f>
        <v>3</v>
      </c>
      <c r="F268" t="str">
        <f>_xlfn.LET(_xlpm.Searching,"59",_xlpm.inStr,IFERROR(FIND(_xlpm.Searching,$A270)&gt;=1,FALSE),IF(AND(_xlpm.inStr,LEN(A270)&lt;=6),$A271,""))&amp;F269&amp;F270</f>
        <v>4</v>
      </c>
      <c r="G268" t="str">
        <f>_xlfn.LET(_xlpm.Searching,"61",_xlpm.inStr,IFERROR(FIND(_xlpm.Searching,$A270)&gt;=1,FALSE),IF(AND(_xlpm.inStr,LEN(A270)&lt;=6),$A271,""))&amp;G269&amp;G270&amp;G271</f>
        <v>1</v>
      </c>
      <c r="H268" t="str">
        <f>_xlfn.LET(_xlpm.Searching,"63",_xlpm.inStr,IFERROR(FIND(_xlpm.Searching,$A270)&gt;=1,FALSE),IF(AND(_xlpm.inStr,LEN(A270)&lt;=6),$A271,""))&amp;H269&amp;H270&amp;H271&amp;H272</f>
        <v/>
      </c>
    </row>
    <row r="269" spans="1:8" x14ac:dyDescent="0.25">
      <c r="A269" t="s">
        <v>103</v>
      </c>
      <c r="B269" t="str" cm="1">
        <f t="array" ref="B269">БУКВЫ(MID($A268,3,11))</f>
        <v>21385047</v>
      </c>
      <c r="C269" s="2"/>
      <c r="D269" s="2"/>
      <c r="E269">
        <f>_xlfn.LET(_xlpm.Searching,"57",_xlpm.inStr,IFERROR(FIND(_xlpm.Searching,$A272)&gt;=1,FALSE),IF(AND(_xlpm.inStr,LEN(A272)&lt;=6),$A273,""))</f>
        <v>3</v>
      </c>
      <c r="F269" t="str">
        <f>_xlfn.LET(_xlpm.Searching,"59",_xlpm.inStr,IFERROR(FIND(_xlpm.Searching,$A272)&gt;=1,FALSE),IF(AND(_xlpm.inStr,LEN(A272)&lt;=6),$A273,""))</f>
        <v/>
      </c>
      <c r="G269" t="str">
        <f>_xlfn.LET(_xlpm.Searching,"61",_xlpm.inStr,IFERROR(FIND(_xlpm.Searching,$A272)&gt;=1,FALSE),IF(AND(_xlpm.inStr,LEN(A272)&lt;=6),$A273,""))</f>
        <v/>
      </c>
      <c r="H269" t="str">
        <f>_xlfn.LET(_xlpm.Searching,"63",_xlpm.inStr,IFERROR(FIND(_xlpm.Searching,$A272)&gt;=1,FALSE),IF(AND(_xlpm.inStr,LEN(A272)&lt;=6),$A273,""))</f>
        <v/>
      </c>
    </row>
    <row r="270" spans="1:8" x14ac:dyDescent="0.25">
      <c r="A270" t="s">
        <v>19</v>
      </c>
      <c r="B270" t="str" cm="1">
        <f t="array" ref="B270">БУКВЫ(MID($A268,3,11))</f>
        <v>21385047</v>
      </c>
      <c r="C270" s="2"/>
      <c r="D270" s="2"/>
      <c r="E270" s="2"/>
      <c r="F270">
        <f>_xlfn.LET(_xlpm.Searching,"59",_xlpm.inStr,IFERROR(FIND(_xlpm.Searching,$A274)&gt;=1,FALSE),IF(AND(_xlpm.inStr,LEN(A274)&lt;=6),$A275,""))</f>
        <v>4</v>
      </c>
      <c r="G270" t="str">
        <f>_xlfn.LET(_xlpm.Searching,"61",_xlpm.inStr,IFERROR(FIND(_xlpm.Searching,$A274)&gt;=1,FALSE),IF(AND(_xlpm.inStr,LEN(A274)&lt;=6),$A275,""))</f>
        <v/>
      </c>
      <c r="H270" t="str">
        <f>_xlfn.LET(_xlpm.Searching,"63",_xlpm.inStr,IFERROR(FIND(_xlpm.Searching,$A274)&gt;=1,FALSE),IF(AND(_xlpm.inStr,LEN(A274)&lt;=6),$A275,""))</f>
        <v/>
      </c>
    </row>
    <row r="271" spans="1:8" x14ac:dyDescent="0.25">
      <c r="A271">
        <v>1</v>
      </c>
      <c r="B271" t="str" cm="1">
        <f t="array" ref="B271">БУКВЫ(MID($A268,3,11))</f>
        <v>21385047</v>
      </c>
      <c r="C271" s="2"/>
      <c r="D271" s="2"/>
      <c r="E271" s="2"/>
      <c r="F271" s="2"/>
      <c r="G271">
        <f>_xlfn.LET(_xlpm.Searching,"61",_xlpm.inStr,IFERROR(FIND(_xlpm.Searching,$A276)&gt;=1,FALSE),IF(AND(_xlpm.inStr,LEN(A276)&lt;=6),$A277,""))</f>
        <v>1</v>
      </c>
      <c r="H271" t="str">
        <f>_xlfn.LET(_xlpm.Searching,"63",_xlpm.inStr,IFERROR(FIND(_xlpm.Searching,$A276)&gt;=1,FALSE),IF(AND(_xlpm.inStr,LEN(A276)&lt;=6),$A277,""))</f>
        <v/>
      </c>
    </row>
    <row r="272" spans="1:8" x14ac:dyDescent="0.25">
      <c r="A272" t="s">
        <v>20</v>
      </c>
      <c r="B272" t="str" cm="1">
        <f t="array" ref="B272">БУКВЫ(MID($A268,3,11))</f>
        <v>21385047</v>
      </c>
      <c r="C272" s="2"/>
      <c r="D272" s="2"/>
      <c r="E272" s="2"/>
      <c r="F272" s="2"/>
      <c r="G272" s="2"/>
      <c r="H272" t="str">
        <f>_xlfn.LET(_xlpm.Searching,"63",_xlpm.inStr,IFERROR(FIND(_xlpm.Searching,$A278)&gt;=1,FALSE),IF(AND(_xlpm.inStr,LEN(A278)&lt;=6),$A279,""))</f>
        <v/>
      </c>
    </row>
    <row r="273" spans="1:8" x14ac:dyDescent="0.25">
      <c r="A273">
        <v>3</v>
      </c>
    </row>
    <row r="274" spans="1:8" x14ac:dyDescent="0.25">
      <c r="A274" t="s">
        <v>12</v>
      </c>
    </row>
    <row r="275" spans="1:8" x14ac:dyDescent="0.25">
      <c r="A275">
        <v>4</v>
      </c>
    </row>
    <row r="276" spans="1:8" x14ac:dyDescent="0.25">
      <c r="A276" t="s">
        <v>13</v>
      </c>
    </row>
    <row r="277" spans="1:8" x14ac:dyDescent="0.25">
      <c r="A277">
        <v>1</v>
      </c>
    </row>
    <row r="278" spans="1:8" x14ac:dyDescent="0.25">
      <c r="A278" t="s">
        <v>104</v>
      </c>
    </row>
    <row r="279" spans="1:8" x14ac:dyDescent="0.25">
      <c r="A279" t="s">
        <v>105</v>
      </c>
    </row>
    <row r="280" spans="1:8" x14ac:dyDescent="0.25">
      <c r="A280" t="s">
        <v>106</v>
      </c>
      <c r="B280" s="1" t="s">
        <v>183</v>
      </c>
      <c r="C280" s="1" t="s">
        <v>27</v>
      </c>
      <c r="D280" s="1">
        <v>55</v>
      </c>
      <c r="E280" s="1">
        <v>57</v>
      </c>
      <c r="F280" s="1">
        <v>59</v>
      </c>
      <c r="G280" s="1">
        <v>61</v>
      </c>
      <c r="H280" s="1">
        <v>63</v>
      </c>
    </row>
    <row r="281" spans="1:8" x14ac:dyDescent="0.25">
      <c r="A281" t="s">
        <v>107</v>
      </c>
      <c r="B281" t="str" cm="1">
        <f t="array" ref="B281">БУКВЫ(MID($A281,3,11))</f>
        <v>775117884</v>
      </c>
      <c r="C281">
        <f>_xlfn.LET(_xlpm.Searching,"OSFA",_xlpm.inStr,IFERROR(FIND(_xlpm.Searching,$A283)&gt;=1,FALSE),IF(AND(_xlpm.inStr,LEN(A283)&lt;=6),A284,""))</f>
        <v>55</v>
      </c>
      <c r="D281" t="str">
        <f>_xlfn.LET(_xlpm.Searching,"55",_xlpm.inStr,IFERROR(FIND(_xlpm.Searching,$A283)&gt;=1,FALSE),IF(AND(_xlpm.inStr,LEN(A283)&lt;=6),A284,""))</f>
        <v/>
      </c>
      <c r="E281" t="str">
        <f>_xlfn.LET(_xlpm.Searching,"57",_xlpm.inStr,IFERROR(FIND(_xlpm.Searching,$A283)&gt;=1,FALSE),IF(AND(_xlpm.inStr,LEN(A283)&lt;=6),$A284,""))&amp;E282</f>
        <v/>
      </c>
      <c r="F281" t="str">
        <f>_xlfn.LET(_xlpm.Searching,"59",_xlpm.inStr,IFERROR(FIND(_xlpm.Searching,$A283)&gt;=1,FALSE),IF(AND(_xlpm.inStr,LEN(A283)&lt;=6),$A284,""))&amp;F282&amp;F283</f>
        <v/>
      </c>
      <c r="G281" t="str">
        <f>_xlfn.LET(_xlpm.Searching,"61",_xlpm.inStr,IFERROR(FIND(_xlpm.Searching,$A283)&gt;=1,FALSE),IF(AND(_xlpm.inStr,LEN(A283)&lt;=6),$A284,""))&amp;G282&amp;G283&amp;G284</f>
        <v/>
      </c>
      <c r="H281" t="str">
        <f>_xlfn.LET(_xlpm.Searching,"63",_xlpm.inStr,IFERROR(FIND(_xlpm.Searching,$A283)&gt;=1,FALSE),IF(AND(_xlpm.inStr,LEN(A283)&lt;=6),$A284,""))&amp;H282&amp;H283&amp;H284&amp;H285</f>
        <v/>
      </c>
    </row>
    <row r="282" spans="1:8" x14ac:dyDescent="0.25">
      <c r="A282" t="s">
        <v>108</v>
      </c>
      <c r="B282" t="str" cm="1">
        <f t="array" ref="B282">БУКВЫ(MID($A281,3,11))</f>
        <v>775117884</v>
      </c>
      <c r="C282" s="2"/>
      <c r="D282" s="2"/>
      <c r="E282" t="str">
        <f>_xlfn.LET(_xlpm.Searching,"57",_xlpm.inStr,IFERROR(FIND(_xlpm.Searching,$A285)&gt;=1,FALSE),IF(AND(_xlpm.inStr,LEN(A285)&lt;=6),$A286,""))</f>
        <v/>
      </c>
      <c r="F282" t="str">
        <f>_xlfn.LET(_xlpm.Searching,"59",_xlpm.inStr,IFERROR(FIND(_xlpm.Searching,$A285)&gt;=1,FALSE),IF(AND(_xlpm.inStr,LEN(A285)&lt;=6),$A286,""))</f>
        <v/>
      </c>
      <c r="G282" t="str">
        <f>_xlfn.LET(_xlpm.Searching,"61",_xlpm.inStr,IFERROR(FIND(_xlpm.Searching,$A285)&gt;=1,FALSE),IF(AND(_xlpm.inStr,LEN(A285)&lt;=6),$A286,""))</f>
        <v/>
      </c>
      <c r="H282" t="str">
        <f>_xlfn.LET(_xlpm.Searching,"63",_xlpm.inStr,IFERROR(FIND(_xlpm.Searching,$A285)&gt;=1,FALSE),IF(AND(_xlpm.inStr,LEN(A285)&lt;=6),$A286,""))</f>
        <v/>
      </c>
    </row>
    <row r="283" spans="1:8" x14ac:dyDescent="0.25">
      <c r="A283" t="s">
        <v>27</v>
      </c>
      <c r="B283" t="str" cm="1">
        <f t="array" ref="B283">БУКВЫ(MID($A281,3,11))</f>
        <v>775117884</v>
      </c>
      <c r="C283" s="2"/>
      <c r="D283" s="2"/>
      <c r="E283" s="2"/>
      <c r="F283" t="str">
        <f>_xlfn.LET(_xlpm.Searching,"59",_xlpm.inStr,IFERROR(FIND(_xlpm.Searching,$A287)&gt;=1,FALSE),IF(AND(_xlpm.inStr,LEN(A287)&lt;=6),$A288,""))</f>
        <v/>
      </c>
      <c r="G283" t="str">
        <f>_xlfn.LET(_xlpm.Searching,"61",_xlpm.inStr,IFERROR(FIND(_xlpm.Searching,$A287)&gt;=1,FALSE),IF(AND(_xlpm.inStr,LEN(A287)&lt;=6),$A288,""))</f>
        <v/>
      </c>
      <c r="H283" t="str">
        <f>_xlfn.LET(_xlpm.Searching,"63",_xlpm.inStr,IFERROR(FIND(_xlpm.Searching,$A287)&gt;=1,FALSE),IF(AND(_xlpm.inStr,LEN(A287)&lt;=6),$A288,""))</f>
        <v/>
      </c>
    </row>
    <row r="284" spans="1:8" x14ac:dyDescent="0.25">
      <c r="A284">
        <v>55</v>
      </c>
      <c r="B284" t="str" cm="1">
        <f t="array" ref="B284">БУКВЫ(MID($A281,3,11))</f>
        <v>775117884</v>
      </c>
      <c r="C284" s="2"/>
      <c r="D284" s="2"/>
      <c r="E284" s="2"/>
      <c r="F284" s="2"/>
      <c r="G284" t="str">
        <f>_xlfn.LET(_xlpm.Searching,"61",_xlpm.inStr,IFERROR(FIND(_xlpm.Searching,$A289)&gt;=1,FALSE),IF(AND(_xlpm.inStr,LEN(A289)&lt;=6),$A290,""))</f>
        <v/>
      </c>
      <c r="H284" t="str">
        <f>_xlfn.LET(_xlpm.Searching,"63",_xlpm.inStr,IFERROR(FIND(_xlpm.Searching,$A289)&gt;=1,FALSE),IF(AND(_xlpm.inStr,LEN(A289)&lt;=6),$A290,""))</f>
        <v/>
      </c>
    </row>
    <row r="285" spans="1:8" x14ac:dyDescent="0.25">
      <c r="A285" t="s">
        <v>28</v>
      </c>
      <c r="B285" t="str" cm="1">
        <f t="array" ref="B285">БУКВЫ(MID($A281,3,11))</f>
        <v>775117884</v>
      </c>
      <c r="C285" s="2"/>
      <c r="D285" s="2"/>
      <c r="E285" s="2"/>
      <c r="F285" s="2"/>
      <c r="G285" s="2"/>
      <c r="H285" t="str">
        <f>_xlfn.LET(_xlpm.Searching,"63",_xlpm.inStr,IFERROR(FIND(_xlpm.Searching,$A291)&gt;=1,FALSE),IF(AND(_xlpm.inStr,LEN(A291)&lt;=6),$A292,""))</f>
        <v/>
      </c>
    </row>
    <row r="286" spans="1:8" x14ac:dyDescent="0.25">
      <c r="A286" t="s">
        <v>109</v>
      </c>
    </row>
    <row r="287" spans="1:8" x14ac:dyDescent="0.25">
      <c r="A287" t="s">
        <v>110</v>
      </c>
      <c r="B287" s="1" t="s">
        <v>183</v>
      </c>
      <c r="C287" s="1" t="s">
        <v>27</v>
      </c>
      <c r="D287" s="1">
        <v>55</v>
      </c>
      <c r="E287" s="1">
        <v>57</v>
      </c>
      <c r="F287" s="1">
        <v>59</v>
      </c>
      <c r="G287" s="1">
        <v>61</v>
      </c>
      <c r="H287" s="1">
        <v>63</v>
      </c>
    </row>
    <row r="288" spans="1:8" x14ac:dyDescent="0.25">
      <c r="A288" t="s">
        <v>111</v>
      </c>
      <c r="B288" t="str" cm="1">
        <f t="array" ref="B288">БУКВЫ(MID($A288,3,11))</f>
        <v>775118522</v>
      </c>
      <c r="C288">
        <f>_xlfn.LET(_xlpm.Searching,"OSFA",_xlpm.inStr,IFERROR(FIND(_xlpm.Searching,$A290)&gt;=1,FALSE),IF(AND(_xlpm.inStr,LEN(A290)&lt;=6),A291,""))</f>
        <v>90</v>
      </c>
      <c r="D288" t="str">
        <f>_xlfn.LET(_xlpm.Searching,"55",_xlpm.inStr,IFERROR(FIND(_xlpm.Searching,$A290)&gt;=1,FALSE),IF(AND(_xlpm.inStr,LEN(A290)&lt;=6),A291,""))</f>
        <v/>
      </c>
      <c r="E288" t="str">
        <f>_xlfn.LET(_xlpm.Searching,"57",_xlpm.inStr,IFERROR(FIND(_xlpm.Searching,$A290)&gt;=1,FALSE),IF(AND(_xlpm.inStr,LEN(A290)&lt;=6),$A291,""))&amp;E289</f>
        <v/>
      </c>
      <c r="F288" t="str">
        <f>_xlfn.LET(_xlpm.Searching,"59",_xlpm.inStr,IFERROR(FIND(_xlpm.Searching,$A290)&gt;=1,FALSE),IF(AND(_xlpm.inStr,LEN(A290)&lt;=6),$A291,""))&amp;F289&amp;F290</f>
        <v/>
      </c>
      <c r="G288" t="str">
        <f>_xlfn.LET(_xlpm.Searching,"61",_xlpm.inStr,IFERROR(FIND(_xlpm.Searching,$A290)&gt;=1,FALSE),IF(AND(_xlpm.inStr,LEN(A290)&lt;=6),$A291,""))&amp;G289&amp;G290&amp;G291</f>
        <v/>
      </c>
      <c r="H288" t="str">
        <f>_xlfn.LET(_xlpm.Searching,"63",_xlpm.inStr,IFERROR(FIND(_xlpm.Searching,$A290)&gt;=1,FALSE),IF(AND(_xlpm.inStr,LEN(A290)&lt;=6),$A291,""))&amp;H289&amp;H290&amp;H291&amp;H292</f>
        <v/>
      </c>
    </row>
    <row r="289" spans="1:8" x14ac:dyDescent="0.25">
      <c r="A289" t="s">
        <v>112</v>
      </c>
      <c r="B289" t="str" cm="1">
        <f t="array" ref="B289">БУКВЫ(MID($A288,3,11))</f>
        <v>775118522</v>
      </c>
      <c r="C289" s="2"/>
      <c r="D289" s="2"/>
      <c r="E289" t="str">
        <f>_xlfn.LET(_xlpm.Searching,"57",_xlpm.inStr,IFERROR(FIND(_xlpm.Searching,$A292)&gt;=1,FALSE),IF(AND(_xlpm.inStr,LEN(A292)&lt;=6),$A293,""))</f>
        <v/>
      </c>
      <c r="F289" t="str">
        <f>_xlfn.LET(_xlpm.Searching,"59",_xlpm.inStr,IFERROR(FIND(_xlpm.Searching,$A292)&gt;=1,FALSE),IF(AND(_xlpm.inStr,LEN(A292)&lt;=6),$A293,""))</f>
        <v/>
      </c>
      <c r="G289" t="str">
        <f>_xlfn.LET(_xlpm.Searching,"61",_xlpm.inStr,IFERROR(FIND(_xlpm.Searching,$A292)&gt;=1,FALSE),IF(AND(_xlpm.inStr,LEN(A292)&lt;=6),$A293,""))</f>
        <v/>
      </c>
      <c r="H289" t="str">
        <f>_xlfn.LET(_xlpm.Searching,"63",_xlpm.inStr,IFERROR(FIND(_xlpm.Searching,$A292)&gt;=1,FALSE),IF(AND(_xlpm.inStr,LEN(A292)&lt;=6),$A293,""))</f>
        <v/>
      </c>
    </row>
    <row r="290" spans="1:8" x14ac:dyDescent="0.25">
      <c r="A290" t="s">
        <v>27</v>
      </c>
      <c r="B290" t="str" cm="1">
        <f t="array" ref="B290">БУКВЫ(MID($A288,3,11))</f>
        <v>775118522</v>
      </c>
      <c r="C290" s="2"/>
      <c r="D290" s="2"/>
      <c r="E290" s="2"/>
      <c r="F290" t="str">
        <f>_xlfn.LET(_xlpm.Searching,"59",_xlpm.inStr,IFERROR(FIND(_xlpm.Searching,$A294)&gt;=1,FALSE),IF(AND(_xlpm.inStr,LEN(A294)&lt;=6),$A295,""))</f>
        <v/>
      </c>
      <c r="G290" t="str">
        <f>_xlfn.LET(_xlpm.Searching,"61",_xlpm.inStr,IFERROR(FIND(_xlpm.Searching,$A294)&gt;=1,FALSE),IF(AND(_xlpm.inStr,LEN(A294)&lt;=6),$A295,""))</f>
        <v/>
      </c>
      <c r="H290" t="str">
        <f>_xlfn.LET(_xlpm.Searching,"63",_xlpm.inStr,IFERROR(FIND(_xlpm.Searching,$A294)&gt;=1,FALSE),IF(AND(_xlpm.inStr,LEN(A294)&lt;=6),$A295,""))</f>
        <v/>
      </c>
    </row>
    <row r="291" spans="1:8" x14ac:dyDescent="0.25">
      <c r="A291">
        <v>90</v>
      </c>
      <c r="B291" t="str" cm="1">
        <f t="array" ref="B291">БУКВЫ(MID($A288,3,11))</f>
        <v>775118522</v>
      </c>
      <c r="C291" s="2"/>
      <c r="D291" s="2"/>
      <c r="E291" s="2"/>
      <c r="F291" s="2"/>
      <c r="G291" t="str">
        <f>_xlfn.LET(_xlpm.Searching,"61",_xlpm.inStr,IFERROR(FIND(_xlpm.Searching,$A296)&gt;=1,FALSE),IF(AND(_xlpm.inStr,LEN(A296)&lt;=6),$A297,""))</f>
        <v/>
      </c>
      <c r="H291" t="str">
        <f>_xlfn.LET(_xlpm.Searching,"63",_xlpm.inStr,IFERROR(FIND(_xlpm.Searching,$A296)&gt;=1,FALSE),IF(AND(_xlpm.inStr,LEN(A296)&lt;=6),$A297,""))</f>
        <v/>
      </c>
    </row>
    <row r="292" spans="1:8" x14ac:dyDescent="0.25">
      <c r="A292" t="s">
        <v>28</v>
      </c>
      <c r="B292" t="str" cm="1">
        <f t="array" ref="B292">БУКВЫ(MID($A288,3,11))</f>
        <v>775118522</v>
      </c>
      <c r="C292" s="2"/>
      <c r="D292" s="2"/>
      <c r="E292" s="2"/>
      <c r="F292" s="2"/>
      <c r="G292" s="2"/>
      <c r="H292" t="str">
        <f>_xlfn.LET(_xlpm.Searching,"63",_xlpm.inStr,IFERROR(FIND(_xlpm.Searching,$A298)&gt;=1,FALSE),IF(AND(_xlpm.inStr,LEN(A298)&lt;=6),$A299,""))</f>
        <v/>
      </c>
    </row>
    <row r="293" spans="1:8" x14ac:dyDescent="0.25">
      <c r="A293" t="s">
        <v>113</v>
      </c>
    </row>
    <row r="294" spans="1:8" x14ac:dyDescent="0.25">
      <c r="A294" t="s">
        <v>114</v>
      </c>
      <c r="B294" s="1" t="s">
        <v>183</v>
      </c>
      <c r="C294" s="1" t="s">
        <v>27</v>
      </c>
      <c r="D294" s="1">
        <v>55</v>
      </c>
      <c r="E294" s="1">
        <v>57</v>
      </c>
      <c r="F294" s="1">
        <v>59</v>
      </c>
      <c r="G294" s="1">
        <v>61</v>
      </c>
      <c r="H294" s="1">
        <v>63</v>
      </c>
    </row>
    <row r="295" spans="1:8" x14ac:dyDescent="0.25">
      <c r="A295" t="s">
        <v>115</v>
      </c>
      <c r="B295" t="str" cm="1">
        <f t="array" ref="B295">БУКВЫ(MID($A295,3,11))</f>
        <v>775118667</v>
      </c>
      <c r="C295">
        <f>_xlfn.LET(_xlpm.Searching,"OSFA",_xlpm.inStr,IFERROR(FIND(_xlpm.Searching,$A297)&gt;=1,FALSE),IF(AND(_xlpm.inStr,LEN(A297)&lt;=6),A298,""))</f>
        <v>130</v>
      </c>
      <c r="D295" t="str">
        <f>_xlfn.LET(_xlpm.Searching,"55",_xlpm.inStr,IFERROR(FIND(_xlpm.Searching,$A297)&gt;=1,FALSE),IF(AND(_xlpm.inStr,LEN(A297)&lt;=6),A298,""))</f>
        <v/>
      </c>
      <c r="E295" t="str">
        <f>_xlfn.LET(_xlpm.Searching,"57",_xlpm.inStr,IFERROR(FIND(_xlpm.Searching,$A297)&gt;=1,FALSE),IF(AND(_xlpm.inStr,LEN(A297)&lt;=6),$A298,""))&amp;E296</f>
        <v/>
      </c>
      <c r="F295" t="str">
        <f>_xlfn.LET(_xlpm.Searching,"59",_xlpm.inStr,IFERROR(FIND(_xlpm.Searching,$A297)&gt;=1,FALSE),IF(AND(_xlpm.inStr,LEN(A297)&lt;=6),$A298,""))&amp;F296&amp;F297</f>
        <v/>
      </c>
      <c r="G295" t="str">
        <f>_xlfn.LET(_xlpm.Searching,"61",_xlpm.inStr,IFERROR(FIND(_xlpm.Searching,$A297)&gt;=1,FALSE),IF(AND(_xlpm.inStr,LEN(A297)&lt;=6),$A298,""))&amp;G296&amp;G297&amp;G298</f>
        <v/>
      </c>
      <c r="H295" t="str">
        <f>_xlfn.LET(_xlpm.Searching,"63",_xlpm.inStr,IFERROR(FIND(_xlpm.Searching,$A297)&gt;=1,FALSE),IF(AND(_xlpm.inStr,LEN(A297)&lt;=6),$A298,""))&amp;H296&amp;H297&amp;H298&amp;H299</f>
        <v/>
      </c>
    </row>
    <row r="296" spans="1:8" x14ac:dyDescent="0.25">
      <c r="A296" t="s">
        <v>116</v>
      </c>
      <c r="B296" t="str" cm="1">
        <f t="array" ref="B296">БУКВЫ(MID($A295,3,11))</f>
        <v>775118667</v>
      </c>
      <c r="C296" s="2"/>
      <c r="D296" s="2"/>
      <c r="E296" t="str">
        <f>_xlfn.LET(_xlpm.Searching,"57",_xlpm.inStr,IFERROR(FIND(_xlpm.Searching,$A299)&gt;=1,FALSE),IF(AND(_xlpm.inStr,LEN(A299)&lt;=6),$A300,""))</f>
        <v/>
      </c>
      <c r="F296" t="str">
        <f>_xlfn.LET(_xlpm.Searching,"59",_xlpm.inStr,IFERROR(FIND(_xlpm.Searching,$A299)&gt;=1,FALSE),IF(AND(_xlpm.inStr,LEN(A299)&lt;=6),$A300,""))</f>
        <v/>
      </c>
      <c r="G296" t="str">
        <f>_xlfn.LET(_xlpm.Searching,"61",_xlpm.inStr,IFERROR(FIND(_xlpm.Searching,$A299)&gt;=1,FALSE),IF(AND(_xlpm.inStr,LEN(A299)&lt;=6),$A300,""))</f>
        <v/>
      </c>
      <c r="H296" t="str">
        <f>_xlfn.LET(_xlpm.Searching,"63",_xlpm.inStr,IFERROR(FIND(_xlpm.Searching,$A299)&gt;=1,FALSE),IF(AND(_xlpm.inStr,LEN(A299)&lt;=6),$A300,""))</f>
        <v/>
      </c>
    </row>
    <row r="297" spans="1:8" x14ac:dyDescent="0.25">
      <c r="A297" t="s">
        <v>27</v>
      </c>
      <c r="B297" t="str" cm="1">
        <f t="array" ref="B297">БУКВЫ(MID($A295,3,11))</f>
        <v>775118667</v>
      </c>
      <c r="C297" s="2"/>
      <c r="D297" s="2"/>
      <c r="E297" s="2"/>
      <c r="F297" t="str">
        <f>_xlfn.LET(_xlpm.Searching,"59",_xlpm.inStr,IFERROR(FIND(_xlpm.Searching,$A301)&gt;=1,FALSE),IF(AND(_xlpm.inStr,LEN(A301)&lt;=6),$A302,""))</f>
        <v/>
      </c>
      <c r="G297" t="str">
        <f>_xlfn.LET(_xlpm.Searching,"61",_xlpm.inStr,IFERROR(FIND(_xlpm.Searching,$A301)&gt;=1,FALSE),IF(AND(_xlpm.inStr,LEN(A301)&lt;=6),$A302,""))</f>
        <v/>
      </c>
      <c r="H297" t="str">
        <f>_xlfn.LET(_xlpm.Searching,"63",_xlpm.inStr,IFERROR(FIND(_xlpm.Searching,$A301)&gt;=1,FALSE),IF(AND(_xlpm.inStr,LEN(A301)&lt;=6),$A302,""))</f>
        <v/>
      </c>
    </row>
    <row r="298" spans="1:8" x14ac:dyDescent="0.25">
      <c r="A298">
        <v>130</v>
      </c>
      <c r="B298" t="str" cm="1">
        <f t="array" ref="B298">БУКВЫ(MID($A295,3,11))</f>
        <v>775118667</v>
      </c>
      <c r="C298" s="2"/>
      <c r="D298" s="2"/>
      <c r="E298" s="2"/>
      <c r="F298" s="2"/>
      <c r="G298" t="str">
        <f>_xlfn.LET(_xlpm.Searching,"61",_xlpm.inStr,IFERROR(FIND(_xlpm.Searching,$A303)&gt;=1,FALSE),IF(AND(_xlpm.inStr,LEN(A303)&lt;=6),$A304,""))</f>
        <v/>
      </c>
      <c r="H298" t="str">
        <f>_xlfn.LET(_xlpm.Searching,"63",_xlpm.inStr,IFERROR(FIND(_xlpm.Searching,$A303)&gt;=1,FALSE),IF(AND(_xlpm.inStr,LEN(A303)&lt;=6),$A304,""))</f>
        <v/>
      </c>
    </row>
    <row r="299" spans="1:8" x14ac:dyDescent="0.25">
      <c r="A299" t="s">
        <v>28</v>
      </c>
      <c r="B299" t="str" cm="1">
        <f t="array" ref="B299">БУКВЫ(MID($A295,3,11))</f>
        <v>775118667</v>
      </c>
      <c r="C299" s="2"/>
      <c r="D299" s="2"/>
      <c r="E299" s="2"/>
      <c r="F299" s="2"/>
      <c r="G299" s="2"/>
      <c r="H299" t="str">
        <f>_xlfn.LET(_xlpm.Searching,"63",_xlpm.inStr,IFERROR(FIND(_xlpm.Searching,$A305)&gt;=1,FALSE),IF(AND(_xlpm.inStr,LEN(A305)&lt;=6),$A306,""))</f>
        <v/>
      </c>
    </row>
    <row r="300" spans="1:8" x14ac:dyDescent="0.25">
      <c r="A300" t="s">
        <v>81</v>
      </c>
    </row>
    <row r="301" spans="1:8" x14ac:dyDescent="0.25">
      <c r="A301" t="s">
        <v>82</v>
      </c>
      <c r="B301" s="1" t="s">
        <v>183</v>
      </c>
      <c r="C301" s="1" t="s">
        <v>27</v>
      </c>
      <c r="D301" s="1">
        <v>55</v>
      </c>
      <c r="E301" s="1">
        <v>57</v>
      </c>
      <c r="F301" s="1">
        <v>59</v>
      </c>
      <c r="G301" s="1">
        <v>61</v>
      </c>
      <c r="H301" s="1">
        <v>63</v>
      </c>
    </row>
    <row r="302" spans="1:8" x14ac:dyDescent="0.25">
      <c r="A302" t="s">
        <v>117</v>
      </c>
      <c r="B302" t="str" cm="1">
        <f t="array" ref="B302">БУКВЫ(MID($A302,3,11))</f>
        <v>775118989</v>
      </c>
      <c r="C302">
        <f>_xlfn.LET(_xlpm.Searching,"OSFA",_xlpm.inStr,IFERROR(FIND(_xlpm.Searching,$A304)&gt;=1,FALSE),IF(AND(_xlpm.inStr,LEN(A304)&lt;=6),A305,""))</f>
        <v>130</v>
      </c>
      <c r="D302" t="str">
        <f>_xlfn.LET(_xlpm.Searching,"55",_xlpm.inStr,IFERROR(FIND(_xlpm.Searching,$A304)&gt;=1,FALSE),IF(AND(_xlpm.inStr,LEN(A304)&lt;=6),A305,""))</f>
        <v/>
      </c>
      <c r="E302" t="str">
        <f>_xlfn.LET(_xlpm.Searching,"57",_xlpm.inStr,IFERROR(FIND(_xlpm.Searching,$A304)&gt;=1,FALSE),IF(AND(_xlpm.inStr,LEN(A304)&lt;=6),$A305,""))&amp;E303</f>
        <v/>
      </c>
      <c r="F302" t="str">
        <f>_xlfn.LET(_xlpm.Searching,"59",_xlpm.inStr,IFERROR(FIND(_xlpm.Searching,$A304)&gt;=1,FALSE),IF(AND(_xlpm.inStr,LEN(A304)&lt;=6),$A305,""))&amp;F303&amp;F304</f>
        <v/>
      </c>
      <c r="G302" t="str">
        <f>_xlfn.LET(_xlpm.Searching,"61",_xlpm.inStr,IFERROR(FIND(_xlpm.Searching,$A304)&gt;=1,FALSE),IF(AND(_xlpm.inStr,LEN(A304)&lt;=6),$A305,""))&amp;G303&amp;G304&amp;G305</f>
        <v/>
      </c>
      <c r="H302" t="str">
        <f>_xlfn.LET(_xlpm.Searching,"63",_xlpm.inStr,IFERROR(FIND(_xlpm.Searching,$A304)&gt;=1,FALSE),IF(AND(_xlpm.inStr,LEN(A304)&lt;=6),$A305,""))&amp;H303&amp;H304&amp;H305&amp;H306</f>
        <v/>
      </c>
    </row>
    <row r="303" spans="1:8" x14ac:dyDescent="0.25">
      <c r="A303" t="s">
        <v>118</v>
      </c>
      <c r="B303" t="str" cm="1">
        <f t="array" ref="B303">БУКВЫ(MID($A302,3,11))</f>
        <v>775118989</v>
      </c>
      <c r="C303" s="2"/>
      <c r="D303" s="2"/>
      <c r="E303" t="str">
        <f>_xlfn.LET(_xlpm.Searching,"57",_xlpm.inStr,IFERROR(FIND(_xlpm.Searching,$A306)&gt;=1,FALSE),IF(AND(_xlpm.inStr,LEN(A306)&lt;=6),$A307,""))</f>
        <v/>
      </c>
      <c r="F303" t="str">
        <f>_xlfn.LET(_xlpm.Searching,"59",_xlpm.inStr,IFERROR(FIND(_xlpm.Searching,$A306)&gt;=1,FALSE),IF(AND(_xlpm.inStr,LEN(A306)&lt;=6),$A307,""))</f>
        <v/>
      </c>
      <c r="G303" t="str">
        <f>_xlfn.LET(_xlpm.Searching,"61",_xlpm.inStr,IFERROR(FIND(_xlpm.Searching,$A306)&gt;=1,FALSE),IF(AND(_xlpm.inStr,LEN(A306)&lt;=6),$A307,""))</f>
        <v/>
      </c>
      <c r="H303" t="str">
        <f>_xlfn.LET(_xlpm.Searching,"63",_xlpm.inStr,IFERROR(FIND(_xlpm.Searching,$A306)&gt;=1,FALSE),IF(AND(_xlpm.inStr,LEN(A306)&lt;=6),$A307,""))</f>
        <v/>
      </c>
    </row>
    <row r="304" spans="1:8" x14ac:dyDescent="0.25">
      <c r="A304" t="s">
        <v>27</v>
      </c>
      <c r="B304" t="str" cm="1">
        <f t="array" ref="B304">БУКВЫ(MID($A302,3,11))</f>
        <v>775118989</v>
      </c>
      <c r="C304" s="2"/>
      <c r="D304" s="2"/>
      <c r="E304" s="2"/>
      <c r="F304" t="str">
        <f>_xlfn.LET(_xlpm.Searching,"59",_xlpm.inStr,IFERROR(FIND(_xlpm.Searching,$A308)&gt;=1,FALSE),IF(AND(_xlpm.inStr,LEN(A308)&lt;=6),$A309,""))</f>
        <v/>
      </c>
      <c r="G304" t="str">
        <f>_xlfn.LET(_xlpm.Searching,"61",_xlpm.inStr,IFERROR(FIND(_xlpm.Searching,$A308)&gt;=1,FALSE),IF(AND(_xlpm.inStr,LEN(A308)&lt;=6),$A309,""))</f>
        <v/>
      </c>
      <c r="H304" t="str">
        <f>_xlfn.LET(_xlpm.Searching,"63",_xlpm.inStr,IFERROR(FIND(_xlpm.Searching,$A308)&gt;=1,FALSE),IF(AND(_xlpm.inStr,LEN(A308)&lt;=6),$A309,""))</f>
        <v/>
      </c>
    </row>
    <row r="305" spans="1:8" x14ac:dyDescent="0.25">
      <c r="A305">
        <v>130</v>
      </c>
      <c r="B305" t="str" cm="1">
        <f t="array" ref="B305">БУКВЫ(MID($A302,3,11))</f>
        <v>775118989</v>
      </c>
      <c r="C305" s="2"/>
      <c r="D305" s="2"/>
      <c r="E305" s="2"/>
      <c r="F305" s="2"/>
      <c r="G305" t="str">
        <f>_xlfn.LET(_xlpm.Searching,"61",_xlpm.inStr,IFERROR(FIND(_xlpm.Searching,$A310)&gt;=1,FALSE),IF(AND(_xlpm.inStr,LEN(A310)&lt;=6),$A311,""))</f>
        <v/>
      </c>
      <c r="H305" t="str">
        <f>_xlfn.LET(_xlpm.Searching,"63",_xlpm.inStr,IFERROR(FIND(_xlpm.Searching,$A310)&gt;=1,FALSE),IF(AND(_xlpm.inStr,LEN(A310)&lt;=6),$A311,""))</f>
        <v/>
      </c>
    </row>
    <row r="306" spans="1:8" x14ac:dyDescent="0.25">
      <c r="A306" t="s">
        <v>28</v>
      </c>
      <c r="B306" t="str" cm="1">
        <f t="array" ref="B306">БУКВЫ(MID($A302,3,11))</f>
        <v>775118989</v>
      </c>
      <c r="C306" s="2"/>
      <c r="D306" s="2"/>
      <c r="E306" s="2"/>
      <c r="F306" s="2"/>
      <c r="G306" s="2"/>
      <c r="H306" t="str">
        <f>_xlfn.LET(_xlpm.Searching,"63",_xlpm.inStr,IFERROR(FIND(_xlpm.Searching,$A312)&gt;=1,FALSE),IF(AND(_xlpm.inStr,LEN(A312)&lt;=6),$A313,""))</f>
        <v/>
      </c>
    </row>
    <row r="307" spans="1:8" x14ac:dyDescent="0.25">
      <c r="A307" t="s">
        <v>81</v>
      </c>
    </row>
    <row r="308" spans="1:8" x14ac:dyDescent="0.25">
      <c r="A308" t="s">
        <v>82</v>
      </c>
    </row>
    <row r="309" spans="1:8" x14ac:dyDescent="0.25">
      <c r="A309" t="s">
        <v>2</v>
      </c>
    </row>
    <row r="310" spans="1:8" x14ac:dyDescent="0.25">
      <c r="A310" t="s">
        <v>31</v>
      </c>
    </row>
    <row r="311" spans="1:8" x14ac:dyDescent="0.25">
      <c r="A311" t="s">
        <v>32</v>
      </c>
    </row>
    <row r="312" spans="1:8" x14ac:dyDescent="0.25">
      <c r="A312" t="s">
        <v>33</v>
      </c>
    </row>
    <row r="313" spans="1:8" x14ac:dyDescent="0.25">
      <c r="A313" t="s">
        <v>34</v>
      </c>
    </row>
    <row r="314" spans="1:8" x14ac:dyDescent="0.25">
      <c r="A314" t="s">
        <v>35</v>
      </c>
    </row>
    <row r="315" spans="1:8" x14ac:dyDescent="0.25">
      <c r="A315" t="s">
        <v>36</v>
      </c>
    </row>
    <row r="316" spans="1:8" x14ac:dyDescent="0.25">
      <c r="A316" t="s">
        <v>37</v>
      </c>
    </row>
    <row r="317" spans="1:8" x14ac:dyDescent="0.25">
      <c r="A317" t="s">
        <v>38</v>
      </c>
    </row>
    <row r="318" spans="1:8" x14ac:dyDescent="0.25">
      <c r="A318" t="s">
        <v>39</v>
      </c>
    </row>
    <row r="319" spans="1:8" x14ac:dyDescent="0.25">
      <c r="A319" t="s">
        <v>40</v>
      </c>
    </row>
    <row r="320" spans="1:8" x14ac:dyDescent="0.25">
      <c r="A320" t="s">
        <v>41</v>
      </c>
    </row>
    <row r="321" spans="1:8" x14ac:dyDescent="0.25">
      <c r="A321" t="s">
        <v>42</v>
      </c>
    </row>
    <row r="322" spans="1:8" x14ac:dyDescent="0.25">
      <c r="A322" t="s">
        <v>43</v>
      </c>
    </row>
    <row r="323" spans="1:8" x14ac:dyDescent="0.25">
      <c r="A323" t="s">
        <v>44</v>
      </c>
    </row>
    <row r="324" spans="1:8" x14ac:dyDescent="0.25">
      <c r="A324" t="s">
        <v>1</v>
      </c>
    </row>
    <row r="325" spans="1:8" x14ac:dyDescent="0.25">
      <c r="A325" t="s">
        <v>45</v>
      </c>
    </row>
    <row r="326" spans="1:8" x14ac:dyDescent="0.25">
      <c r="A326" t="s">
        <v>119</v>
      </c>
    </row>
    <row r="327" spans="1:8" x14ac:dyDescent="0.25">
      <c r="A327" t="s">
        <v>3</v>
      </c>
    </row>
    <row r="328" spans="1:8" x14ac:dyDescent="0.25">
      <c r="A328" t="s">
        <v>4</v>
      </c>
    </row>
    <row r="329" spans="1:8" x14ac:dyDescent="0.25">
      <c r="A329" t="s">
        <v>5</v>
      </c>
    </row>
    <row r="330" spans="1:8" x14ac:dyDescent="0.25">
      <c r="A330" t="s">
        <v>6</v>
      </c>
    </row>
    <row r="331" spans="1:8" x14ac:dyDescent="0.25">
      <c r="A331" t="s">
        <v>7</v>
      </c>
    </row>
    <row r="332" spans="1:8" x14ac:dyDescent="0.25">
      <c r="A332" t="s">
        <v>8</v>
      </c>
    </row>
    <row r="333" spans="1:8" x14ac:dyDescent="0.25">
      <c r="A333" t="s">
        <v>9</v>
      </c>
      <c r="B333" s="1" t="s">
        <v>183</v>
      </c>
      <c r="C333" s="1" t="s">
        <v>27</v>
      </c>
      <c r="D333" s="1">
        <v>55</v>
      </c>
      <c r="E333" s="1">
        <v>57</v>
      </c>
      <c r="F333" s="1">
        <v>59</v>
      </c>
      <c r="G333" s="1">
        <v>61</v>
      </c>
      <c r="H333" s="1">
        <v>63</v>
      </c>
    </row>
    <row r="334" spans="1:8" x14ac:dyDescent="0.25">
      <c r="A334" t="s">
        <v>120</v>
      </c>
      <c r="B334" t="str" cm="1">
        <f t="array" ref="B334">БУКВЫ(MID($A334,3,11))</f>
        <v>775610568</v>
      </c>
      <c r="C334">
        <f>_xlfn.LET(_xlpm.Searching,"OSFA",_xlpm.inStr,IFERROR(FIND(_xlpm.Searching,$A336)&gt;=1,FALSE),IF(AND(_xlpm.inStr,LEN(A336)&lt;=6),A337,""))</f>
        <v>25</v>
      </c>
      <c r="D334" t="str">
        <f>_xlfn.LET(_xlpm.Searching,"55",_xlpm.inStr,IFERROR(FIND(_xlpm.Searching,$A336)&gt;=1,FALSE),IF(AND(_xlpm.inStr,LEN(A336)&lt;=6),A337,""))</f>
        <v/>
      </c>
      <c r="E334" t="str">
        <f>_xlfn.LET(_xlpm.Searching,"57",_xlpm.inStr,IFERROR(FIND(_xlpm.Searching,$A336)&gt;=1,FALSE),IF(AND(_xlpm.inStr,LEN(A336)&lt;=6),$A337,""))&amp;E335</f>
        <v/>
      </c>
      <c r="F334" t="str">
        <f>_xlfn.LET(_xlpm.Searching,"59",_xlpm.inStr,IFERROR(FIND(_xlpm.Searching,$A336)&gt;=1,FALSE),IF(AND(_xlpm.inStr,LEN(A336)&lt;=6),$A337,""))&amp;F335&amp;F336</f>
        <v/>
      </c>
      <c r="G334" t="str">
        <f>_xlfn.LET(_xlpm.Searching,"61",_xlpm.inStr,IFERROR(FIND(_xlpm.Searching,$A336)&gt;=1,FALSE),IF(AND(_xlpm.inStr,LEN(A336)&lt;=6),$A337,""))&amp;G335&amp;G336&amp;G337</f>
        <v/>
      </c>
      <c r="H334" t="str">
        <f>_xlfn.LET(_xlpm.Searching,"63",_xlpm.inStr,IFERROR(FIND(_xlpm.Searching,$A336)&gt;=1,FALSE),IF(AND(_xlpm.inStr,LEN(A336)&lt;=6),$A337,""))&amp;H335&amp;H336&amp;H337&amp;H338</f>
        <v/>
      </c>
    </row>
    <row r="335" spans="1:8" x14ac:dyDescent="0.25">
      <c r="A335" t="s">
        <v>121</v>
      </c>
      <c r="B335" t="str" cm="1">
        <f t="array" ref="B335">БУКВЫ(MID($A334,3,11))</f>
        <v>775610568</v>
      </c>
      <c r="C335" s="2"/>
      <c r="D335" s="2"/>
      <c r="E335" t="str">
        <f>_xlfn.LET(_xlpm.Searching,"57",_xlpm.inStr,IFERROR(FIND(_xlpm.Searching,$A338)&gt;=1,FALSE),IF(AND(_xlpm.inStr,LEN(A338)&lt;=6),$A339,""))</f>
        <v/>
      </c>
      <c r="F335" t="str">
        <f>_xlfn.LET(_xlpm.Searching,"59",_xlpm.inStr,IFERROR(FIND(_xlpm.Searching,$A338)&gt;=1,FALSE),IF(AND(_xlpm.inStr,LEN(A338)&lt;=6),$A339,""))</f>
        <v/>
      </c>
      <c r="G335" t="str">
        <f>_xlfn.LET(_xlpm.Searching,"61",_xlpm.inStr,IFERROR(FIND(_xlpm.Searching,$A338)&gt;=1,FALSE),IF(AND(_xlpm.inStr,LEN(A338)&lt;=6),$A339,""))</f>
        <v/>
      </c>
      <c r="H335" t="str">
        <f>_xlfn.LET(_xlpm.Searching,"63",_xlpm.inStr,IFERROR(FIND(_xlpm.Searching,$A338)&gt;=1,FALSE),IF(AND(_xlpm.inStr,LEN(A338)&lt;=6),$A339,""))</f>
        <v/>
      </c>
    </row>
    <row r="336" spans="1:8" x14ac:dyDescent="0.25">
      <c r="A336" t="s">
        <v>27</v>
      </c>
      <c r="B336" t="str" cm="1">
        <f t="array" ref="B336">БУКВЫ(MID($A334,3,11))</f>
        <v>775610568</v>
      </c>
      <c r="C336" s="2"/>
      <c r="D336" s="2"/>
      <c r="E336" s="2"/>
      <c r="F336" t="str">
        <f>_xlfn.LET(_xlpm.Searching,"59",_xlpm.inStr,IFERROR(FIND(_xlpm.Searching,$A340)&gt;=1,FALSE),IF(AND(_xlpm.inStr,LEN(A340)&lt;=6),$A341,""))</f>
        <v/>
      </c>
      <c r="G336" t="str">
        <f>_xlfn.LET(_xlpm.Searching,"61",_xlpm.inStr,IFERROR(FIND(_xlpm.Searching,$A340)&gt;=1,FALSE),IF(AND(_xlpm.inStr,LEN(A340)&lt;=6),$A341,""))</f>
        <v/>
      </c>
      <c r="H336" t="str">
        <f>_xlfn.LET(_xlpm.Searching,"63",_xlpm.inStr,IFERROR(FIND(_xlpm.Searching,$A340)&gt;=1,FALSE),IF(AND(_xlpm.inStr,LEN(A340)&lt;=6),$A341,""))</f>
        <v/>
      </c>
    </row>
    <row r="337" spans="1:8" x14ac:dyDescent="0.25">
      <c r="A337">
        <v>25</v>
      </c>
      <c r="B337" t="str" cm="1">
        <f t="array" ref="B337">БУКВЫ(MID($A334,3,11))</f>
        <v>775610568</v>
      </c>
      <c r="C337" s="2"/>
      <c r="D337" s="2"/>
      <c r="E337" s="2"/>
      <c r="F337" s="2"/>
      <c r="G337" t="str">
        <f>_xlfn.LET(_xlpm.Searching,"61",_xlpm.inStr,IFERROR(FIND(_xlpm.Searching,$A342)&gt;=1,FALSE),IF(AND(_xlpm.inStr,LEN(A342)&lt;=6),$A343,""))</f>
        <v/>
      </c>
      <c r="H337" t="str">
        <f>_xlfn.LET(_xlpm.Searching,"63",_xlpm.inStr,IFERROR(FIND(_xlpm.Searching,$A342)&gt;=1,FALSE),IF(AND(_xlpm.inStr,LEN(A342)&lt;=6),$A343,""))</f>
        <v/>
      </c>
    </row>
    <row r="338" spans="1:8" x14ac:dyDescent="0.25">
      <c r="A338" t="s">
        <v>28</v>
      </c>
      <c r="B338" t="str" cm="1">
        <f t="array" ref="B338">БУКВЫ(MID($A334,3,11))</f>
        <v>775610568</v>
      </c>
      <c r="C338" s="2"/>
      <c r="D338" s="2"/>
      <c r="E338" s="2"/>
      <c r="F338" s="2"/>
      <c r="G338" s="2"/>
      <c r="H338" t="str">
        <f>_xlfn.LET(_xlpm.Searching,"63",_xlpm.inStr,IFERROR(FIND(_xlpm.Searching,$A344)&gt;=1,FALSE),IF(AND(_xlpm.inStr,LEN(A344)&lt;=6),$A345,""))</f>
        <v/>
      </c>
    </row>
    <row r="339" spans="1:8" x14ac:dyDescent="0.25">
      <c r="A339" t="s">
        <v>122</v>
      </c>
    </row>
    <row r="340" spans="1:8" x14ac:dyDescent="0.25">
      <c r="A340" t="s">
        <v>123</v>
      </c>
      <c r="B340" s="1" t="s">
        <v>183</v>
      </c>
      <c r="C340" s="1" t="s">
        <v>27</v>
      </c>
      <c r="D340" s="1">
        <v>55</v>
      </c>
      <c r="E340" s="1">
        <v>57</v>
      </c>
      <c r="F340" s="1">
        <v>59</v>
      </c>
      <c r="G340" s="1">
        <v>61</v>
      </c>
      <c r="H340" s="1">
        <v>63</v>
      </c>
    </row>
    <row r="341" spans="1:8" x14ac:dyDescent="0.25">
      <c r="A341" t="s">
        <v>124</v>
      </c>
      <c r="B341" t="str" cm="1">
        <f t="array" ref="B341">БУКВЫ(MID($A341,3,11))</f>
        <v>77211103</v>
      </c>
      <c r="C341">
        <f>_xlfn.LET(_xlpm.Searching,"OSFA",_xlpm.inStr,IFERROR(FIND(_xlpm.Searching,$A343)&gt;=1,FALSE),IF(AND(_xlpm.inStr,LEN(A343)&lt;=6),A344,""))</f>
        <v>10</v>
      </c>
      <c r="D341" t="str">
        <f>_xlfn.LET(_xlpm.Searching,"55",_xlpm.inStr,IFERROR(FIND(_xlpm.Searching,$A343)&gt;=1,FALSE),IF(AND(_xlpm.inStr,LEN(A343)&lt;=6),A344,""))</f>
        <v/>
      </c>
      <c r="E341" t="str">
        <f>_xlfn.LET(_xlpm.Searching,"57",_xlpm.inStr,IFERROR(FIND(_xlpm.Searching,$A343)&gt;=1,FALSE),IF(AND(_xlpm.inStr,LEN(A343)&lt;=6),$A344,""))&amp;E342</f>
        <v/>
      </c>
      <c r="F341" t="str">
        <f>_xlfn.LET(_xlpm.Searching,"59",_xlpm.inStr,IFERROR(FIND(_xlpm.Searching,$A343)&gt;=1,FALSE),IF(AND(_xlpm.inStr,LEN(A343)&lt;=6),$A344,""))&amp;F342&amp;F343</f>
        <v/>
      </c>
      <c r="G341" t="str">
        <f>_xlfn.LET(_xlpm.Searching,"61",_xlpm.inStr,IFERROR(FIND(_xlpm.Searching,$A343)&gt;=1,FALSE),IF(AND(_xlpm.inStr,LEN(A343)&lt;=6),$A344,""))&amp;G342&amp;G343&amp;G344</f>
        <v/>
      </c>
      <c r="H341" t="str">
        <f>_xlfn.LET(_xlpm.Searching,"63",_xlpm.inStr,IFERROR(FIND(_xlpm.Searching,$A343)&gt;=1,FALSE),IF(AND(_xlpm.inStr,LEN(A343)&lt;=6),$A344,""))&amp;H342&amp;H343&amp;H344&amp;H345</f>
        <v/>
      </c>
    </row>
    <row r="342" spans="1:8" x14ac:dyDescent="0.25">
      <c r="A342" t="s">
        <v>125</v>
      </c>
      <c r="B342" t="str" cm="1">
        <f t="array" ref="B342">БУКВЫ(MID($A341,3,11))</f>
        <v>77211103</v>
      </c>
      <c r="C342" s="2"/>
      <c r="D342" s="2"/>
      <c r="E342" t="str">
        <f>_xlfn.LET(_xlpm.Searching,"57",_xlpm.inStr,IFERROR(FIND(_xlpm.Searching,$A345)&gt;=1,FALSE),IF(AND(_xlpm.inStr,LEN(A345)&lt;=6),$A346,""))</f>
        <v/>
      </c>
      <c r="F342" t="str">
        <f>_xlfn.LET(_xlpm.Searching,"59",_xlpm.inStr,IFERROR(FIND(_xlpm.Searching,$A345)&gt;=1,FALSE),IF(AND(_xlpm.inStr,LEN(A345)&lt;=6),$A346,""))</f>
        <v/>
      </c>
      <c r="G342" t="str">
        <f>_xlfn.LET(_xlpm.Searching,"61",_xlpm.inStr,IFERROR(FIND(_xlpm.Searching,$A345)&gt;=1,FALSE),IF(AND(_xlpm.inStr,LEN(A345)&lt;=6),$A346,""))</f>
        <v/>
      </c>
      <c r="H342" t="str">
        <f>_xlfn.LET(_xlpm.Searching,"63",_xlpm.inStr,IFERROR(FIND(_xlpm.Searching,$A345)&gt;=1,FALSE),IF(AND(_xlpm.inStr,LEN(A345)&lt;=6),$A346,""))</f>
        <v/>
      </c>
    </row>
    <row r="343" spans="1:8" x14ac:dyDescent="0.25">
      <c r="A343" t="s">
        <v>27</v>
      </c>
      <c r="B343" t="str" cm="1">
        <f t="array" ref="B343">БУКВЫ(MID($A341,3,11))</f>
        <v>77211103</v>
      </c>
      <c r="C343" s="2"/>
      <c r="D343" s="2"/>
      <c r="E343" s="2"/>
      <c r="F343" t="str">
        <f>_xlfn.LET(_xlpm.Searching,"59",_xlpm.inStr,IFERROR(FIND(_xlpm.Searching,$A347)&gt;=1,FALSE),IF(AND(_xlpm.inStr,LEN(A347)&lt;=6),$A348,""))</f>
        <v/>
      </c>
      <c r="G343" t="str">
        <f>_xlfn.LET(_xlpm.Searching,"61",_xlpm.inStr,IFERROR(FIND(_xlpm.Searching,$A347)&gt;=1,FALSE),IF(AND(_xlpm.inStr,LEN(A347)&lt;=6),$A348,""))</f>
        <v/>
      </c>
      <c r="H343" t="str">
        <f>_xlfn.LET(_xlpm.Searching,"63",_xlpm.inStr,IFERROR(FIND(_xlpm.Searching,$A347)&gt;=1,FALSE),IF(AND(_xlpm.inStr,LEN(A347)&lt;=6),$A348,""))</f>
        <v/>
      </c>
    </row>
    <row r="344" spans="1:8" x14ac:dyDescent="0.25">
      <c r="A344">
        <v>10</v>
      </c>
      <c r="B344" t="str" cm="1">
        <f t="array" ref="B344">БУКВЫ(MID($A341,3,11))</f>
        <v>77211103</v>
      </c>
      <c r="C344" s="2"/>
      <c r="D344" s="2"/>
      <c r="E344" s="2"/>
      <c r="F344" s="2"/>
      <c r="G344" t="str">
        <f>_xlfn.LET(_xlpm.Searching,"61",_xlpm.inStr,IFERROR(FIND(_xlpm.Searching,$A349)&gt;=1,FALSE),IF(AND(_xlpm.inStr,LEN(A349)&lt;=6),$A350,""))</f>
        <v/>
      </c>
      <c r="H344" t="str">
        <f>_xlfn.LET(_xlpm.Searching,"63",_xlpm.inStr,IFERROR(FIND(_xlpm.Searching,$A349)&gt;=1,FALSE),IF(AND(_xlpm.inStr,LEN(A349)&lt;=6),$A350,""))</f>
        <v/>
      </c>
    </row>
    <row r="345" spans="1:8" x14ac:dyDescent="0.25">
      <c r="A345" t="s">
        <v>28</v>
      </c>
      <c r="B345" t="str" cm="1">
        <f t="array" ref="B345">БУКВЫ(MID($A341,3,11))</f>
        <v>77211103</v>
      </c>
      <c r="C345" s="2"/>
      <c r="D345" s="2"/>
      <c r="E345" s="2"/>
      <c r="F345" s="2"/>
      <c r="G345" s="2"/>
      <c r="H345" t="str">
        <f>_xlfn.LET(_xlpm.Searching,"63",_xlpm.inStr,IFERROR(FIND(_xlpm.Searching,$A351)&gt;=1,FALSE),IF(AND(_xlpm.inStr,LEN(A351)&lt;=6),$A352,""))</f>
        <v/>
      </c>
    </row>
    <row r="346" spans="1:8" x14ac:dyDescent="0.25">
      <c r="A346" t="s">
        <v>126</v>
      </c>
    </row>
    <row r="347" spans="1:8" x14ac:dyDescent="0.25">
      <c r="A347" t="s">
        <v>127</v>
      </c>
      <c r="B347" s="1" t="s">
        <v>183</v>
      </c>
      <c r="C347" s="1" t="s">
        <v>27</v>
      </c>
      <c r="D347" s="1">
        <v>55</v>
      </c>
      <c r="E347" s="1">
        <v>57</v>
      </c>
      <c r="F347" s="1">
        <v>59</v>
      </c>
      <c r="G347" s="1">
        <v>61</v>
      </c>
      <c r="H347" s="1">
        <v>63</v>
      </c>
    </row>
    <row r="348" spans="1:8" x14ac:dyDescent="0.25">
      <c r="A348" t="s">
        <v>128</v>
      </c>
      <c r="B348" t="str" cm="1">
        <f t="array" ref="B348">БУКВЫ(MID($A348,3,11))</f>
        <v>66111052</v>
      </c>
      <c r="C348" t="str">
        <f>_xlfn.LET(_xlpm.Searching,"OSFA",_xlpm.inStr,IFERROR(FIND(_xlpm.Searching,$A350)&gt;=1,FALSE),IF(AND(_xlpm.inStr,LEN(A350)&lt;=6),A351,""))</f>
        <v/>
      </c>
      <c r="D348" t="str">
        <f>_xlfn.LET(_xlpm.Searching,"55",_xlpm.inStr,IFERROR(FIND(_xlpm.Searching,$A350)&gt;=1,FALSE),IF(AND(_xlpm.inStr,LEN(A350)&lt;=6),A351,""))</f>
        <v/>
      </c>
      <c r="E348" t="str">
        <f>_xlfn.LET(_xlpm.Searching,"57",_xlpm.inStr,IFERROR(FIND(_xlpm.Searching,$A350)&gt;=1,FALSE),IF(AND(_xlpm.inStr,LEN(A350)&lt;=6),$A351,""))&amp;E349</f>
        <v/>
      </c>
      <c r="F348" t="str">
        <f>_xlfn.LET(_xlpm.Searching,"59",_xlpm.inStr,IFERROR(FIND(_xlpm.Searching,$A350)&gt;=1,FALSE),IF(AND(_xlpm.inStr,LEN(A350)&lt;=6),$A351,""))&amp;F349&amp;F350</f>
        <v/>
      </c>
      <c r="G348" t="str">
        <f>_xlfn.LET(_xlpm.Searching,"61",_xlpm.inStr,IFERROR(FIND(_xlpm.Searching,$A350)&gt;=1,FALSE),IF(AND(_xlpm.inStr,LEN(A350)&lt;=6),$A351,""))&amp;G349&amp;G350&amp;G351</f>
        <v>1</v>
      </c>
      <c r="H348" t="str">
        <f>_xlfn.LET(_xlpm.Searching,"63",_xlpm.inStr,IFERROR(FIND(_xlpm.Searching,$A350)&gt;=1,FALSE),IF(AND(_xlpm.inStr,LEN(A350)&lt;=6),$A351,""))&amp;H349&amp;H350&amp;H351&amp;H352</f>
        <v/>
      </c>
    </row>
    <row r="349" spans="1:8" x14ac:dyDescent="0.25">
      <c r="A349" t="s">
        <v>129</v>
      </c>
      <c r="B349" t="str" cm="1">
        <f t="array" ref="B349">БУКВЫ(MID($A348,3,11))</f>
        <v>66111052</v>
      </c>
      <c r="C349" s="2"/>
      <c r="D349" s="2"/>
      <c r="E349" t="str">
        <f>_xlfn.LET(_xlpm.Searching,"57",_xlpm.inStr,IFERROR(FIND(_xlpm.Searching,$A352)&gt;=1,FALSE),IF(AND(_xlpm.inStr,LEN(A352)&lt;=6),$A353,""))</f>
        <v/>
      </c>
      <c r="F349" t="str">
        <f>_xlfn.LET(_xlpm.Searching,"59",_xlpm.inStr,IFERROR(FIND(_xlpm.Searching,$A352)&gt;=1,FALSE),IF(AND(_xlpm.inStr,LEN(A352)&lt;=6),$A353,""))</f>
        <v/>
      </c>
      <c r="G349" t="str">
        <f>_xlfn.LET(_xlpm.Searching,"61",_xlpm.inStr,IFERROR(FIND(_xlpm.Searching,$A352)&gt;=1,FALSE),IF(AND(_xlpm.inStr,LEN(A352)&lt;=6),$A353,""))</f>
        <v/>
      </c>
      <c r="H349" t="str">
        <f>_xlfn.LET(_xlpm.Searching,"63",_xlpm.inStr,IFERROR(FIND(_xlpm.Searching,$A352)&gt;=1,FALSE),IF(AND(_xlpm.inStr,LEN(A352)&lt;=6),$A353,""))</f>
        <v/>
      </c>
    </row>
    <row r="350" spans="1:8" x14ac:dyDescent="0.25">
      <c r="A350" t="s">
        <v>13</v>
      </c>
      <c r="B350" t="str" cm="1">
        <f t="array" ref="B350">БУКВЫ(MID($A348,3,11))</f>
        <v>66111052</v>
      </c>
      <c r="C350" s="2"/>
      <c r="D350" s="2"/>
      <c r="E350" s="2"/>
      <c r="F350" t="str">
        <f>_xlfn.LET(_xlpm.Searching,"59",_xlpm.inStr,IFERROR(FIND(_xlpm.Searching,$A354)&gt;=1,FALSE),IF(AND(_xlpm.inStr,LEN(A354)&lt;=6),$A355,""))</f>
        <v/>
      </c>
      <c r="G350" t="str">
        <f>_xlfn.LET(_xlpm.Searching,"61",_xlpm.inStr,IFERROR(FIND(_xlpm.Searching,$A354)&gt;=1,FALSE),IF(AND(_xlpm.inStr,LEN(A354)&lt;=6),$A355,""))</f>
        <v/>
      </c>
      <c r="H350" t="str">
        <f>_xlfn.LET(_xlpm.Searching,"63",_xlpm.inStr,IFERROR(FIND(_xlpm.Searching,$A354)&gt;=1,FALSE),IF(AND(_xlpm.inStr,LEN(A354)&lt;=6),$A355,""))</f>
        <v/>
      </c>
    </row>
    <row r="351" spans="1:8" x14ac:dyDescent="0.25">
      <c r="A351">
        <v>1</v>
      </c>
      <c r="B351" t="str" cm="1">
        <f t="array" ref="B351">БУКВЫ(MID($A348,3,11))</f>
        <v>66111052</v>
      </c>
      <c r="C351" s="2"/>
      <c r="D351" s="2"/>
      <c r="E351" s="2"/>
      <c r="F351" s="2"/>
      <c r="G351" t="str">
        <f>_xlfn.LET(_xlpm.Searching,"61",_xlpm.inStr,IFERROR(FIND(_xlpm.Searching,$A356)&gt;=1,FALSE),IF(AND(_xlpm.inStr,LEN(A356)&lt;=6),$A357,""))</f>
        <v/>
      </c>
      <c r="H351" t="str">
        <f>_xlfn.LET(_xlpm.Searching,"63",_xlpm.inStr,IFERROR(FIND(_xlpm.Searching,$A356)&gt;=1,FALSE),IF(AND(_xlpm.inStr,LEN(A356)&lt;=6),$A357,""))</f>
        <v/>
      </c>
    </row>
    <row r="352" spans="1:8" x14ac:dyDescent="0.25">
      <c r="A352" t="s">
        <v>130</v>
      </c>
      <c r="B352" t="str" cm="1">
        <f t="array" ref="B352">БУКВЫ(MID($A348,3,11))</f>
        <v>66111052</v>
      </c>
      <c r="C352" s="2"/>
      <c r="D352" s="2"/>
      <c r="E352" s="2"/>
      <c r="F352" s="2"/>
      <c r="G352" s="2"/>
      <c r="H352" t="str">
        <f>_xlfn.LET(_xlpm.Searching,"63",_xlpm.inStr,IFERROR(FIND(_xlpm.Searching,$A358)&gt;=1,FALSE),IF(AND(_xlpm.inStr,LEN(A358)&lt;=6),$A359,""))</f>
        <v/>
      </c>
    </row>
    <row r="353" spans="1:8" x14ac:dyDescent="0.25">
      <c r="A353" t="s">
        <v>131</v>
      </c>
    </row>
    <row r="354" spans="1:8" x14ac:dyDescent="0.25">
      <c r="A354" t="s">
        <v>132</v>
      </c>
      <c r="B354" s="1" t="s">
        <v>183</v>
      </c>
      <c r="C354" s="1" t="s">
        <v>27</v>
      </c>
      <c r="D354" s="1">
        <v>55</v>
      </c>
      <c r="E354" s="1">
        <v>57</v>
      </c>
      <c r="F354" s="1">
        <v>59</v>
      </c>
      <c r="G354" s="1">
        <v>61</v>
      </c>
      <c r="H354" s="1">
        <v>63</v>
      </c>
    </row>
    <row r="355" spans="1:8" x14ac:dyDescent="0.25">
      <c r="A355" t="s">
        <v>133</v>
      </c>
      <c r="B355" t="str" cm="1">
        <f t="array" ref="B355">БУКВЫ(MID($A355,3,11))</f>
        <v>661110523</v>
      </c>
      <c r="C355" t="str">
        <f>_xlfn.LET(_xlpm.Searching,"OSFA",_xlpm.inStr,IFERROR(FIND(_xlpm.Searching,$A357)&gt;=1,FALSE),IF(AND(_xlpm.inStr,LEN(A357)&lt;=6),A358,""))</f>
        <v/>
      </c>
      <c r="D355" t="str">
        <f>_xlfn.LET(_xlpm.Searching,"55",_xlpm.inStr,IFERROR(FIND(_xlpm.Searching,$A357)&gt;=1,FALSE),IF(AND(_xlpm.inStr,LEN(A357)&lt;=6),A358,""))</f>
        <v/>
      </c>
      <c r="E355" t="str">
        <f>_xlfn.LET(_xlpm.Searching,"57",_xlpm.inStr,IFERROR(FIND(_xlpm.Searching,$A357)&gt;=1,FALSE),IF(AND(_xlpm.inStr,LEN(A357)&lt;=6),$A358,""))&amp;E356</f>
        <v>2</v>
      </c>
      <c r="F355" t="str">
        <f>_xlfn.LET(_xlpm.Searching,"59",_xlpm.inStr,IFERROR(FIND(_xlpm.Searching,$A357)&gt;=1,FALSE),IF(AND(_xlpm.inStr,LEN(A357)&lt;=6),$A358,""))&amp;F356&amp;F357</f>
        <v/>
      </c>
      <c r="G355" t="str">
        <f>_xlfn.LET(_xlpm.Searching,"61",_xlpm.inStr,IFERROR(FIND(_xlpm.Searching,$A357)&gt;=1,FALSE),IF(AND(_xlpm.inStr,LEN(A357)&lt;=6),$A358,""))&amp;G356&amp;G357&amp;G358</f>
        <v/>
      </c>
      <c r="H355" t="str">
        <f>_xlfn.LET(_xlpm.Searching,"63",_xlpm.inStr,IFERROR(FIND(_xlpm.Searching,$A357)&gt;=1,FALSE),IF(AND(_xlpm.inStr,LEN(A357)&lt;=6),$A358,""))&amp;H356&amp;H357&amp;H358&amp;H359</f>
        <v/>
      </c>
    </row>
    <row r="356" spans="1:8" x14ac:dyDescent="0.25">
      <c r="A356" t="s">
        <v>129</v>
      </c>
      <c r="B356" t="str" cm="1">
        <f t="array" ref="B356">БУКВЫ(MID($A355,3,11))</f>
        <v>661110523</v>
      </c>
      <c r="C356" s="2"/>
      <c r="D356" s="2"/>
      <c r="E356" t="str">
        <f>_xlfn.LET(_xlpm.Searching,"57",_xlpm.inStr,IFERROR(FIND(_xlpm.Searching,$A359)&gt;=1,FALSE),IF(AND(_xlpm.inStr,LEN(A359)&lt;=6),$A360,""))</f>
        <v/>
      </c>
      <c r="F356" t="str">
        <f>_xlfn.LET(_xlpm.Searching,"59",_xlpm.inStr,IFERROR(FIND(_xlpm.Searching,$A359)&gt;=1,FALSE),IF(AND(_xlpm.inStr,LEN(A359)&lt;=6),$A360,""))</f>
        <v/>
      </c>
      <c r="G356" t="str">
        <f>_xlfn.LET(_xlpm.Searching,"61",_xlpm.inStr,IFERROR(FIND(_xlpm.Searching,$A359)&gt;=1,FALSE),IF(AND(_xlpm.inStr,LEN(A359)&lt;=6),$A360,""))</f>
        <v/>
      </c>
      <c r="H356" t="str">
        <f>_xlfn.LET(_xlpm.Searching,"63",_xlpm.inStr,IFERROR(FIND(_xlpm.Searching,$A359)&gt;=1,FALSE),IF(AND(_xlpm.inStr,LEN(A359)&lt;=6),$A360,""))</f>
        <v/>
      </c>
    </row>
    <row r="357" spans="1:8" x14ac:dyDescent="0.25">
      <c r="A357" t="s">
        <v>20</v>
      </c>
      <c r="B357" t="str" cm="1">
        <f t="array" ref="B357">БУКВЫ(MID($A355,3,11))</f>
        <v>661110523</v>
      </c>
      <c r="C357" s="2"/>
      <c r="D357" s="2"/>
      <c r="E357" s="2"/>
      <c r="F357" t="str">
        <f>_xlfn.LET(_xlpm.Searching,"59",_xlpm.inStr,IFERROR(FIND(_xlpm.Searching,$A361)&gt;=1,FALSE),IF(AND(_xlpm.inStr,LEN(A361)&lt;=6),$A362,""))</f>
        <v/>
      </c>
      <c r="G357" t="str">
        <f>_xlfn.LET(_xlpm.Searching,"61",_xlpm.inStr,IFERROR(FIND(_xlpm.Searching,$A361)&gt;=1,FALSE),IF(AND(_xlpm.inStr,LEN(A361)&lt;=6),$A362,""))</f>
        <v/>
      </c>
      <c r="H357" t="str">
        <f>_xlfn.LET(_xlpm.Searching,"63",_xlpm.inStr,IFERROR(FIND(_xlpm.Searching,$A361)&gt;=1,FALSE),IF(AND(_xlpm.inStr,LEN(A361)&lt;=6),$A362,""))</f>
        <v/>
      </c>
    </row>
    <row r="358" spans="1:8" x14ac:dyDescent="0.25">
      <c r="A358">
        <v>2</v>
      </c>
      <c r="B358" t="str" cm="1">
        <f t="array" ref="B358">БУКВЫ(MID($A355,3,11))</f>
        <v>661110523</v>
      </c>
      <c r="C358" s="2"/>
      <c r="D358" s="2"/>
      <c r="E358" s="2"/>
      <c r="F358" s="2"/>
      <c r="G358" t="str">
        <f>_xlfn.LET(_xlpm.Searching,"61",_xlpm.inStr,IFERROR(FIND(_xlpm.Searching,$A363)&gt;=1,FALSE),IF(AND(_xlpm.inStr,LEN(A363)&lt;=6),$A364,""))</f>
        <v/>
      </c>
      <c r="H358" t="str">
        <f>_xlfn.LET(_xlpm.Searching,"63",_xlpm.inStr,IFERROR(FIND(_xlpm.Searching,$A363)&gt;=1,FALSE),IF(AND(_xlpm.inStr,LEN(A363)&lt;=6),$A364,""))</f>
        <v/>
      </c>
    </row>
    <row r="359" spans="1:8" x14ac:dyDescent="0.25">
      <c r="A359" t="s">
        <v>130</v>
      </c>
      <c r="B359" t="str" cm="1">
        <f t="array" ref="B359">БУКВЫ(MID($A355,3,11))</f>
        <v>661110523</v>
      </c>
      <c r="C359" s="2"/>
      <c r="D359" s="2"/>
      <c r="E359" s="2"/>
      <c r="F359" s="2"/>
      <c r="G359" s="2"/>
      <c r="H359" t="str">
        <f>_xlfn.LET(_xlpm.Searching,"63",_xlpm.inStr,IFERROR(FIND(_xlpm.Searching,$A365)&gt;=1,FALSE),IF(AND(_xlpm.inStr,LEN(A365)&lt;=6),$A366,""))</f>
        <v/>
      </c>
    </row>
    <row r="360" spans="1:8" x14ac:dyDescent="0.25">
      <c r="A360" t="s">
        <v>134</v>
      </c>
    </row>
    <row r="361" spans="1:8" x14ac:dyDescent="0.25">
      <c r="A361" t="s">
        <v>135</v>
      </c>
    </row>
    <row r="362" spans="1:8" x14ac:dyDescent="0.25">
      <c r="A362" t="s">
        <v>136</v>
      </c>
    </row>
    <row r="363" spans="1:8" x14ac:dyDescent="0.25">
      <c r="A363" t="s">
        <v>137</v>
      </c>
    </row>
    <row r="364" spans="1:8" x14ac:dyDescent="0.25">
      <c r="A364" t="s">
        <v>19</v>
      </c>
    </row>
    <row r="365" spans="1:8" x14ac:dyDescent="0.25">
      <c r="A365">
        <v>1</v>
      </c>
    </row>
    <row r="366" spans="1:8" x14ac:dyDescent="0.25">
      <c r="A366" t="s">
        <v>138</v>
      </c>
    </row>
    <row r="367" spans="1:8" x14ac:dyDescent="0.25">
      <c r="A367" t="s">
        <v>139</v>
      </c>
    </row>
    <row r="368" spans="1:8" x14ac:dyDescent="0.25">
      <c r="A368" t="s">
        <v>140</v>
      </c>
      <c r="B368" s="1" t="s">
        <v>183</v>
      </c>
      <c r="C368" s="1" t="s">
        <v>27</v>
      </c>
      <c r="D368" s="1">
        <v>55</v>
      </c>
      <c r="E368" s="1">
        <v>57</v>
      </c>
      <c r="F368" s="1">
        <v>59</v>
      </c>
      <c r="G368" s="1">
        <v>61</v>
      </c>
      <c r="H368" s="1">
        <v>63</v>
      </c>
    </row>
    <row r="369" spans="1:8" x14ac:dyDescent="0.25">
      <c r="A369" t="s">
        <v>141</v>
      </c>
      <c r="B369" t="str" cm="1">
        <f t="array" ref="B369">БУКВЫ(MID($A369,3,11))</f>
        <v>212850371</v>
      </c>
      <c r="C369" t="str">
        <f>_xlfn.LET(_xlpm.Searching,"OSFA",_xlpm.inStr,IFERROR(FIND(_xlpm.Searching,$A371)&gt;=1,FALSE),IF(AND(_xlpm.inStr,LEN(A371)&lt;=6),A372,""))</f>
        <v/>
      </c>
      <c r="D369" t="str">
        <f>_xlfn.LET(_xlpm.Searching,"55",_xlpm.inStr,IFERROR(FIND(_xlpm.Searching,$A371)&gt;=1,FALSE),IF(AND(_xlpm.inStr,LEN(A371)&lt;=6),A372,""))</f>
        <v/>
      </c>
      <c r="E369" t="str">
        <f>_xlfn.LET(_xlpm.Searching,"57",_xlpm.inStr,IFERROR(FIND(_xlpm.Searching,$A371)&gt;=1,FALSE),IF(AND(_xlpm.inStr,LEN(A371)&lt;=6),$A372,""))&amp;E370</f>
        <v>1</v>
      </c>
      <c r="F369" t="str">
        <f>_xlfn.LET(_xlpm.Searching,"59",_xlpm.inStr,IFERROR(FIND(_xlpm.Searching,$A371)&gt;=1,FALSE),IF(AND(_xlpm.inStr,LEN(A371)&lt;=6),$A372,""))&amp;F370&amp;F371</f>
        <v>4</v>
      </c>
      <c r="G369" t="str">
        <f>_xlfn.LET(_xlpm.Searching,"61",_xlpm.inStr,IFERROR(FIND(_xlpm.Searching,$A371)&gt;=1,FALSE),IF(AND(_xlpm.inStr,LEN(A371)&lt;=6),$A372,""))&amp;G370&amp;G371&amp;G372</f>
        <v>3</v>
      </c>
      <c r="H369" t="str">
        <f>_xlfn.LET(_xlpm.Searching,"63",_xlpm.inStr,IFERROR(FIND(_xlpm.Searching,$A371)&gt;=1,FALSE),IF(AND(_xlpm.inStr,LEN(A371)&lt;=6),$A372,""))&amp;H370&amp;H371&amp;H372&amp;H373</f>
        <v/>
      </c>
    </row>
    <row r="370" spans="1:8" x14ac:dyDescent="0.25">
      <c r="A370" t="s">
        <v>142</v>
      </c>
      <c r="B370" t="str" cm="1">
        <f t="array" ref="B370">БУКВЫ(MID($A369,3,11))</f>
        <v>212850371</v>
      </c>
      <c r="C370" s="2"/>
      <c r="D370" s="2"/>
      <c r="E370" t="str">
        <f>_xlfn.LET(_xlpm.Searching,"57",_xlpm.inStr,IFERROR(FIND(_xlpm.Searching,$A373)&gt;=1,FALSE),IF(AND(_xlpm.inStr,LEN(A373)&lt;=6),$A374,""))</f>
        <v/>
      </c>
      <c r="F370">
        <f>_xlfn.LET(_xlpm.Searching,"59",_xlpm.inStr,IFERROR(FIND(_xlpm.Searching,$A373)&gt;=1,FALSE),IF(AND(_xlpm.inStr,LEN(A373)&lt;=6),$A374,""))</f>
        <v>4</v>
      </c>
      <c r="G370" t="str">
        <f>_xlfn.LET(_xlpm.Searching,"61",_xlpm.inStr,IFERROR(FIND(_xlpm.Searching,$A373)&gt;=1,FALSE),IF(AND(_xlpm.inStr,LEN(A373)&lt;=6),$A374,""))</f>
        <v/>
      </c>
      <c r="H370" t="str">
        <f>_xlfn.LET(_xlpm.Searching,"63",_xlpm.inStr,IFERROR(FIND(_xlpm.Searching,$A373)&gt;=1,FALSE),IF(AND(_xlpm.inStr,LEN(A373)&lt;=6),$A374,""))</f>
        <v/>
      </c>
    </row>
    <row r="371" spans="1:8" x14ac:dyDescent="0.25">
      <c r="A371" t="s">
        <v>20</v>
      </c>
      <c r="B371" t="str" cm="1">
        <f t="array" ref="B371">БУКВЫ(MID($A369,3,11))</f>
        <v>212850371</v>
      </c>
      <c r="C371" s="2"/>
      <c r="D371" s="2"/>
      <c r="E371" s="2"/>
      <c r="F371" t="str">
        <f>_xlfn.LET(_xlpm.Searching,"59",_xlpm.inStr,IFERROR(FIND(_xlpm.Searching,$A375)&gt;=1,FALSE),IF(AND(_xlpm.inStr,LEN(A375)&lt;=6),$A376,""))</f>
        <v/>
      </c>
      <c r="G371">
        <f>_xlfn.LET(_xlpm.Searching,"61",_xlpm.inStr,IFERROR(FIND(_xlpm.Searching,$A375)&gt;=1,FALSE),IF(AND(_xlpm.inStr,LEN(A375)&lt;=6),$A376,""))</f>
        <v>3</v>
      </c>
      <c r="H371" t="str">
        <f>_xlfn.LET(_xlpm.Searching,"63",_xlpm.inStr,IFERROR(FIND(_xlpm.Searching,$A375)&gt;=1,FALSE),IF(AND(_xlpm.inStr,LEN(A375)&lt;=6),$A376,""))</f>
        <v/>
      </c>
    </row>
    <row r="372" spans="1:8" x14ac:dyDescent="0.25">
      <c r="A372">
        <v>1</v>
      </c>
      <c r="B372" t="str" cm="1">
        <f t="array" ref="B372">БУКВЫ(MID($A369,3,11))</f>
        <v>212850371</v>
      </c>
      <c r="C372" s="2"/>
      <c r="D372" s="2"/>
      <c r="E372" s="2"/>
      <c r="F372" s="2"/>
      <c r="G372" t="str">
        <f>_xlfn.LET(_xlpm.Searching,"61",_xlpm.inStr,IFERROR(FIND(_xlpm.Searching,$A377)&gt;=1,FALSE),IF(AND(_xlpm.inStr,LEN(A377)&lt;=6),$A378,""))</f>
        <v/>
      </c>
      <c r="H372" t="str">
        <f>_xlfn.LET(_xlpm.Searching,"63",_xlpm.inStr,IFERROR(FIND(_xlpm.Searching,$A377)&gt;=1,FALSE),IF(AND(_xlpm.inStr,LEN(A377)&lt;=6),$A378,""))</f>
        <v/>
      </c>
    </row>
    <row r="373" spans="1:8" x14ac:dyDescent="0.25">
      <c r="A373" t="s">
        <v>12</v>
      </c>
      <c r="B373" t="str" cm="1">
        <f t="array" ref="B373">БУКВЫ(MID($A369,3,11))</f>
        <v>212850371</v>
      </c>
      <c r="C373" s="2"/>
      <c r="D373" s="2"/>
      <c r="E373" s="2"/>
      <c r="F373" s="2"/>
      <c r="G373" s="2"/>
      <c r="H373" t="str">
        <f>_xlfn.LET(_xlpm.Searching,"63",_xlpm.inStr,IFERROR(FIND(_xlpm.Searching,$A379)&gt;=1,FALSE),IF(AND(_xlpm.inStr,LEN(A379)&lt;=6),$A380,""))</f>
        <v/>
      </c>
    </row>
    <row r="374" spans="1:8" x14ac:dyDescent="0.25">
      <c r="A374">
        <v>4</v>
      </c>
    </row>
    <row r="375" spans="1:8" x14ac:dyDescent="0.25">
      <c r="A375" t="s">
        <v>13</v>
      </c>
    </row>
    <row r="376" spans="1:8" x14ac:dyDescent="0.25">
      <c r="A376">
        <v>3</v>
      </c>
    </row>
    <row r="377" spans="1:8" x14ac:dyDescent="0.25">
      <c r="A377" t="s">
        <v>143</v>
      </c>
    </row>
    <row r="378" spans="1:8" x14ac:dyDescent="0.25">
      <c r="A378" t="s">
        <v>144</v>
      </c>
    </row>
    <row r="379" spans="1:8" x14ac:dyDescent="0.25">
      <c r="A379" t="s">
        <v>145</v>
      </c>
    </row>
    <row r="380" spans="1:8" x14ac:dyDescent="0.25">
      <c r="A380" t="s">
        <v>2</v>
      </c>
    </row>
    <row r="381" spans="1:8" x14ac:dyDescent="0.25">
      <c r="A381" t="s">
        <v>31</v>
      </c>
    </row>
    <row r="382" spans="1:8" x14ac:dyDescent="0.25">
      <c r="A382" t="s">
        <v>32</v>
      </c>
    </row>
    <row r="383" spans="1:8" x14ac:dyDescent="0.25">
      <c r="A383" t="s">
        <v>33</v>
      </c>
    </row>
    <row r="384" spans="1:8" x14ac:dyDescent="0.25">
      <c r="A384" t="s">
        <v>34</v>
      </c>
    </row>
    <row r="385" spans="1:1" x14ac:dyDescent="0.25">
      <c r="A385" t="s">
        <v>35</v>
      </c>
    </row>
    <row r="386" spans="1:1" x14ac:dyDescent="0.25">
      <c r="A386" t="s">
        <v>36</v>
      </c>
    </row>
    <row r="387" spans="1:1" x14ac:dyDescent="0.25">
      <c r="A387" t="s">
        <v>37</v>
      </c>
    </row>
    <row r="388" spans="1:1" x14ac:dyDescent="0.25">
      <c r="A388" t="s">
        <v>38</v>
      </c>
    </row>
    <row r="389" spans="1:1" x14ac:dyDescent="0.25">
      <c r="A389" t="s">
        <v>39</v>
      </c>
    </row>
    <row r="390" spans="1:1" x14ac:dyDescent="0.25">
      <c r="A390" t="s">
        <v>40</v>
      </c>
    </row>
    <row r="391" spans="1:1" x14ac:dyDescent="0.25">
      <c r="A391" t="s">
        <v>41</v>
      </c>
    </row>
    <row r="392" spans="1:1" x14ac:dyDescent="0.25">
      <c r="A392" t="s">
        <v>42</v>
      </c>
    </row>
    <row r="393" spans="1:1" x14ac:dyDescent="0.25">
      <c r="A393" t="s">
        <v>43</v>
      </c>
    </row>
    <row r="394" spans="1:1" x14ac:dyDescent="0.25">
      <c r="A394" t="s">
        <v>44</v>
      </c>
    </row>
    <row r="395" spans="1:1" x14ac:dyDescent="0.25">
      <c r="A395" t="s">
        <v>1</v>
      </c>
    </row>
    <row r="396" spans="1:1" x14ac:dyDescent="0.25">
      <c r="A396" t="s">
        <v>45</v>
      </c>
    </row>
    <row r="397" spans="1:1" x14ac:dyDescent="0.25">
      <c r="A397" t="s">
        <v>146</v>
      </c>
    </row>
    <row r="398" spans="1:1" x14ac:dyDescent="0.25">
      <c r="A398" t="s">
        <v>3</v>
      </c>
    </row>
    <row r="399" spans="1:1" x14ac:dyDescent="0.25">
      <c r="A399" t="s">
        <v>4</v>
      </c>
    </row>
    <row r="400" spans="1:1" x14ac:dyDescent="0.25">
      <c r="A400" t="s">
        <v>5</v>
      </c>
    </row>
    <row r="401" spans="1:8" x14ac:dyDescent="0.25">
      <c r="A401" t="s">
        <v>6</v>
      </c>
    </row>
    <row r="402" spans="1:8" x14ac:dyDescent="0.25">
      <c r="A402" t="s">
        <v>7</v>
      </c>
    </row>
    <row r="403" spans="1:8" x14ac:dyDescent="0.25">
      <c r="A403" t="s">
        <v>8</v>
      </c>
    </row>
    <row r="404" spans="1:8" x14ac:dyDescent="0.25">
      <c r="A404" t="s">
        <v>9</v>
      </c>
      <c r="B404" s="1" t="s">
        <v>183</v>
      </c>
      <c r="C404" s="1" t="s">
        <v>27</v>
      </c>
      <c r="D404" s="1">
        <v>55</v>
      </c>
      <c r="E404" s="1">
        <v>57</v>
      </c>
      <c r="F404" s="1">
        <v>59</v>
      </c>
      <c r="G404" s="1">
        <v>61</v>
      </c>
      <c r="H404" s="1">
        <v>63</v>
      </c>
    </row>
    <row r="405" spans="1:8" x14ac:dyDescent="0.25">
      <c r="A405" t="s">
        <v>147</v>
      </c>
      <c r="B405" t="str" cm="1">
        <f t="array" ref="B405">БУКВЫ(MID($A405,3,11))</f>
        <v>123855177</v>
      </c>
      <c r="C405" t="str">
        <f>_xlfn.LET(_xlpm.Searching,"OSFA",_xlpm.inStr,IFERROR(FIND(_xlpm.Searching,$A407)&gt;=1,FALSE),IF(AND(_xlpm.inStr,LEN(A407)&lt;=6),A408,""))</f>
        <v/>
      </c>
      <c r="D405" t="str">
        <f>_xlfn.LET(_xlpm.Searching,"55",_xlpm.inStr,IFERROR(FIND(_xlpm.Searching,$A407)&gt;=1,FALSE),IF(AND(_xlpm.inStr,LEN(A407)&lt;=6),A408,""))</f>
        <v/>
      </c>
      <c r="E405" t="str">
        <f>_xlfn.LET(_xlpm.Searching,"57",_xlpm.inStr,IFERROR(FIND(_xlpm.Searching,$A407)&gt;=1,FALSE),IF(AND(_xlpm.inStr,LEN(A407)&lt;=6),$A408,""))&amp;E406</f>
        <v>2</v>
      </c>
      <c r="F405" t="str">
        <f>_xlfn.LET(_xlpm.Searching,"59",_xlpm.inStr,IFERROR(FIND(_xlpm.Searching,$A407)&gt;=1,FALSE),IF(AND(_xlpm.inStr,LEN(A407)&lt;=6),$A408,""))&amp;F406&amp;F407</f>
        <v/>
      </c>
      <c r="G405" t="str">
        <f>_xlfn.LET(_xlpm.Searching,"61",_xlpm.inStr,IFERROR(FIND(_xlpm.Searching,$A407)&gt;=1,FALSE),IF(AND(_xlpm.inStr,LEN(A407)&lt;=6),$A408,""))&amp;G406&amp;G407&amp;G408</f>
        <v/>
      </c>
      <c r="H405" t="str">
        <f>_xlfn.LET(_xlpm.Searching,"63",_xlpm.inStr,IFERROR(FIND(_xlpm.Searching,$A407)&gt;=1,FALSE),IF(AND(_xlpm.inStr,LEN(A407)&lt;=6),$A408,""))&amp;H406&amp;H407&amp;H408&amp;H409</f>
        <v/>
      </c>
    </row>
    <row r="406" spans="1:8" x14ac:dyDescent="0.25">
      <c r="A406" t="s">
        <v>148</v>
      </c>
      <c r="B406" t="str" cm="1">
        <f t="array" ref="B406">БУКВЫ(MID($A405,3,11))</f>
        <v>123855177</v>
      </c>
      <c r="C406" s="2"/>
      <c r="D406" s="2"/>
      <c r="E406" t="str">
        <f>_xlfn.LET(_xlpm.Searching,"57",_xlpm.inStr,IFERROR(FIND(_xlpm.Searching,$A409)&gt;=1,FALSE),IF(AND(_xlpm.inStr,LEN(A409)&lt;=6),$A410,""))</f>
        <v/>
      </c>
      <c r="F406" t="str">
        <f>_xlfn.LET(_xlpm.Searching,"59",_xlpm.inStr,IFERROR(FIND(_xlpm.Searching,$A409)&gt;=1,FALSE),IF(AND(_xlpm.inStr,LEN(A409)&lt;=6),$A410,""))</f>
        <v/>
      </c>
      <c r="G406" t="str">
        <f>_xlfn.LET(_xlpm.Searching,"61",_xlpm.inStr,IFERROR(FIND(_xlpm.Searching,$A409)&gt;=1,FALSE),IF(AND(_xlpm.inStr,LEN(A409)&lt;=6),$A410,""))</f>
        <v/>
      </c>
      <c r="H406" t="str">
        <f>_xlfn.LET(_xlpm.Searching,"63",_xlpm.inStr,IFERROR(FIND(_xlpm.Searching,$A409)&gt;=1,FALSE),IF(AND(_xlpm.inStr,LEN(A409)&lt;=6),$A410,""))</f>
        <v/>
      </c>
    </row>
    <row r="407" spans="1:8" x14ac:dyDescent="0.25">
      <c r="A407" t="s">
        <v>20</v>
      </c>
      <c r="B407" t="str" cm="1">
        <f t="array" ref="B407">БУКВЫ(MID($A405,3,11))</f>
        <v>123855177</v>
      </c>
      <c r="C407" s="2"/>
      <c r="D407" s="2"/>
      <c r="E407" s="2"/>
      <c r="F407" t="str">
        <f>_xlfn.LET(_xlpm.Searching,"59",_xlpm.inStr,IFERROR(FIND(_xlpm.Searching,$A411)&gt;=1,FALSE),IF(AND(_xlpm.inStr,LEN(A411)&lt;=6),$A412,""))</f>
        <v/>
      </c>
      <c r="G407" t="str">
        <f>_xlfn.LET(_xlpm.Searching,"61",_xlpm.inStr,IFERROR(FIND(_xlpm.Searching,$A411)&gt;=1,FALSE),IF(AND(_xlpm.inStr,LEN(A411)&lt;=6),$A412,""))</f>
        <v/>
      </c>
      <c r="H407" t="str">
        <f>_xlfn.LET(_xlpm.Searching,"63",_xlpm.inStr,IFERROR(FIND(_xlpm.Searching,$A411)&gt;=1,FALSE),IF(AND(_xlpm.inStr,LEN(A411)&lt;=6),$A412,""))</f>
        <v/>
      </c>
    </row>
    <row r="408" spans="1:8" x14ac:dyDescent="0.25">
      <c r="A408">
        <v>2</v>
      </c>
      <c r="B408" t="str" cm="1">
        <f t="array" ref="B408">БУКВЫ(MID($A405,3,11))</f>
        <v>123855177</v>
      </c>
      <c r="C408" s="2"/>
      <c r="D408" s="2"/>
      <c r="E408" s="2"/>
      <c r="F408" s="2"/>
      <c r="G408" t="str">
        <f>_xlfn.LET(_xlpm.Searching,"61",_xlpm.inStr,IFERROR(FIND(_xlpm.Searching,$A413)&gt;=1,FALSE),IF(AND(_xlpm.inStr,LEN(A413)&lt;=6),$A414,""))</f>
        <v/>
      </c>
      <c r="H408" t="str">
        <f>_xlfn.LET(_xlpm.Searching,"63",_xlpm.inStr,IFERROR(FIND(_xlpm.Searching,$A413)&gt;=1,FALSE),IF(AND(_xlpm.inStr,LEN(A413)&lt;=6),$A414,""))</f>
        <v/>
      </c>
    </row>
    <row r="409" spans="1:8" x14ac:dyDescent="0.25">
      <c r="A409" t="s">
        <v>143</v>
      </c>
      <c r="B409" t="str" cm="1">
        <f t="array" ref="B409">БУКВЫ(MID($A405,3,11))</f>
        <v>123855177</v>
      </c>
      <c r="C409" s="2"/>
      <c r="D409" s="2"/>
      <c r="E409" s="2"/>
      <c r="F409" s="2"/>
      <c r="G409" s="2"/>
      <c r="H409" t="str">
        <f>_xlfn.LET(_xlpm.Searching,"63",_xlpm.inStr,IFERROR(FIND(_xlpm.Searching,$A415)&gt;=1,FALSE),IF(AND(_xlpm.inStr,LEN(A415)&lt;=6),$A416,""))</f>
        <v/>
      </c>
    </row>
    <row r="410" spans="1:8" x14ac:dyDescent="0.25">
      <c r="A410" t="s">
        <v>149</v>
      </c>
    </row>
    <row r="411" spans="1:8" x14ac:dyDescent="0.25">
      <c r="A411" t="s">
        <v>150</v>
      </c>
      <c r="B411" s="1" t="s">
        <v>183</v>
      </c>
      <c r="C411" s="1" t="s">
        <v>27</v>
      </c>
      <c r="D411" s="1">
        <v>55</v>
      </c>
      <c r="E411" s="1">
        <v>57</v>
      </c>
      <c r="F411" s="1">
        <v>59</v>
      </c>
      <c r="G411" s="1">
        <v>61</v>
      </c>
      <c r="H411" s="1">
        <v>63</v>
      </c>
    </row>
    <row r="412" spans="1:8" x14ac:dyDescent="0.25">
      <c r="A412" t="s">
        <v>151</v>
      </c>
      <c r="B412" t="str" cm="1">
        <f t="array" ref="B412">БУКВЫ(MID($A412,3,11))</f>
        <v>169850977</v>
      </c>
      <c r="C412" t="str">
        <f>_xlfn.LET(_xlpm.Searching,"OSFA",_xlpm.inStr,IFERROR(FIND(_xlpm.Searching,$A414)&gt;=1,FALSE),IF(AND(_xlpm.inStr,LEN(A414)&lt;=6),A415,""))</f>
        <v/>
      </c>
      <c r="D412">
        <f>_xlfn.LET(_xlpm.Searching,"55",_xlpm.inStr,IFERROR(FIND(_xlpm.Searching,$A414)&gt;=1,FALSE),IF(AND(_xlpm.inStr,LEN(A414)&lt;=6),A415,""))</f>
        <v>2</v>
      </c>
      <c r="E412" t="str">
        <f>_xlfn.LET(_xlpm.Searching,"57",_xlpm.inStr,IFERROR(FIND(_xlpm.Searching,$A414)&gt;=1,FALSE),IF(AND(_xlpm.inStr,LEN(A414)&lt;=6),$A415,""))&amp;E413</f>
        <v>5</v>
      </c>
      <c r="F412" t="str">
        <f>_xlfn.LET(_xlpm.Searching,"59",_xlpm.inStr,IFERROR(FIND(_xlpm.Searching,$A414)&gt;=1,FALSE),IF(AND(_xlpm.inStr,LEN(A414)&lt;=6),$A415,""))&amp;F413&amp;F414</f>
        <v>7</v>
      </c>
      <c r="G412" t="str">
        <f>_xlfn.LET(_xlpm.Searching,"61",_xlpm.inStr,IFERROR(FIND(_xlpm.Searching,$A414)&gt;=1,FALSE),IF(AND(_xlpm.inStr,LEN(A414)&lt;=6),$A415,""))&amp;G413&amp;G414&amp;G415</f>
        <v>5</v>
      </c>
      <c r="H412" t="str">
        <f>_xlfn.LET(_xlpm.Searching,"63",_xlpm.inStr,IFERROR(FIND(_xlpm.Searching,$A414)&gt;=1,FALSE),IF(AND(_xlpm.inStr,LEN(A414)&lt;=6),$A415,""))&amp;H413&amp;H414&amp;H415&amp;H416</f>
        <v>2</v>
      </c>
    </row>
    <row r="413" spans="1:8" x14ac:dyDescent="0.25">
      <c r="A413" t="s">
        <v>152</v>
      </c>
      <c r="B413" t="str" cm="1">
        <f t="array" ref="B413">БУКВЫ(MID($A412,3,11))</f>
        <v>169850977</v>
      </c>
      <c r="C413" s="2"/>
      <c r="D413" s="2"/>
      <c r="E413">
        <f>_xlfn.LET(_xlpm.Searching,"57",_xlpm.inStr,IFERROR(FIND(_xlpm.Searching,$A416)&gt;=1,FALSE),IF(AND(_xlpm.inStr,LEN(A416)&lt;=6),$A417,""))</f>
        <v>5</v>
      </c>
      <c r="F413" t="str">
        <f>_xlfn.LET(_xlpm.Searching,"59",_xlpm.inStr,IFERROR(FIND(_xlpm.Searching,$A416)&gt;=1,FALSE),IF(AND(_xlpm.inStr,LEN(A416)&lt;=6),$A417,""))</f>
        <v/>
      </c>
      <c r="G413" t="str">
        <f>_xlfn.LET(_xlpm.Searching,"61",_xlpm.inStr,IFERROR(FIND(_xlpm.Searching,$A416)&gt;=1,FALSE),IF(AND(_xlpm.inStr,LEN(A416)&lt;=6),$A417,""))</f>
        <v/>
      </c>
      <c r="H413" t="str">
        <f>_xlfn.LET(_xlpm.Searching,"63",_xlpm.inStr,IFERROR(FIND(_xlpm.Searching,$A416)&gt;=1,FALSE),IF(AND(_xlpm.inStr,LEN(A416)&lt;=6),$A417,""))</f>
        <v/>
      </c>
    </row>
    <row r="414" spans="1:8" x14ac:dyDescent="0.25">
      <c r="A414" t="s">
        <v>19</v>
      </c>
      <c r="B414" t="str" cm="1">
        <f t="array" ref="B414">БУКВЫ(MID($A412,3,11))</f>
        <v>169850977</v>
      </c>
      <c r="C414" s="2"/>
      <c r="D414" s="2"/>
      <c r="E414" s="2"/>
      <c r="F414">
        <f>_xlfn.LET(_xlpm.Searching,"59",_xlpm.inStr,IFERROR(FIND(_xlpm.Searching,$A418)&gt;=1,FALSE),IF(AND(_xlpm.inStr,LEN(A418)&lt;=6),$A419,""))</f>
        <v>7</v>
      </c>
      <c r="G414" t="str">
        <f>_xlfn.LET(_xlpm.Searching,"61",_xlpm.inStr,IFERROR(FIND(_xlpm.Searching,$A418)&gt;=1,FALSE),IF(AND(_xlpm.inStr,LEN(A418)&lt;=6),$A419,""))</f>
        <v/>
      </c>
      <c r="H414" t="str">
        <f>_xlfn.LET(_xlpm.Searching,"63",_xlpm.inStr,IFERROR(FIND(_xlpm.Searching,$A418)&gt;=1,FALSE),IF(AND(_xlpm.inStr,LEN(A418)&lt;=6),$A419,""))</f>
        <v/>
      </c>
    </row>
    <row r="415" spans="1:8" x14ac:dyDescent="0.25">
      <c r="A415">
        <v>2</v>
      </c>
      <c r="B415" t="str" cm="1">
        <f t="array" ref="B415">БУКВЫ(MID($A412,3,11))</f>
        <v>169850977</v>
      </c>
      <c r="C415" s="2"/>
      <c r="D415" s="2"/>
      <c r="E415" s="2"/>
      <c r="F415" s="2"/>
      <c r="G415">
        <f>_xlfn.LET(_xlpm.Searching,"61",_xlpm.inStr,IFERROR(FIND(_xlpm.Searching,$A420)&gt;=1,FALSE),IF(AND(_xlpm.inStr,LEN(A420)&lt;=6),$A421,""))</f>
        <v>5</v>
      </c>
      <c r="H415" t="str">
        <f>_xlfn.LET(_xlpm.Searching,"63",_xlpm.inStr,IFERROR(FIND(_xlpm.Searching,$A420)&gt;=1,FALSE),IF(AND(_xlpm.inStr,LEN(A420)&lt;=6),$A421,""))</f>
        <v/>
      </c>
    </row>
    <row r="416" spans="1:8" x14ac:dyDescent="0.25">
      <c r="A416" t="s">
        <v>20</v>
      </c>
      <c r="B416" t="str" cm="1">
        <f t="array" ref="B416">БУКВЫ(MID($A412,3,11))</f>
        <v>169850977</v>
      </c>
      <c r="C416" s="2"/>
      <c r="D416" s="2"/>
      <c r="E416" s="2"/>
      <c r="F416" s="2"/>
      <c r="G416" s="2"/>
      <c r="H416">
        <f>_xlfn.LET(_xlpm.Searching,"63",_xlpm.inStr,IFERROR(FIND(_xlpm.Searching,$A422)&gt;=1,FALSE),IF(AND(_xlpm.inStr,LEN(A422)&lt;=6),$A423,""))</f>
        <v>2</v>
      </c>
    </row>
    <row r="417" spans="1:8" x14ac:dyDescent="0.25">
      <c r="A417">
        <v>5</v>
      </c>
    </row>
    <row r="418" spans="1:8" x14ac:dyDescent="0.25">
      <c r="A418" t="s">
        <v>12</v>
      </c>
    </row>
    <row r="419" spans="1:8" x14ac:dyDescent="0.25">
      <c r="A419">
        <v>7</v>
      </c>
    </row>
    <row r="420" spans="1:8" x14ac:dyDescent="0.25">
      <c r="A420" t="s">
        <v>13</v>
      </c>
    </row>
    <row r="421" spans="1:8" x14ac:dyDescent="0.25">
      <c r="A421">
        <v>5</v>
      </c>
    </row>
    <row r="422" spans="1:8" x14ac:dyDescent="0.25">
      <c r="A422" t="s">
        <v>21</v>
      </c>
    </row>
    <row r="423" spans="1:8" x14ac:dyDescent="0.25">
      <c r="A423">
        <v>2</v>
      </c>
    </row>
    <row r="424" spans="1:8" x14ac:dyDescent="0.25">
      <c r="A424" t="s">
        <v>153</v>
      </c>
    </row>
    <row r="425" spans="1:8" x14ac:dyDescent="0.25">
      <c r="A425" t="s">
        <v>154</v>
      </c>
    </row>
    <row r="426" spans="1:8" x14ac:dyDescent="0.25">
      <c r="A426" t="s">
        <v>155</v>
      </c>
      <c r="B426" s="1" t="s">
        <v>183</v>
      </c>
      <c r="C426" s="1" t="s">
        <v>27</v>
      </c>
      <c r="D426" s="1">
        <v>55</v>
      </c>
      <c r="E426" s="1">
        <v>57</v>
      </c>
      <c r="F426" s="1">
        <v>59</v>
      </c>
      <c r="G426" s="1">
        <v>61</v>
      </c>
      <c r="H426" s="1">
        <v>63</v>
      </c>
    </row>
    <row r="427" spans="1:8" x14ac:dyDescent="0.25">
      <c r="A427" t="s">
        <v>156</v>
      </c>
      <c r="B427" t="str" cm="1">
        <f t="array" ref="B427">БУКВЫ(MID($A427,3,11))</f>
        <v>169850967</v>
      </c>
      <c r="C427" t="str">
        <f>_xlfn.LET(_xlpm.Searching,"OSFA",_xlpm.inStr,IFERROR(FIND(_xlpm.Searching,$A429)&gt;=1,FALSE),IF(AND(_xlpm.inStr,LEN(A429)&lt;=6),A430,""))</f>
        <v/>
      </c>
      <c r="D427">
        <f>_xlfn.LET(_xlpm.Searching,"55",_xlpm.inStr,IFERROR(FIND(_xlpm.Searching,$A429)&gt;=1,FALSE),IF(AND(_xlpm.inStr,LEN(A429)&lt;=6),A430,""))</f>
        <v>2</v>
      </c>
      <c r="E427" t="str">
        <f>_xlfn.LET(_xlpm.Searching,"57",_xlpm.inStr,IFERROR(FIND(_xlpm.Searching,$A429)&gt;=1,FALSE),IF(AND(_xlpm.inStr,LEN(A429)&lt;=6),$A430,""))&amp;E428</f>
        <v>5</v>
      </c>
      <c r="F427" t="str">
        <f>_xlfn.LET(_xlpm.Searching,"59",_xlpm.inStr,IFERROR(FIND(_xlpm.Searching,$A429)&gt;=1,FALSE),IF(AND(_xlpm.inStr,LEN(A429)&lt;=6),$A430,""))&amp;F428&amp;F429</f>
        <v>7</v>
      </c>
      <c r="G427" t="str">
        <f>_xlfn.LET(_xlpm.Searching,"61",_xlpm.inStr,IFERROR(FIND(_xlpm.Searching,$A429)&gt;=1,FALSE),IF(AND(_xlpm.inStr,LEN(A429)&lt;=6),$A430,""))&amp;G428&amp;G429&amp;G430</f>
        <v>5</v>
      </c>
      <c r="H427" t="str">
        <f>_xlfn.LET(_xlpm.Searching,"63",_xlpm.inStr,IFERROR(FIND(_xlpm.Searching,$A429)&gt;=1,FALSE),IF(AND(_xlpm.inStr,LEN(A429)&lt;=6),$A430,""))&amp;H428&amp;H429&amp;H430&amp;H431</f>
        <v>2</v>
      </c>
    </row>
    <row r="428" spans="1:8" x14ac:dyDescent="0.25">
      <c r="A428" t="s">
        <v>152</v>
      </c>
      <c r="B428" t="str" cm="1">
        <f t="array" ref="B428">БУКВЫ(MID($A427,3,11))</f>
        <v>169850967</v>
      </c>
      <c r="C428" s="2"/>
      <c r="D428" s="2"/>
      <c r="E428">
        <f>_xlfn.LET(_xlpm.Searching,"57",_xlpm.inStr,IFERROR(FIND(_xlpm.Searching,$A431)&gt;=1,FALSE),IF(AND(_xlpm.inStr,LEN(A431)&lt;=6),$A432,""))</f>
        <v>5</v>
      </c>
      <c r="F428" t="str">
        <f>_xlfn.LET(_xlpm.Searching,"59",_xlpm.inStr,IFERROR(FIND(_xlpm.Searching,$A431)&gt;=1,FALSE),IF(AND(_xlpm.inStr,LEN(A431)&lt;=6),$A432,""))</f>
        <v/>
      </c>
      <c r="G428" t="str">
        <f>_xlfn.LET(_xlpm.Searching,"61",_xlpm.inStr,IFERROR(FIND(_xlpm.Searching,$A431)&gt;=1,FALSE),IF(AND(_xlpm.inStr,LEN(A431)&lt;=6),$A432,""))</f>
        <v/>
      </c>
      <c r="H428" t="str">
        <f>_xlfn.LET(_xlpm.Searching,"63",_xlpm.inStr,IFERROR(FIND(_xlpm.Searching,$A431)&gt;=1,FALSE),IF(AND(_xlpm.inStr,LEN(A431)&lt;=6),$A432,""))</f>
        <v/>
      </c>
    </row>
    <row r="429" spans="1:8" x14ac:dyDescent="0.25">
      <c r="A429" t="s">
        <v>19</v>
      </c>
      <c r="B429" t="str" cm="1">
        <f t="array" ref="B429">БУКВЫ(MID($A427,3,11))</f>
        <v>169850967</v>
      </c>
      <c r="C429" s="2"/>
      <c r="D429" s="2"/>
      <c r="E429" s="2"/>
      <c r="F429">
        <f>_xlfn.LET(_xlpm.Searching,"59",_xlpm.inStr,IFERROR(FIND(_xlpm.Searching,$A433)&gt;=1,FALSE),IF(AND(_xlpm.inStr,LEN(A433)&lt;=6),$A434,""))</f>
        <v>7</v>
      </c>
      <c r="G429" t="str">
        <f>_xlfn.LET(_xlpm.Searching,"61",_xlpm.inStr,IFERROR(FIND(_xlpm.Searching,$A433)&gt;=1,FALSE),IF(AND(_xlpm.inStr,LEN(A433)&lt;=6),$A434,""))</f>
        <v/>
      </c>
      <c r="H429" t="str">
        <f>_xlfn.LET(_xlpm.Searching,"63",_xlpm.inStr,IFERROR(FIND(_xlpm.Searching,$A433)&gt;=1,FALSE),IF(AND(_xlpm.inStr,LEN(A433)&lt;=6),$A434,""))</f>
        <v/>
      </c>
    </row>
    <row r="430" spans="1:8" x14ac:dyDescent="0.25">
      <c r="A430">
        <v>2</v>
      </c>
      <c r="B430" t="str" cm="1">
        <f t="array" ref="B430">БУКВЫ(MID($A427,3,11))</f>
        <v>169850967</v>
      </c>
      <c r="C430" s="2"/>
      <c r="D430" s="2"/>
      <c r="E430" s="2"/>
      <c r="F430" s="2"/>
      <c r="G430">
        <f>_xlfn.LET(_xlpm.Searching,"61",_xlpm.inStr,IFERROR(FIND(_xlpm.Searching,$A435)&gt;=1,FALSE),IF(AND(_xlpm.inStr,LEN(A435)&lt;=6),$A436,""))</f>
        <v>5</v>
      </c>
      <c r="H430" t="str">
        <f>_xlfn.LET(_xlpm.Searching,"63",_xlpm.inStr,IFERROR(FIND(_xlpm.Searching,$A435)&gt;=1,FALSE),IF(AND(_xlpm.inStr,LEN(A435)&lt;=6),$A436,""))</f>
        <v/>
      </c>
    </row>
    <row r="431" spans="1:8" x14ac:dyDescent="0.25">
      <c r="A431" t="s">
        <v>20</v>
      </c>
      <c r="B431" t="str" cm="1">
        <f t="array" ref="B431">БУКВЫ(MID($A427,3,11))</f>
        <v>169850967</v>
      </c>
      <c r="C431" s="2"/>
      <c r="D431" s="2"/>
      <c r="E431" s="2"/>
      <c r="F431" s="2"/>
      <c r="G431" s="2"/>
      <c r="H431">
        <f>_xlfn.LET(_xlpm.Searching,"63",_xlpm.inStr,IFERROR(FIND(_xlpm.Searching,$A437)&gt;=1,FALSE),IF(AND(_xlpm.inStr,LEN(A437)&lt;=6),$A438,""))</f>
        <v>2</v>
      </c>
    </row>
    <row r="432" spans="1:8" x14ac:dyDescent="0.25">
      <c r="A432">
        <v>5</v>
      </c>
    </row>
    <row r="433" spans="1:8" x14ac:dyDescent="0.25">
      <c r="A433" t="s">
        <v>12</v>
      </c>
    </row>
    <row r="434" spans="1:8" x14ac:dyDescent="0.25">
      <c r="A434">
        <v>7</v>
      </c>
    </row>
    <row r="435" spans="1:8" x14ac:dyDescent="0.25">
      <c r="A435" t="s">
        <v>13</v>
      </c>
    </row>
    <row r="436" spans="1:8" x14ac:dyDescent="0.25">
      <c r="A436">
        <v>5</v>
      </c>
    </row>
    <row r="437" spans="1:8" x14ac:dyDescent="0.25">
      <c r="A437" t="s">
        <v>21</v>
      </c>
    </row>
    <row r="438" spans="1:8" x14ac:dyDescent="0.25">
      <c r="A438">
        <v>2</v>
      </c>
    </row>
    <row r="439" spans="1:8" x14ac:dyDescent="0.25">
      <c r="A439" t="s">
        <v>153</v>
      </c>
    </row>
    <row r="440" spans="1:8" x14ac:dyDescent="0.25">
      <c r="A440" t="s">
        <v>154</v>
      </c>
    </row>
    <row r="441" spans="1:8" x14ac:dyDescent="0.25">
      <c r="A441" t="s">
        <v>155</v>
      </c>
      <c r="B441" s="1" t="s">
        <v>183</v>
      </c>
      <c r="C441" s="1" t="s">
        <v>27</v>
      </c>
      <c r="D441" s="1">
        <v>55</v>
      </c>
      <c r="E441" s="1">
        <v>57</v>
      </c>
      <c r="F441" s="1">
        <v>59</v>
      </c>
      <c r="G441" s="1">
        <v>61</v>
      </c>
      <c r="H441" s="1">
        <v>63</v>
      </c>
    </row>
    <row r="442" spans="1:8" x14ac:dyDescent="0.25">
      <c r="A442" t="s">
        <v>157</v>
      </c>
      <c r="B442" t="str" cm="1">
        <f t="array" ref="B442">БУКВЫ(MID($A442,3,11))</f>
        <v>293851067</v>
      </c>
      <c r="C442" t="str">
        <f>_xlfn.LET(_xlpm.Searching,"OSFA",_xlpm.inStr,IFERROR(FIND(_xlpm.Searching,$A444)&gt;=1,FALSE),IF(AND(_xlpm.inStr,LEN(A444)&lt;=6),A445,""))</f>
        <v/>
      </c>
      <c r="D442">
        <f>_xlfn.LET(_xlpm.Searching,"55",_xlpm.inStr,IFERROR(FIND(_xlpm.Searching,$A444)&gt;=1,FALSE),IF(AND(_xlpm.inStr,LEN(A444)&lt;=6),A445,""))</f>
        <v>1</v>
      </c>
      <c r="E442" t="str">
        <f>_xlfn.LET(_xlpm.Searching,"57",_xlpm.inStr,IFERROR(FIND(_xlpm.Searching,$A444)&gt;=1,FALSE),IF(AND(_xlpm.inStr,LEN(A444)&lt;=6),$A445,""))&amp;E443</f>
        <v>4</v>
      </c>
      <c r="F442" t="str">
        <f>_xlfn.LET(_xlpm.Searching,"59",_xlpm.inStr,IFERROR(FIND(_xlpm.Searching,$A444)&gt;=1,FALSE),IF(AND(_xlpm.inStr,LEN(A444)&lt;=6),$A445,""))&amp;F443&amp;F444</f>
        <v>6</v>
      </c>
      <c r="G442" t="str">
        <f>_xlfn.LET(_xlpm.Searching,"61",_xlpm.inStr,IFERROR(FIND(_xlpm.Searching,$A444)&gt;=1,FALSE),IF(AND(_xlpm.inStr,LEN(A444)&lt;=6),$A445,""))&amp;G443&amp;G444&amp;G445</f>
        <v>4</v>
      </c>
      <c r="H442" t="str">
        <f>_xlfn.LET(_xlpm.Searching,"63",_xlpm.inStr,IFERROR(FIND(_xlpm.Searching,$A444)&gt;=1,FALSE),IF(AND(_xlpm.inStr,LEN(A444)&lt;=6),$A445,""))&amp;H443&amp;H444&amp;H445&amp;H446</f>
        <v>1</v>
      </c>
    </row>
    <row r="443" spans="1:8" x14ac:dyDescent="0.25">
      <c r="A443" t="s">
        <v>158</v>
      </c>
      <c r="B443" t="str" cm="1">
        <f t="array" ref="B443">БУКВЫ(MID($A442,3,11))</f>
        <v>293851067</v>
      </c>
      <c r="C443" s="2"/>
      <c r="D443" s="2"/>
      <c r="E443">
        <f>_xlfn.LET(_xlpm.Searching,"57",_xlpm.inStr,IFERROR(FIND(_xlpm.Searching,$A446)&gt;=1,FALSE),IF(AND(_xlpm.inStr,LEN(A446)&lt;=6),$A447,""))</f>
        <v>4</v>
      </c>
      <c r="F443" t="str">
        <f>_xlfn.LET(_xlpm.Searching,"59",_xlpm.inStr,IFERROR(FIND(_xlpm.Searching,$A446)&gt;=1,FALSE),IF(AND(_xlpm.inStr,LEN(A446)&lt;=6),$A447,""))</f>
        <v/>
      </c>
      <c r="G443" t="str">
        <f>_xlfn.LET(_xlpm.Searching,"61",_xlpm.inStr,IFERROR(FIND(_xlpm.Searching,$A446)&gt;=1,FALSE),IF(AND(_xlpm.inStr,LEN(A446)&lt;=6),$A447,""))</f>
        <v/>
      </c>
      <c r="H443" t="str">
        <f>_xlfn.LET(_xlpm.Searching,"63",_xlpm.inStr,IFERROR(FIND(_xlpm.Searching,$A446)&gt;=1,FALSE),IF(AND(_xlpm.inStr,LEN(A446)&lt;=6),$A447,""))</f>
        <v/>
      </c>
    </row>
    <row r="444" spans="1:8" x14ac:dyDescent="0.25">
      <c r="A444" t="s">
        <v>19</v>
      </c>
      <c r="B444" t="str" cm="1">
        <f t="array" ref="B444">БУКВЫ(MID($A442,3,11))</f>
        <v>293851067</v>
      </c>
      <c r="C444" s="2"/>
      <c r="D444" s="2"/>
      <c r="E444" s="2"/>
      <c r="F444">
        <f>_xlfn.LET(_xlpm.Searching,"59",_xlpm.inStr,IFERROR(FIND(_xlpm.Searching,$A448)&gt;=1,FALSE),IF(AND(_xlpm.inStr,LEN(A448)&lt;=6),$A449,""))</f>
        <v>6</v>
      </c>
      <c r="G444" t="str">
        <f>_xlfn.LET(_xlpm.Searching,"61",_xlpm.inStr,IFERROR(FIND(_xlpm.Searching,$A448)&gt;=1,FALSE),IF(AND(_xlpm.inStr,LEN(A448)&lt;=6),$A449,""))</f>
        <v/>
      </c>
      <c r="H444" t="str">
        <f>_xlfn.LET(_xlpm.Searching,"63",_xlpm.inStr,IFERROR(FIND(_xlpm.Searching,$A448)&gt;=1,FALSE),IF(AND(_xlpm.inStr,LEN(A448)&lt;=6),$A449,""))</f>
        <v/>
      </c>
    </row>
    <row r="445" spans="1:8" x14ac:dyDescent="0.25">
      <c r="A445">
        <v>1</v>
      </c>
      <c r="B445" t="str" cm="1">
        <f t="array" ref="B445">БУКВЫ(MID($A442,3,11))</f>
        <v>293851067</v>
      </c>
      <c r="C445" s="2"/>
      <c r="D445" s="2"/>
      <c r="E445" s="2"/>
      <c r="F445" s="2"/>
      <c r="G445">
        <f>_xlfn.LET(_xlpm.Searching,"61",_xlpm.inStr,IFERROR(FIND(_xlpm.Searching,$A450)&gt;=1,FALSE),IF(AND(_xlpm.inStr,LEN(A450)&lt;=6),$A451,""))</f>
        <v>4</v>
      </c>
      <c r="H445" t="str">
        <f>_xlfn.LET(_xlpm.Searching,"63",_xlpm.inStr,IFERROR(FIND(_xlpm.Searching,$A450)&gt;=1,FALSE),IF(AND(_xlpm.inStr,LEN(A450)&lt;=6),$A451,""))</f>
        <v/>
      </c>
    </row>
    <row r="446" spans="1:8" x14ac:dyDescent="0.25">
      <c r="A446" t="s">
        <v>20</v>
      </c>
      <c r="B446" t="str" cm="1">
        <f t="array" ref="B446">БУКВЫ(MID($A442,3,11))</f>
        <v>293851067</v>
      </c>
      <c r="C446" s="2"/>
      <c r="D446" s="2"/>
      <c r="E446" s="2"/>
      <c r="F446" s="2"/>
      <c r="G446" s="2"/>
      <c r="H446">
        <f>_xlfn.LET(_xlpm.Searching,"63",_xlpm.inStr,IFERROR(FIND(_xlpm.Searching,$A452)&gt;=1,FALSE),IF(AND(_xlpm.inStr,LEN(A452)&lt;=6),$A453,""))</f>
        <v>1</v>
      </c>
    </row>
    <row r="447" spans="1:8" x14ac:dyDescent="0.25">
      <c r="A447">
        <v>4</v>
      </c>
    </row>
    <row r="448" spans="1:8" x14ac:dyDescent="0.25">
      <c r="A448" t="s">
        <v>12</v>
      </c>
    </row>
    <row r="449" spans="1:8" x14ac:dyDescent="0.25">
      <c r="A449">
        <v>6</v>
      </c>
    </row>
    <row r="450" spans="1:8" x14ac:dyDescent="0.25">
      <c r="A450" t="s">
        <v>13</v>
      </c>
    </row>
    <row r="451" spans="1:8" x14ac:dyDescent="0.25">
      <c r="A451">
        <v>4</v>
      </c>
    </row>
    <row r="452" spans="1:8" x14ac:dyDescent="0.25">
      <c r="A452" t="s">
        <v>21</v>
      </c>
    </row>
    <row r="453" spans="1:8" x14ac:dyDescent="0.25">
      <c r="A453">
        <v>1</v>
      </c>
    </row>
    <row r="454" spans="1:8" x14ac:dyDescent="0.25">
      <c r="A454" t="s">
        <v>159</v>
      </c>
    </row>
    <row r="455" spans="1:8" x14ac:dyDescent="0.25">
      <c r="A455" t="s">
        <v>160</v>
      </c>
    </row>
    <row r="456" spans="1:8" x14ac:dyDescent="0.25">
      <c r="A456" t="s">
        <v>161</v>
      </c>
      <c r="B456" s="1" t="s">
        <v>183</v>
      </c>
      <c r="C456" s="1" t="s">
        <v>27</v>
      </c>
      <c r="D456" s="1">
        <v>55</v>
      </c>
      <c r="E456" s="1">
        <v>57</v>
      </c>
      <c r="F456" s="1">
        <v>59</v>
      </c>
      <c r="G456" s="1">
        <v>61</v>
      </c>
      <c r="H456" s="1">
        <v>63</v>
      </c>
    </row>
    <row r="457" spans="1:8" x14ac:dyDescent="0.25">
      <c r="A457" t="s">
        <v>162</v>
      </c>
      <c r="B457" t="str" cm="1">
        <f t="array" ref="B457">БУКВЫ(MID($A457,3,11))</f>
        <v>29285017</v>
      </c>
      <c r="C457">
        <f>_xlfn.LET(_xlpm.Searching,"OSFA",_xlpm.inStr,IFERROR(FIND(_xlpm.Searching,$A459)&gt;=1,FALSE),IF(AND(_xlpm.inStr,LEN(A459)&lt;=6),A460,""))</f>
        <v>6</v>
      </c>
      <c r="D457" t="str">
        <f>_xlfn.LET(_xlpm.Searching,"55",_xlpm.inStr,IFERROR(FIND(_xlpm.Searching,$A459)&gt;=1,FALSE),IF(AND(_xlpm.inStr,LEN(A459)&lt;=6),A460,""))</f>
        <v/>
      </c>
      <c r="E457" t="str">
        <f>_xlfn.LET(_xlpm.Searching,"57",_xlpm.inStr,IFERROR(FIND(_xlpm.Searching,$A459)&gt;=1,FALSE),IF(AND(_xlpm.inStr,LEN(A459)&lt;=6),$A460,""))&amp;E458</f>
        <v/>
      </c>
      <c r="F457" t="str">
        <f>_xlfn.LET(_xlpm.Searching,"59",_xlpm.inStr,IFERROR(FIND(_xlpm.Searching,$A459)&gt;=1,FALSE),IF(AND(_xlpm.inStr,LEN(A459)&lt;=6),$A460,""))&amp;F458&amp;F459</f>
        <v/>
      </c>
      <c r="G457" t="str">
        <f>_xlfn.LET(_xlpm.Searching,"61",_xlpm.inStr,IFERROR(FIND(_xlpm.Searching,$A459)&gt;=1,FALSE),IF(AND(_xlpm.inStr,LEN(A459)&lt;=6),$A460,""))&amp;G458&amp;G459&amp;G460</f>
        <v/>
      </c>
      <c r="H457" t="str">
        <f>_xlfn.LET(_xlpm.Searching,"63",_xlpm.inStr,IFERROR(FIND(_xlpm.Searching,$A459)&gt;=1,FALSE),IF(AND(_xlpm.inStr,LEN(A459)&lt;=6),$A460,""))&amp;H458&amp;H459&amp;H460&amp;H461</f>
        <v/>
      </c>
    </row>
    <row r="458" spans="1:8" x14ac:dyDescent="0.25">
      <c r="A458" t="s">
        <v>163</v>
      </c>
      <c r="B458" t="str" cm="1">
        <f t="array" ref="B458">БУКВЫ(MID($A457,3,11))</f>
        <v>29285017</v>
      </c>
      <c r="C458" s="2"/>
      <c r="D458" s="2"/>
      <c r="E458" t="str">
        <f>_xlfn.LET(_xlpm.Searching,"57",_xlpm.inStr,IFERROR(FIND(_xlpm.Searching,$A461)&gt;=1,FALSE),IF(AND(_xlpm.inStr,LEN(A461)&lt;=6),$A462,""))</f>
        <v/>
      </c>
      <c r="F458" t="str">
        <f>_xlfn.LET(_xlpm.Searching,"59",_xlpm.inStr,IFERROR(FIND(_xlpm.Searching,$A461)&gt;=1,FALSE),IF(AND(_xlpm.inStr,LEN(A461)&lt;=6),$A462,""))</f>
        <v/>
      </c>
      <c r="G458" t="str">
        <f>_xlfn.LET(_xlpm.Searching,"61",_xlpm.inStr,IFERROR(FIND(_xlpm.Searching,$A461)&gt;=1,FALSE),IF(AND(_xlpm.inStr,LEN(A461)&lt;=6),$A462,""))</f>
        <v/>
      </c>
      <c r="H458" t="str">
        <f>_xlfn.LET(_xlpm.Searching,"63",_xlpm.inStr,IFERROR(FIND(_xlpm.Searching,$A461)&gt;=1,FALSE),IF(AND(_xlpm.inStr,LEN(A461)&lt;=6),$A462,""))</f>
        <v/>
      </c>
    </row>
    <row r="459" spans="1:8" x14ac:dyDescent="0.25">
      <c r="A459" t="s">
        <v>27</v>
      </c>
      <c r="B459" t="str" cm="1">
        <f t="array" ref="B459">БУКВЫ(MID($A457,3,11))</f>
        <v>29285017</v>
      </c>
      <c r="C459" s="2"/>
      <c r="D459" s="2"/>
      <c r="E459" s="2"/>
      <c r="F459" t="str">
        <f>_xlfn.LET(_xlpm.Searching,"59",_xlpm.inStr,IFERROR(FIND(_xlpm.Searching,$A463)&gt;=1,FALSE),IF(AND(_xlpm.inStr,LEN(A463)&lt;=6),$A464,""))</f>
        <v/>
      </c>
      <c r="G459" t="str">
        <f>_xlfn.LET(_xlpm.Searching,"61",_xlpm.inStr,IFERROR(FIND(_xlpm.Searching,$A463)&gt;=1,FALSE),IF(AND(_xlpm.inStr,LEN(A463)&lt;=6),$A464,""))</f>
        <v/>
      </c>
      <c r="H459" t="str">
        <f>_xlfn.LET(_xlpm.Searching,"63",_xlpm.inStr,IFERROR(FIND(_xlpm.Searching,$A463)&gt;=1,FALSE),IF(AND(_xlpm.inStr,LEN(A463)&lt;=6),$A464,""))</f>
        <v/>
      </c>
    </row>
    <row r="460" spans="1:8" x14ac:dyDescent="0.25">
      <c r="A460">
        <v>6</v>
      </c>
      <c r="B460" t="str" cm="1">
        <f t="array" ref="B460">БУКВЫ(MID($A457,3,11))</f>
        <v>29285017</v>
      </c>
      <c r="C460" s="2"/>
      <c r="D460" s="2"/>
      <c r="E460" s="2"/>
      <c r="F460" s="2"/>
      <c r="G460" t="str">
        <f>_xlfn.LET(_xlpm.Searching,"61",_xlpm.inStr,IFERROR(FIND(_xlpm.Searching,$A465)&gt;=1,FALSE),IF(AND(_xlpm.inStr,LEN(A465)&lt;=6),$A466,""))</f>
        <v/>
      </c>
      <c r="H460" t="str">
        <f>_xlfn.LET(_xlpm.Searching,"63",_xlpm.inStr,IFERROR(FIND(_xlpm.Searching,$A465)&gt;=1,FALSE),IF(AND(_xlpm.inStr,LEN(A465)&lt;=6),$A466,""))</f>
        <v/>
      </c>
    </row>
    <row r="461" spans="1:8" x14ac:dyDescent="0.25">
      <c r="A461" t="s">
        <v>164</v>
      </c>
      <c r="B461" t="str" cm="1">
        <f t="array" ref="B461">БУКВЫ(MID($A457,3,11))</f>
        <v>29285017</v>
      </c>
      <c r="C461" s="2"/>
      <c r="D461" s="2"/>
      <c r="E461" s="2"/>
      <c r="F461" s="2"/>
      <c r="G461" s="2"/>
      <c r="H461" t="str">
        <f>_xlfn.LET(_xlpm.Searching,"63",_xlpm.inStr,IFERROR(FIND(_xlpm.Searching,$A467)&gt;=1,FALSE),IF(AND(_xlpm.inStr,LEN(A467)&lt;=6),$A468,""))</f>
        <v/>
      </c>
    </row>
    <row r="462" spans="1:8" x14ac:dyDescent="0.25">
      <c r="A462" t="s">
        <v>165</v>
      </c>
    </row>
    <row r="463" spans="1:8" x14ac:dyDescent="0.25">
      <c r="A463" t="s">
        <v>166</v>
      </c>
    </row>
    <row r="464" spans="1:8" x14ac:dyDescent="0.25">
      <c r="A464" t="s">
        <v>167</v>
      </c>
    </row>
    <row r="465" spans="1:1" x14ac:dyDescent="0.25">
      <c r="A465" t="s">
        <v>168</v>
      </c>
    </row>
    <row r="466" spans="1:1" x14ac:dyDescent="0.25">
      <c r="A466" t="s">
        <v>169</v>
      </c>
    </row>
    <row r="467" spans="1:1" x14ac:dyDescent="0.25">
      <c r="A467" t="s">
        <v>170</v>
      </c>
    </row>
    <row r="468" spans="1:1" x14ac:dyDescent="0.25">
      <c r="A468" t="s">
        <v>171</v>
      </c>
    </row>
    <row r="469" spans="1:1" x14ac:dyDescent="0.25">
      <c r="A469" t="s">
        <v>2</v>
      </c>
    </row>
    <row r="470" spans="1:1" x14ac:dyDescent="0.25">
      <c r="A470" t="s">
        <v>31</v>
      </c>
    </row>
    <row r="471" spans="1:1" x14ac:dyDescent="0.25">
      <c r="A471" t="s">
        <v>32</v>
      </c>
    </row>
    <row r="472" spans="1:1" x14ac:dyDescent="0.25">
      <c r="A472" t="s">
        <v>33</v>
      </c>
    </row>
    <row r="473" spans="1:1" x14ac:dyDescent="0.25">
      <c r="A473" t="s">
        <v>34</v>
      </c>
    </row>
    <row r="474" spans="1:1" x14ac:dyDescent="0.25">
      <c r="A474" t="s">
        <v>35</v>
      </c>
    </row>
    <row r="475" spans="1:1" x14ac:dyDescent="0.25">
      <c r="A475" t="s">
        <v>36</v>
      </c>
    </row>
    <row r="476" spans="1:1" x14ac:dyDescent="0.25">
      <c r="A476" t="s">
        <v>37</v>
      </c>
    </row>
    <row r="477" spans="1:1" x14ac:dyDescent="0.25">
      <c r="A477" t="s">
        <v>38</v>
      </c>
    </row>
    <row r="478" spans="1:1" x14ac:dyDescent="0.25">
      <c r="A478" t="s">
        <v>39</v>
      </c>
    </row>
    <row r="479" spans="1:1" x14ac:dyDescent="0.25">
      <c r="A479" t="s">
        <v>40</v>
      </c>
    </row>
    <row r="480" spans="1:1" x14ac:dyDescent="0.25">
      <c r="A480" t="s">
        <v>41</v>
      </c>
    </row>
    <row r="481" spans="1:1" x14ac:dyDescent="0.25">
      <c r="A481" t="s">
        <v>42</v>
      </c>
    </row>
    <row r="482" spans="1:1" x14ac:dyDescent="0.25">
      <c r="A482" t="s">
        <v>43</v>
      </c>
    </row>
    <row r="483" spans="1:1" x14ac:dyDescent="0.25">
      <c r="A483" t="s">
        <v>44</v>
      </c>
    </row>
    <row r="484" spans="1:1" x14ac:dyDescent="0.25">
      <c r="A484" t="s">
        <v>1</v>
      </c>
    </row>
    <row r="485" spans="1:1" x14ac:dyDescent="0.25">
      <c r="A485" t="s">
        <v>45</v>
      </c>
    </row>
    <row r="486" spans="1:1" x14ac:dyDescent="0.25">
      <c r="A486" t="s">
        <v>172</v>
      </c>
    </row>
    <row r="487" spans="1:1" x14ac:dyDescent="0.25">
      <c r="A487" t="s">
        <v>3</v>
      </c>
    </row>
    <row r="488" spans="1:1" x14ac:dyDescent="0.25">
      <c r="A488" t="s">
        <v>4</v>
      </c>
    </row>
    <row r="489" spans="1:1" x14ac:dyDescent="0.25">
      <c r="A489" t="s">
        <v>5</v>
      </c>
    </row>
    <row r="490" spans="1:1" x14ac:dyDescent="0.25">
      <c r="A490" t="s">
        <v>6</v>
      </c>
    </row>
    <row r="491" spans="1:1" x14ac:dyDescent="0.25">
      <c r="A491" t="s">
        <v>7</v>
      </c>
    </row>
    <row r="492" spans="1:1" x14ac:dyDescent="0.25">
      <c r="A492" t="s">
        <v>8</v>
      </c>
    </row>
    <row r="493" spans="1:1" x14ac:dyDescent="0.25">
      <c r="A493" t="s">
        <v>9</v>
      </c>
    </row>
    <row r="494" spans="1:1" x14ac:dyDescent="0.25">
      <c r="A494" t="s">
        <v>173</v>
      </c>
    </row>
    <row r="495" spans="1:1" x14ac:dyDescent="0.25">
      <c r="A495" t="s">
        <v>174</v>
      </c>
    </row>
    <row r="496" spans="1:1" x14ac:dyDescent="0.25">
      <c r="A496" t="s">
        <v>175</v>
      </c>
    </row>
    <row r="497" spans="1:1" x14ac:dyDescent="0.25">
      <c r="A497" t="s">
        <v>176</v>
      </c>
    </row>
    <row r="498" spans="1:1" x14ac:dyDescent="0.25">
      <c r="A498" t="s">
        <v>177</v>
      </c>
    </row>
    <row r="499" spans="1:1" x14ac:dyDescent="0.25">
      <c r="A499" t="s">
        <v>178</v>
      </c>
    </row>
    <row r="500" spans="1:1" x14ac:dyDescent="0.25">
      <c r="A500" t="s">
        <v>179</v>
      </c>
    </row>
    <row r="501" spans="1:1" x14ac:dyDescent="0.25">
      <c r="A501" t="s">
        <v>180</v>
      </c>
    </row>
    <row r="502" spans="1:1" x14ac:dyDescent="0.25">
      <c r="A502" t="s">
        <v>181</v>
      </c>
    </row>
    <row r="503" spans="1:1" x14ac:dyDescent="0.25">
      <c r="A503" t="s">
        <v>182</v>
      </c>
    </row>
    <row r="504" spans="1:1" x14ac:dyDescent="0.25">
      <c r="A504" t="s">
        <v>2</v>
      </c>
    </row>
    <row r="505" spans="1:1" x14ac:dyDescent="0.25">
      <c r="A505" t="s">
        <v>31</v>
      </c>
    </row>
    <row r="506" spans="1:1" x14ac:dyDescent="0.25">
      <c r="A506" t="s">
        <v>32</v>
      </c>
    </row>
    <row r="507" spans="1:1" x14ac:dyDescent="0.25">
      <c r="A507" t="s">
        <v>33</v>
      </c>
    </row>
    <row r="508" spans="1:1" x14ac:dyDescent="0.25">
      <c r="A508" t="s">
        <v>34</v>
      </c>
    </row>
    <row r="509" spans="1:1" x14ac:dyDescent="0.25">
      <c r="A509" t="s">
        <v>35</v>
      </c>
    </row>
    <row r="510" spans="1:1" x14ac:dyDescent="0.25">
      <c r="A510" t="s">
        <v>36</v>
      </c>
    </row>
    <row r="511" spans="1:1" x14ac:dyDescent="0.25">
      <c r="A511" t="s">
        <v>37</v>
      </c>
    </row>
    <row r="512" spans="1:1" x14ac:dyDescent="0.25">
      <c r="A512" t="s">
        <v>38</v>
      </c>
    </row>
    <row r="513" spans="1:1" x14ac:dyDescent="0.25">
      <c r="A513" t="s">
        <v>39</v>
      </c>
    </row>
    <row r="514" spans="1:1" x14ac:dyDescent="0.25">
      <c r="A514" t="s">
        <v>40</v>
      </c>
    </row>
    <row r="515" spans="1:1" x14ac:dyDescent="0.25">
      <c r="A515" t="s">
        <v>41</v>
      </c>
    </row>
    <row r="516" spans="1:1" x14ac:dyDescent="0.25">
      <c r="A516" t="s">
        <v>42</v>
      </c>
    </row>
    <row r="517" spans="1:1" x14ac:dyDescent="0.25">
      <c r="A517" t="s">
        <v>43</v>
      </c>
    </row>
    <row r="518" spans="1:1" x14ac:dyDescent="0.25">
      <c r="A518" t="s">
        <v>44</v>
      </c>
    </row>
  </sheetData>
  <conditionalFormatting sqref="A1:A1048576">
    <cfRule type="containsText" dxfId="2" priority="1" operator="containsText" text="Sonstige">
      <formula>NOT(ISERROR(SEARCH("Sonstige",A1)))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G39"/>
  <sheetViews>
    <sheetView tabSelected="1" workbookViewId="0">
      <selection activeCell="U7" sqref="U7"/>
    </sheetView>
  </sheetViews>
  <sheetFormatPr defaultRowHeight="15" x14ac:dyDescent="0.25"/>
  <cols>
    <col min="1" max="1" width="10.7109375" style="4" bestFit="1" customWidth="1"/>
    <col min="2" max="7" width="9.140625" style="4"/>
  </cols>
  <sheetData>
    <row r="1" spans="1:7" s="1" customFormat="1" x14ac:dyDescent="0.25">
      <c r="A1" s="3" t="str" cm="1">
        <f t="array" ref="A1:A39">_xlfn.UNIQUE(Лист1!B:B,0,0)</f>
        <v>Article</v>
      </c>
      <c r="B1" s="3" t="s">
        <v>27</v>
      </c>
      <c r="C1" s="3">
        <v>55</v>
      </c>
      <c r="D1" s="3">
        <v>57</v>
      </c>
      <c r="E1" s="3">
        <v>59</v>
      </c>
      <c r="F1" s="3">
        <v>61</v>
      </c>
      <c r="G1" s="3">
        <v>63</v>
      </c>
    </row>
    <row r="2" spans="1:7" x14ac:dyDescent="0.25">
      <c r="A2" s="4" t="str">
        <v>213840271</v>
      </c>
      <c r="B2" s="4" t="str">
        <f>_xlfn.XLOOKUP($A2,Лист1!$B:$B,Лист1!C:C,"ERR",0)</f>
        <v/>
      </c>
      <c r="C2" s="4" t="str">
        <f>_xlfn.XLOOKUP($A2,Лист1!$B:$B,Лист1!D:D,"ERR",0)</f>
        <v/>
      </c>
      <c r="D2" s="4" t="str">
        <f>_xlfn.XLOOKUP($A2,Лист1!$B:$B,Лист1!E:E,"ERR",0)</f>
        <v/>
      </c>
      <c r="E2" s="4" t="str">
        <f>_xlfn.XLOOKUP($A2,Лист1!$B:$B,Лист1!F:F,"ERR",0)</f>
        <v>2</v>
      </c>
      <c r="F2" s="4" t="str">
        <f>_xlfn.XLOOKUP($A2,Лист1!$B:$B,Лист1!G:G,"ERR",0)</f>
        <v>1</v>
      </c>
      <c r="G2" s="4" t="str">
        <f>_xlfn.XLOOKUP($A2,Лист1!$B:$B,Лист1!H:H,"ERR",0)</f>
        <v/>
      </c>
    </row>
    <row r="3" spans="1:7" x14ac:dyDescent="0.25">
      <c r="A3" s="4">
        <v>0</v>
      </c>
      <c r="B3" s="4" t="str">
        <f>_xlfn.XLOOKUP($A3,Лист1!$B:$B,Лист1!C:C,"ERR",0)</f>
        <v>ERR</v>
      </c>
      <c r="C3" s="4" t="str">
        <f>_xlfn.XLOOKUP($A3,Лист1!$B:$B,Лист1!D:D,"ERR",0)</f>
        <v>ERR</v>
      </c>
      <c r="D3" s="4" t="str">
        <f>_xlfn.XLOOKUP($A3,Лист1!$B:$B,Лист1!E:E,"ERR",0)</f>
        <v>ERR</v>
      </c>
      <c r="E3" s="4" t="str">
        <f>_xlfn.XLOOKUP($A3,Лист1!$B:$B,Лист1!F:F,"ERR",0)</f>
        <v>ERR</v>
      </c>
      <c r="F3" s="4" t="str">
        <f>_xlfn.XLOOKUP($A3,Лист1!$B:$B,Лист1!G:G,"ERR",0)</f>
        <v>ERR</v>
      </c>
      <c r="G3" s="4" t="str">
        <f>_xlfn.XLOOKUP($A3,Лист1!$B:$B,Лист1!H:H,"ERR",0)</f>
        <v>ERR</v>
      </c>
    </row>
    <row r="4" spans="1:7" x14ac:dyDescent="0.25">
      <c r="A4" s="4" t="str">
        <v>24785057</v>
      </c>
      <c r="B4" s="4" t="str">
        <f>_xlfn.XLOOKUP($A4,Лист1!$B:$B,Лист1!C:C,"ERR",0)</f>
        <v/>
      </c>
      <c r="C4" s="4">
        <f>_xlfn.XLOOKUP($A4,Лист1!$B:$B,Лист1!D:D,"ERR",0)</f>
        <v>2</v>
      </c>
      <c r="D4" s="4" t="str">
        <f>_xlfn.XLOOKUP($A4,Лист1!$B:$B,Лист1!E:E,"ERR",0)</f>
        <v>3</v>
      </c>
      <c r="E4" s="4" t="str">
        <f>_xlfn.XLOOKUP($A4,Лист1!$B:$B,Лист1!F:F,"ERR",0)</f>
        <v>4</v>
      </c>
      <c r="F4" s="4" t="str">
        <f>_xlfn.XLOOKUP($A4,Лист1!$B:$B,Лист1!G:G,"ERR",0)</f>
        <v>5</v>
      </c>
      <c r="G4" s="4" t="str">
        <f>_xlfn.XLOOKUP($A4,Лист1!$B:$B,Лист1!H:H,"ERR",0)</f>
        <v>5</v>
      </c>
    </row>
    <row r="5" spans="1:7" x14ac:dyDescent="0.25">
      <c r="A5" s="4" t="str">
        <v>775119082</v>
      </c>
      <c r="B5" s="4">
        <f>_xlfn.XLOOKUP($A5,Лист1!$B:$B,Лист1!C:C,"ERR",0)</f>
        <v>110</v>
      </c>
      <c r="C5" s="4" t="str">
        <f>_xlfn.XLOOKUP($A5,Лист1!$B:$B,Лист1!D:D,"ERR",0)</f>
        <v/>
      </c>
      <c r="D5" s="4" t="str">
        <f>_xlfn.XLOOKUP($A5,Лист1!$B:$B,Лист1!E:E,"ERR",0)</f>
        <v/>
      </c>
      <c r="E5" s="4" t="str">
        <f>_xlfn.XLOOKUP($A5,Лист1!$B:$B,Лист1!F:F,"ERR",0)</f>
        <v/>
      </c>
      <c r="F5" s="4" t="str">
        <f>_xlfn.XLOOKUP($A5,Лист1!$B:$B,Лист1!G:G,"ERR",0)</f>
        <v/>
      </c>
      <c r="G5" s="4" t="str">
        <f>_xlfn.XLOOKUP($A5,Лист1!$B:$B,Лист1!H:H,"ERR",0)</f>
        <v/>
      </c>
    </row>
    <row r="6" spans="1:7" x14ac:dyDescent="0.25">
      <c r="A6" s="4" t="str">
        <v>775119222</v>
      </c>
      <c r="B6" s="4">
        <f>_xlfn.XLOOKUP($A6,Лист1!$B:$B,Лист1!C:C,"ERR",0)</f>
        <v>50</v>
      </c>
      <c r="C6" s="4" t="str">
        <f>_xlfn.XLOOKUP($A6,Лист1!$B:$B,Лист1!D:D,"ERR",0)</f>
        <v/>
      </c>
      <c r="D6" s="4" t="str">
        <f>_xlfn.XLOOKUP($A6,Лист1!$B:$B,Лист1!E:E,"ERR",0)</f>
        <v/>
      </c>
      <c r="E6" s="4" t="str">
        <f>_xlfn.XLOOKUP($A6,Лист1!$B:$B,Лист1!F:F,"ERR",0)</f>
        <v/>
      </c>
      <c r="F6" s="4" t="str">
        <f>_xlfn.XLOOKUP($A6,Лист1!$B:$B,Лист1!G:G,"ERR",0)</f>
        <v/>
      </c>
      <c r="G6" s="4" t="str">
        <f>_xlfn.XLOOKUP($A6,Лист1!$B:$B,Лист1!H:H,"ERR",0)</f>
        <v/>
      </c>
    </row>
    <row r="7" spans="1:7" x14ac:dyDescent="0.25">
      <c r="A7" s="4" t="str">
        <v>775119283</v>
      </c>
      <c r="B7" s="4">
        <f>_xlfn.XLOOKUP($A7,Лист1!$B:$B,Лист1!C:C,"ERR",0)</f>
        <v>75</v>
      </c>
      <c r="C7" s="4" t="str">
        <f>_xlfn.XLOOKUP($A7,Лист1!$B:$B,Лист1!D:D,"ERR",0)</f>
        <v/>
      </c>
      <c r="D7" s="4" t="str">
        <f>_xlfn.XLOOKUP($A7,Лист1!$B:$B,Лист1!E:E,"ERR",0)</f>
        <v/>
      </c>
      <c r="E7" s="4" t="str">
        <f>_xlfn.XLOOKUP($A7,Лист1!$B:$B,Лист1!F:F,"ERR",0)</f>
        <v/>
      </c>
      <c r="F7" s="4" t="str">
        <f>_xlfn.XLOOKUP($A7,Лист1!$B:$B,Лист1!G:G,"ERR",0)</f>
        <v/>
      </c>
      <c r="G7" s="4" t="str">
        <f>_xlfn.XLOOKUP($A7,Лист1!$B:$B,Лист1!H:H,"ERR",0)</f>
        <v/>
      </c>
    </row>
    <row r="8" spans="1:7" x14ac:dyDescent="0.25">
      <c r="A8" s="4" t="str">
        <v>775119352</v>
      </c>
      <c r="B8" s="4">
        <f>_xlfn.XLOOKUP($A8,Лист1!$B:$B,Лист1!C:C,"ERR",0)</f>
        <v>115</v>
      </c>
      <c r="C8" s="4" t="str">
        <f>_xlfn.XLOOKUP($A8,Лист1!$B:$B,Лист1!D:D,"ERR",0)</f>
        <v/>
      </c>
      <c r="D8" s="4" t="str">
        <f>_xlfn.XLOOKUP($A8,Лист1!$B:$B,Лист1!E:E,"ERR",0)</f>
        <v/>
      </c>
      <c r="E8" s="4" t="str">
        <f>_xlfn.XLOOKUP($A8,Лист1!$B:$B,Лист1!F:F,"ERR",0)</f>
        <v/>
      </c>
      <c r="F8" s="4" t="str">
        <f>_xlfn.XLOOKUP($A8,Лист1!$B:$B,Лист1!G:G,"ERR",0)</f>
        <v/>
      </c>
      <c r="G8" s="4" t="str">
        <f>_xlfn.XLOOKUP($A8,Лист1!$B:$B,Лист1!H:H,"ERR",0)</f>
        <v/>
      </c>
    </row>
    <row r="9" spans="1:7" x14ac:dyDescent="0.25">
      <c r="A9" s="4" t="str">
        <v>775119526</v>
      </c>
      <c r="B9" s="4">
        <f>_xlfn.XLOOKUP($A9,Лист1!$B:$B,Лист1!C:C,"ERR",0)</f>
        <v>140</v>
      </c>
      <c r="C9" s="4" t="str">
        <f>_xlfn.XLOOKUP($A9,Лист1!$B:$B,Лист1!D:D,"ERR",0)</f>
        <v/>
      </c>
      <c r="D9" s="4" t="str">
        <f>_xlfn.XLOOKUP($A9,Лист1!$B:$B,Лист1!E:E,"ERR",0)</f>
        <v/>
      </c>
      <c r="E9" s="4" t="str">
        <f>_xlfn.XLOOKUP($A9,Лист1!$B:$B,Лист1!F:F,"ERR",0)</f>
        <v/>
      </c>
      <c r="F9" s="4" t="str">
        <f>_xlfn.XLOOKUP($A9,Лист1!$B:$B,Лист1!G:G,"ERR",0)</f>
        <v/>
      </c>
      <c r="G9" s="4" t="str">
        <f>_xlfn.XLOOKUP($A9,Лист1!$B:$B,Лист1!H:H,"ERR",0)</f>
        <v/>
      </c>
    </row>
    <row r="10" spans="1:7" x14ac:dyDescent="0.25">
      <c r="A10" s="4" t="str">
        <v>775611527</v>
      </c>
      <c r="B10" s="4">
        <f>_xlfn.XLOOKUP($A10,Лист1!$B:$B,Лист1!C:C,"ERR",0)</f>
        <v>140</v>
      </c>
      <c r="C10" s="4" t="str">
        <f>_xlfn.XLOOKUP($A10,Лист1!$B:$B,Лист1!D:D,"ERR",0)</f>
        <v/>
      </c>
      <c r="D10" s="4" t="str">
        <f>_xlfn.XLOOKUP($A10,Лист1!$B:$B,Лист1!E:E,"ERR",0)</f>
        <v/>
      </c>
      <c r="E10" s="4" t="str">
        <f>_xlfn.XLOOKUP($A10,Лист1!$B:$B,Лист1!F:F,"ERR",0)</f>
        <v/>
      </c>
      <c r="F10" s="4" t="str">
        <f>_xlfn.XLOOKUP($A10,Лист1!$B:$B,Лист1!G:G,"ERR",0)</f>
        <v/>
      </c>
      <c r="G10" s="4" t="str">
        <f>_xlfn.XLOOKUP($A10,Лист1!$B:$B,Лист1!H:H,"ERR",0)</f>
        <v/>
      </c>
    </row>
    <row r="11" spans="1:7" x14ac:dyDescent="0.25">
      <c r="A11" s="4" t="str">
        <v>775110153</v>
      </c>
      <c r="B11" s="4">
        <f>_xlfn.XLOOKUP($A11,Лист1!$B:$B,Лист1!C:C,"ERR",0)</f>
        <v>100</v>
      </c>
      <c r="C11" s="4" t="str">
        <f>_xlfn.XLOOKUP($A11,Лист1!$B:$B,Лист1!D:D,"ERR",0)</f>
        <v/>
      </c>
      <c r="D11" s="4" t="str">
        <f>_xlfn.XLOOKUP($A11,Лист1!$B:$B,Лист1!E:E,"ERR",0)</f>
        <v/>
      </c>
      <c r="E11" s="4" t="str">
        <f>_xlfn.XLOOKUP($A11,Лист1!$B:$B,Лист1!F:F,"ERR",0)</f>
        <v/>
      </c>
      <c r="F11" s="4" t="str">
        <f>_xlfn.XLOOKUP($A11,Лист1!$B:$B,Лист1!G:G,"ERR",0)</f>
        <v/>
      </c>
      <c r="G11" s="4" t="str">
        <f>_xlfn.XLOOKUP($A11,Лист1!$B:$B,Лист1!H:H,"ERR",0)</f>
        <v/>
      </c>
    </row>
    <row r="12" spans="1:7" x14ac:dyDescent="0.25">
      <c r="A12" s="4" t="str">
        <v>775110317</v>
      </c>
      <c r="B12" s="4">
        <f>_xlfn.XLOOKUP($A12,Лист1!$B:$B,Лист1!C:C,"ERR",0)</f>
        <v>100</v>
      </c>
      <c r="C12" s="4" t="str">
        <f>_xlfn.XLOOKUP($A12,Лист1!$B:$B,Лист1!D:D,"ERR",0)</f>
        <v/>
      </c>
      <c r="D12" s="4" t="str">
        <f>_xlfn.XLOOKUP($A12,Лист1!$B:$B,Лист1!E:E,"ERR",0)</f>
        <v/>
      </c>
      <c r="E12" s="4" t="str">
        <f>_xlfn.XLOOKUP($A12,Лист1!$B:$B,Лист1!F:F,"ERR",0)</f>
        <v/>
      </c>
      <c r="F12" s="4" t="str">
        <f>_xlfn.XLOOKUP($A12,Лист1!$B:$B,Лист1!G:G,"ERR",0)</f>
        <v/>
      </c>
      <c r="G12" s="4" t="str">
        <f>_xlfn.XLOOKUP($A12,Лист1!$B:$B,Лист1!H:H,"ERR",0)</f>
        <v/>
      </c>
    </row>
    <row r="13" spans="1:7" x14ac:dyDescent="0.25">
      <c r="A13" s="4" t="str">
        <v>775110387</v>
      </c>
      <c r="B13" s="4">
        <f>_xlfn.XLOOKUP($A13,Лист1!$B:$B,Лист1!C:C,"ERR",0)</f>
        <v>100</v>
      </c>
      <c r="C13" s="4" t="str">
        <f>_xlfn.XLOOKUP($A13,Лист1!$B:$B,Лист1!D:D,"ERR",0)</f>
        <v/>
      </c>
      <c r="D13" s="4" t="str">
        <f>_xlfn.XLOOKUP($A13,Лист1!$B:$B,Лист1!E:E,"ERR",0)</f>
        <v/>
      </c>
      <c r="E13" s="4" t="str">
        <f>_xlfn.XLOOKUP($A13,Лист1!$B:$B,Лист1!F:F,"ERR",0)</f>
        <v/>
      </c>
      <c r="F13" s="4" t="str">
        <f>_xlfn.XLOOKUP($A13,Лист1!$B:$B,Лист1!G:G,"ERR",0)</f>
        <v/>
      </c>
      <c r="G13" s="4" t="str">
        <f>_xlfn.XLOOKUP($A13,Лист1!$B:$B,Лист1!H:H,"ERR",0)</f>
        <v/>
      </c>
    </row>
    <row r="14" spans="1:7" x14ac:dyDescent="0.25">
      <c r="A14" s="4" t="str">
        <v>245840271</v>
      </c>
      <c r="B14" s="4" t="str">
        <f>_xlfn.XLOOKUP($A14,Лист1!$B:$B,Лист1!C:C,"ERR",0)</f>
        <v/>
      </c>
      <c r="C14" s="4" t="str">
        <f>_xlfn.XLOOKUP($A14,Лист1!$B:$B,Лист1!D:D,"ERR",0)</f>
        <v/>
      </c>
      <c r="D14" s="4" t="str">
        <f>_xlfn.XLOOKUP($A14,Лист1!$B:$B,Лист1!E:E,"ERR",0)</f>
        <v>1</v>
      </c>
      <c r="E14" s="4" t="str">
        <f>_xlfn.XLOOKUP($A14,Лист1!$B:$B,Лист1!F:F,"ERR",0)</f>
        <v>1</v>
      </c>
      <c r="F14" s="4" t="str">
        <f>_xlfn.XLOOKUP($A14,Лист1!$B:$B,Лист1!G:G,"ERR",0)</f>
        <v/>
      </c>
      <c r="G14" s="4" t="str">
        <f>_xlfn.XLOOKUP($A14,Лист1!$B:$B,Лист1!H:H,"ERR",0)</f>
        <v/>
      </c>
    </row>
    <row r="15" spans="1:7" x14ac:dyDescent="0.25">
      <c r="A15" s="4" t="str">
        <v>775110327</v>
      </c>
      <c r="B15" s="4">
        <f>_xlfn.XLOOKUP($A15,Лист1!$B:$B,Лист1!C:C,"ERR",0)</f>
        <v>70</v>
      </c>
      <c r="C15" s="4" t="str">
        <f>_xlfn.XLOOKUP($A15,Лист1!$B:$B,Лист1!D:D,"ERR",0)</f>
        <v/>
      </c>
      <c r="D15" s="4" t="str">
        <f>_xlfn.XLOOKUP($A15,Лист1!$B:$B,Лист1!E:E,"ERR",0)</f>
        <v/>
      </c>
      <c r="E15" s="4" t="str">
        <f>_xlfn.XLOOKUP($A15,Лист1!$B:$B,Лист1!F:F,"ERR",0)</f>
        <v/>
      </c>
      <c r="F15" s="4" t="str">
        <f>_xlfn.XLOOKUP($A15,Лист1!$B:$B,Лист1!G:G,"ERR",0)</f>
        <v/>
      </c>
      <c r="G15" s="4" t="str">
        <f>_xlfn.XLOOKUP($A15,Лист1!$B:$B,Лист1!H:H,"ERR",0)</f>
        <v/>
      </c>
    </row>
    <row r="16" spans="1:7" x14ac:dyDescent="0.25">
      <c r="A16" s="4" t="str">
        <v>775110728</v>
      </c>
      <c r="B16" s="4">
        <f>_xlfn.XLOOKUP($A16,Лист1!$B:$B,Лист1!C:C,"ERR",0)</f>
        <v>130</v>
      </c>
      <c r="C16" s="4" t="str">
        <f>_xlfn.XLOOKUP($A16,Лист1!$B:$B,Лист1!D:D,"ERR",0)</f>
        <v/>
      </c>
      <c r="D16" s="4" t="str">
        <f>_xlfn.XLOOKUP($A16,Лист1!$B:$B,Лист1!E:E,"ERR",0)</f>
        <v/>
      </c>
      <c r="E16" s="4" t="str">
        <f>_xlfn.XLOOKUP($A16,Лист1!$B:$B,Лист1!F:F,"ERR",0)</f>
        <v/>
      </c>
      <c r="F16" s="4" t="str">
        <f>_xlfn.XLOOKUP($A16,Лист1!$B:$B,Лист1!G:G,"ERR",0)</f>
        <v/>
      </c>
      <c r="G16" s="4" t="str">
        <f>_xlfn.XLOOKUP($A16,Лист1!$B:$B,Лист1!H:H,"ERR",0)</f>
        <v/>
      </c>
    </row>
    <row r="17" spans="1:7" x14ac:dyDescent="0.25">
      <c r="A17" s="4" t="str">
        <v>775115225</v>
      </c>
      <c r="B17" s="4">
        <f>_xlfn.XLOOKUP($A17,Лист1!$B:$B,Лист1!C:C,"ERR",0)</f>
        <v>130</v>
      </c>
      <c r="C17" s="4" t="str">
        <f>_xlfn.XLOOKUP($A17,Лист1!$B:$B,Лист1!D:D,"ERR",0)</f>
        <v/>
      </c>
      <c r="D17" s="4" t="str">
        <f>_xlfn.XLOOKUP($A17,Лист1!$B:$B,Лист1!E:E,"ERR",0)</f>
        <v/>
      </c>
      <c r="E17" s="4" t="str">
        <f>_xlfn.XLOOKUP($A17,Лист1!$B:$B,Лист1!F:F,"ERR",0)</f>
        <v/>
      </c>
      <c r="F17" s="4" t="str">
        <f>_xlfn.XLOOKUP($A17,Лист1!$B:$B,Лист1!G:G,"ERR",0)</f>
        <v/>
      </c>
      <c r="G17" s="4" t="str">
        <f>_xlfn.XLOOKUP($A17,Лист1!$B:$B,Лист1!H:H,"ERR",0)</f>
        <v/>
      </c>
    </row>
    <row r="18" spans="1:7" x14ac:dyDescent="0.25">
      <c r="A18" s="4" t="str">
        <v>775115429</v>
      </c>
      <c r="B18" s="4">
        <f>_xlfn.XLOOKUP($A18,Лист1!$B:$B,Лист1!C:C,"ERR",0)</f>
        <v>130</v>
      </c>
      <c r="C18" s="4" t="str">
        <f>_xlfn.XLOOKUP($A18,Лист1!$B:$B,Лист1!D:D,"ERR",0)</f>
        <v/>
      </c>
      <c r="D18" s="4" t="str">
        <f>_xlfn.XLOOKUP($A18,Лист1!$B:$B,Лист1!E:E,"ERR",0)</f>
        <v/>
      </c>
      <c r="E18" s="4" t="str">
        <f>_xlfn.XLOOKUP($A18,Лист1!$B:$B,Лист1!F:F,"ERR",0)</f>
        <v/>
      </c>
      <c r="F18" s="4" t="str">
        <f>_xlfn.XLOOKUP($A18,Лист1!$B:$B,Лист1!G:G,"ERR",0)</f>
        <v/>
      </c>
      <c r="G18" s="4" t="str">
        <f>_xlfn.XLOOKUP($A18,Лист1!$B:$B,Лист1!H:H,"ERR",0)</f>
        <v/>
      </c>
    </row>
    <row r="19" spans="1:7" x14ac:dyDescent="0.25">
      <c r="A19" s="4" t="str">
        <v>775115557</v>
      </c>
      <c r="B19" s="4">
        <f>_xlfn.XLOOKUP($A19,Лист1!$B:$B,Лист1!C:C,"ERR",0)</f>
        <v>140</v>
      </c>
      <c r="C19" s="4" t="str">
        <f>_xlfn.XLOOKUP($A19,Лист1!$B:$B,Лист1!D:D,"ERR",0)</f>
        <v/>
      </c>
      <c r="D19" s="4" t="str">
        <f>_xlfn.XLOOKUP($A19,Лист1!$B:$B,Лист1!E:E,"ERR",0)</f>
        <v/>
      </c>
      <c r="E19" s="4" t="str">
        <f>_xlfn.XLOOKUP($A19,Лист1!$B:$B,Лист1!F:F,"ERR",0)</f>
        <v/>
      </c>
      <c r="F19" s="4" t="str">
        <f>_xlfn.XLOOKUP($A19,Лист1!$B:$B,Лист1!G:G,"ERR",0)</f>
        <v/>
      </c>
      <c r="G19" s="4" t="str">
        <f>_xlfn.XLOOKUP($A19,Лист1!$B:$B,Лист1!H:H,"ERR",0)</f>
        <v/>
      </c>
    </row>
    <row r="20" spans="1:7" x14ac:dyDescent="0.25">
      <c r="A20" s="4" t="str">
        <v>77511715</v>
      </c>
      <c r="B20" s="4">
        <f>_xlfn.XLOOKUP($A20,Лист1!$B:$B,Лист1!C:C,"ERR",0)</f>
        <v>20</v>
      </c>
      <c r="C20" s="4" t="str">
        <f>_xlfn.XLOOKUP($A20,Лист1!$B:$B,Лист1!D:D,"ERR",0)</f>
        <v/>
      </c>
      <c r="D20" s="4" t="str">
        <f>_xlfn.XLOOKUP($A20,Лист1!$B:$B,Лист1!E:E,"ERR",0)</f>
        <v/>
      </c>
      <c r="E20" s="4" t="str">
        <f>_xlfn.XLOOKUP($A20,Лист1!$B:$B,Лист1!F:F,"ERR",0)</f>
        <v/>
      </c>
      <c r="F20" s="4" t="str">
        <f>_xlfn.XLOOKUP($A20,Лист1!$B:$B,Лист1!G:G,"ERR",0)</f>
        <v/>
      </c>
      <c r="G20" s="4" t="str">
        <f>_xlfn.XLOOKUP($A20,Лист1!$B:$B,Лист1!H:H,"ERR",0)</f>
        <v/>
      </c>
    </row>
    <row r="21" spans="1:7" x14ac:dyDescent="0.25">
      <c r="A21" s="4" t="str">
        <v>77511711</v>
      </c>
      <c r="B21" s="4">
        <f>_xlfn.XLOOKUP($A21,Лист1!$B:$B,Лист1!C:C,"ERR",0)</f>
        <v>110</v>
      </c>
      <c r="C21" s="4" t="str">
        <f>_xlfn.XLOOKUP($A21,Лист1!$B:$B,Лист1!D:D,"ERR",0)</f>
        <v/>
      </c>
      <c r="D21" s="4" t="str">
        <f>_xlfn.XLOOKUP($A21,Лист1!$B:$B,Лист1!E:E,"ERR",0)</f>
        <v/>
      </c>
      <c r="E21" s="4" t="str">
        <f>_xlfn.XLOOKUP($A21,Лист1!$B:$B,Лист1!F:F,"ERR",0)</f>
        <v/>
      </c>
      <c r="F21" s="4" t="str">
        <f>_xlfn.XLOOKUP($A21,Лист1!$B:$B,Лист1!G:G,"ERR",0)</f>
        <v/>
      </c>
      <c r="G21" s="4" t="str">
        <f>_xlfn.XLOOKUP($A21,Лист1!$B:$B,Лист1!H:H,"ERR",0)</f>
        <v/>
      </c>
    </row>
    <row r="22" spans="1:7" x14ac:dyDescent="0.25">
      <c r="A22" s="4" t="str">
        <v>77511717</v>
      </c>
      <c r="B22" s="4">
        <f>_xlfn.XLOOKUP($A22,Лист1!$B:$B,Лист1!C:C,"ERR",0)</f>
        <v>50</v>
      </c>
      <c r="C22" s="4" t="str">
        <f>_xlfn.XLOOKUP($A22,Лист1!$B:$B,Лист1!D:D,"ERR",0)</f>
        <v/>
      </c>
      <c r="D22" s="4" t="str">
        <f>_xlfn.XLOOKUP($A22,Лист1!$B:$B,Лист1!E:E,"ERR",0)</f>
        <v/>
      </c>
      <c r="E22" s="4" t="str">
        <f>_xlfn.XLOOKUP($A22,Лист1!$B:$B,Лист1!F:F,"ERR",0)</f>
        <v/>
      </c>
      <c r="F22" s="4" t="str">
        <f>_xlfn.XLOOKUP($A22,Лист1!$B:$B,Лист1!G:G,"ERR",0)</f>
        <v/>
      </c>
      <c r="G22" s="4" t="str">
        <f>_xlfn.XLOOKUP($A22,Лист1!$B:$B,Лист1!H:H,"ERR",0)</f>
        <v/>
      </c>
    </row>
    <row r="23" spans="1:7" x14ac:dyDescent="0.25">
      <c r="A23" s="4" t="str">
        <v>77511718</v>
      </c>
      <c r="B23" s="4">
        <f>_xlfn.XLOOKUP($A23,Лист1!$B:$B,Лист1!C:C,"ERR",0)</f>
        <v>65</v>
      </c>
      <c r="C23" s="4" t="str">
        <f>_xlfn.XLOOKUP($A23,Лист1!$B:$B,Лист1!D:D,"ERR",0)</f>
        <v/>
      </c>
      <c r="D23" s="4" t="str">
        <f>_xlfn.XLOOKUP($A23,Лист1!$B:$B,Лист1!E:E,"ERR",0)</f>
        <v/>
      </c>
      <c r="E23" s="4" t="str">
        <f>_xlfn.XLOOKUP($A23,Лист1!$B:$B,Лист1!F:F,"ERR",0)</f>
        <v/>
      </c>
      <c r="F23" s="4" t="str">
        <f>_xlfn.XLOOKUP($A23,Лист1!$B:$B,Лист1!G:G,"ERR",0)</f>
        <v/>
      </c>
      <c r="G23" s="4" t="str">
        <f>_xlfn.XLOOKUP($A23,Лист1!$B:$B,Лист1!H:H,"ERR",0)</f>
        <v/>
      </c>
    </row>
    <row r="24" spans="1:7" x14ac:dyDescent="0.25">
      <c r="A24" s="4" t="str">
        <v>775117665</v>
      </c>
      <c r="B24" s="4">
        <f>_xlfn.XLOOKUP($A24,Лист1!$B:$B,Лист1!C:C,"ERR",0)</f>
        <v>20</v>
      </c>
      <c r="C24" s="4" t="str">
        <f>_xlfn.XLOOKUP($A24,Лист1!$B:$B,Лист1!D:D,"ERR",0)</f>
        <v/>
      </c>
      <c r="D24" s="4" t="str">
        <f>_xlfn.XLOOKUP($A24,Лист1!$B:$B,Лист1!E:E,"ERR",0)</f>
        <v/>
      </c>
      <c r="E24" s="4" t="str">
        <f>_xlfn.XLOOKUP($A24,Лист1!$B:$B,Лист1!F:F,"ERR",0)</f>
        <v/>
      </c>
      <c r="F24" s="4" t="str">
        <f>_xlfn.XLOOKUP($A24,Лист1!$B:$B,Лист1!G:G,"ERR",0)</f>
        <v/>
      </c>
      <c r="G24" s="4" t="str">
        <f>_xlfn.XLOOKUP($A24,Лист1!$B:$B,Лист1!H:H,"ERR",0)</f>
        <v/>
      </c>
    </row>
    <row r="25" spans="1:7" x14ac:dyDescent="0.25">
      <c r="A25" s="4" t="str">
        <v>21385047</v>
      </c>
      <c r="B25" s="4" t="str">
        <f>_xlfn.XLOOKUP($A25,Лист1!$B:$B,Лист1!C:C,"ERR",0)</f>
        <v/>
      </c>
      <c r="C25" s="4">
        <f>_xlfn.XLOOKUP($A25,Лист1!$B:$B,Лист1!D:D,"ERR",0)</f>
        <v>1</v>
      </c>
      <c r="D25" s="4" t="str">
        <f>_xlfn.XLOOKUP($A25,Лист1!$B:$B,Лист1!E:E,"ERR",0)</f>
        <v>3</v>
      </c>
      <c r="E25" s="4" t="str">
        <f>_xlfn.XLOOKUP($A25,Лист1!$B:$B,Лист1!F:F,"ERR",0)</f>
        <v>4</v>
      </c>
      <c r="F25" s="4" t="str">
        <f>_xlfn.XLOOKUP($A25,Лист1!$B:$B,Лист1!G:G,"ERR",0)</f>
        <v>1</v>
      </c>
      <c r="G25" s="4" t="str">
        <f>_xlfn.XLOOKUP($A25,Лист1!$B:$B,Лист1!H:H,"ERR",0)</f>
        <v/>
      </c>
    </row>
    <row r="26" spans="1:7" x14ac:dyDescent="0.25">
      <c r="A26" s="4" t="str">
        <v>775117884</v>
      </c>
      <c r="B26" s="4">
        <f>_xlfn.XLOOKUP($A26,Лист1!$B:$B,Лист1!C:C,"ERR",0)</f>
        <v>55</v>
      </c>
      <c r="C26" s="4" t="str">
        <f>_xlfn.XLOOKUP($A26,Лист1!$B:$B,Лист1!D:D,"ERR",0)</f>
        <v/>
      </c>
      <c r="D26" s="4" t="str">
        <f>_xlfn.XLOOKUP($A26,Лист1!$B:$B,Лист1!E:E,"ERR",0)</f>
        <v/>
      </c>
      <c r="E26" s="4" t="str">
        <f>_xlfn.XLOOKUP($A26,Лист1!$B:$B,Лист1!F:F,"ERR",0)</f>
        <v/>
      </c>
      <c r="F26" s="4" t="str">
        <f>_xlfn.XLOOKUP($A26,Лист1!$B:$B,Лист1!G:G,"ERR",0)</f>
        <v/>
      </c>
      <c r="G26" s="4" t="str">
        <f>_xlfn.XLOOKUP($A26,Лист1!$B:$B,Лист1!H:H,"ERR",0)</f>
        <v/>
      </c>
    </row>
    <row r="27" spans="1:7" x14ac:dyDescent="0.25">
      <c r="A27" s="4" t="str">
        <v>775118522</v>
      </c>
      <c r="B27" s="4">
        <f>_xlfn.XLOOKUP($A27,Лист1!$B:$B,Лист1!C:C,"ERR",0)</f>
        <v>90</v>
      </c>
      <c r="C27" s="4" t="str">
        <f>_xlfn.XLOOKUP($A27,Лист1!$B:$B,Лист1!D:D,"ERR",0)</f>
        <v/>
      </c>
      <c r="D27" s="4" t="str">
        <f>_xlfn.XLOOKUP($A27,Лист1!$B:$B,Лист1!E:E,"ERR",0)</f>
        <v/>
      </c>
      <c r="E27" s="4" t="str">
        <f>_xlfn.XLOOKUP($A27,Лист1!$B:$B,Лист1!F:F,"ERR",0)</f>
        <v/>
      </c>
      <c r="F27" s="4" t="str">
        <f>_xlfn.XLOOKUP($A27,Лист1!$B:$B,Лист1!G:G,"ERR",0)</f>
        <v/>
      </c>
      <c r="G27" s="4" t="str">
        <f>_xlfn.XLOOKUP($A27,Лист1!$B:$B,Лист1!H:H,"ERR",0)</f>
        <v/>
      </c>
    </row>
    <row r="28" spans="1:7" x14ac:dyDescent="0.25">
      <c r="A28" s="4" t="str">
        <v>775118667</v>
      </c>
      <c r="B28" s="4">
        <f>_xlfn.XLOOKUP($A28,Лист1!$B:$B,Лист1!C:C,"ERR",0)</f>
        <v>130</v>
      </c>
      <c r="C28" s="4" t="str">
        <f>_xlfn.XLOOKUP($A28,Лист1!$B:$B,Лист1!D:D,"ERR",0)</f>
        <v/>
      </c>
      <c r="D28" s="4" t="str">
        <f>_xlfn.XLOOKUP($A28,Лист1!$B:$B,Лист1!E:E,"ERR",0)</f>
        <v/>
      </c>
      <c r="E28" s="4" t="str">
        <f>_xlfn.XLOOKUP($A28,Лист1!$B:$B,Лист1!F:F,"ERR",0)</f>
        <v/>
      </c>
      <c r="F28" s="4" t="str">
        <f>_xlfn.XLOOKUP($A28,Лист1!$B:$B,Лист1!G:G,"ERR",0)</f>
        <v/>
      </c>
      <c r="G28" s="4" t="str">
        <f>_xlfn.XLOOKUP($A28,Лист1!$B:$B,Лист1!H:H,"ERR",0)</f>
        <v/>
      </c>
    </row>
    <row r="29" spans="1:7" x14ac:dyDescent="0.25">
      <c r="A29" s="4" t="str">
        <v>775118989</v>
      </c>
      <c r="B29" s="4">
        <f>_xlfn.XLOOKUP($A29,Лист1!$B:$B,Лист1!C:C,"ERR",0)</f>
        <v>130</v>
      </c>
      <c r="C29" s="4" t="str">
        <f>_xlfn.XLOOKUP($A29,Лист1!$B:$B,Лист1!D:D,"ERR",0)</f>
        <v/>
      </c>
      <c r="D29" s="4" t="str">
        <f>_xlfn.XLOOKUP($A29,Лист1!$B:$B,Лист1!E:E,"ERR",0)</f>
        <v/>
      </c>
      <c r="E29" s="4" t="str">
        <f>_xlfn.XLOOKUP($A29,Лист1!$B:$B,Лист1!F:F,"ERR",0)</f>
        <v/>
      </c>
      <c r="F29" s="4" t="str">
        <f>_xlfn.XLOOKUP($A29,Лист1!$B:$B,Лист1!G:G,"ERR",0)</f>
        <v/>
      </c>
      <c r="G29" s="4" t="str">
        <f>_xlfn.XLOOKUP($A29,Лист1!$B:$B,Лист1!H:H,"ERR",0)</f>
        <v/>
      </c>
    </row>
    <row r="30" spans="1:7" x14ac:dyDescent="0.25">
      <c r="A30" s="4" t="str">
        <v>775610568</v>
      </c>
      <c r="B30" s="4">
        <f>_xlfn.XLOOKUP($A30,Лист1!$B:$B,Лист1!C:C,"ERR",0)</f>
        <v>25</v>
      </c>
      <c r="C30" s="4" t="str">
        <f>_xlfn.XLOOKUP($A30,Лист1!$B:$B,Лист1!D:D,"ERR",0)</f>
        <v/>
      </c>
      <c r="D30" s="4" t="str">
        <f>_xlfn.XLOOKUP($A30,Лист1!$B:$B,Лист1!E:E,"ERR",0)</f>
        <v/>
      </c>
      <c r="E30" s="4" t="str">
        <f>_xlfn.XLOOKUP($A30,Лист1!$B:$B,Лист1!F:F,"ERR",0)</f>
        <v/>
      </c>
      <c r="F30" s="4" t="str">
        <f>_xlfn.XLOOKUP($A30,Лист1!$B:$B,Лист1!G:G,"ERR",0)</f>
        <v/>
      </c>
      <c r="G30" s="4" t="str">
        <f>_xlfn.XLOOKUP($A30,Лист1!$B:$B,Лист1!H:H,"ERR",0)</f>
        <v/>
      </c>
    </row>
    <row r="31" spans="1:7" x14ac:dyDescent="0.25">
      <c r="A31" s="4" t="str">
        <v>77211103</v>
      </c>
      <c r="B31" s="4">
        <f>_xlfn.XLOOKUP($A31,Лист1!$B:$B,Лист1!C:C,"ERR",0)</f>
        <v>10</v>
      </c>
      <c r="C31" s="4" t="str">
        <f>_xlfn.XLOOKUP($A31,Лист1!$B:$B,Лист1!D:D,"ERR",0)</f>
        <v/>
      </c>
      <c r="D31" s="4" t="str">
        <f>_xlfn.XLOOKUP($A31,Лист1!$B:$B,Лист1!E:E,"ERR",0)</f>
        <v/>
      </c>
      <c r="E31" s="4" t="str">
        <f>_xlfn.XLOOKUP($A31,Лист1!$B:$B,Лист1!F:F,"ERR",0)</f>
        <v/>
      </c>
      <c r="F31" s="4" t="str">
        <f>_xlfn.XLOOKUP($A31,Лист1!$B:$B,Лист1!G:G,"ERR",0)</f>
        <v/>
      </c>
      <c r="G31" s="4" t="str">
        <f>_xlfn.XLOOKUP($A31,Лист1!$B:$B,Лист1!H:H,"ERR",0)</f>
        <v/>
      </c>
    </row>
    <row r="32" spans="1:7" x14ac:dyDescent="0.25">
      <c r="A32" s="4" t="str">
        <v>66111052</v>
      </c>
      <c r="B32" s="4" t="str">
        <f>_xlfn.XLOOKUP($A32,Лист1!$B:$B,Лист1!C:C,"ERR",0)</f>
        <v/>
      </c>
      <c r="C32" s="4" t="str">
        <f>_xlfn.XLOOKUP($A32,Лист1!$B:$B,Лист1!D:D,"ERR",0)</f>
        <v/>
      </c>
      <c r="D32" s="4" t="str">
        <f>_xlfn.XLOOKUP($A32,Лист1!$B:$B,Лист1!E:E,"ERR",0)</f>
        <v/>
      </c>
      <c r="E32" s="4" t="str">
        <f>_xlfn.XLOOKUP($A32,Лист1!$B:$B,Лист1!F:F,"ERR",0)</f>
        <v/>
      </c>
      <c r="F32" s="4" t="str">
        <f>_xlfn.XLOOKUP($A32,Лист1!$B:$B,Лист1!G:G,"ERR",0)</f>
        <v>1</v>
      </c>
      <c r="G32" s="4" t="str">
        <f>_xlfn.XLOOKUP($A32,Лист1!$B:$B,Лист1!H:H,"ERR",0)</f>
        <v/>
      </c>
    </row>
    <row r="33" spans="1:7" x14ac:dyDescent="0.25">
      <c r="A33" s="4" t="str">
        <v>661110523</v>
      </c>
      <c r="B33" s="4" t="str">
        <f>_xlfn.XLOOKUP($A33,Лист1!$B:$B,Лист1!C:C,"ERR",0)</f>
        <v/>
      </c>
      <c r="C33" s="4" t="str">
        <f>_xlfn.XLOOKUP($A33,Лист1!$B:$B,Лист1!D:D,"ERR",0)</f>
        <v/>
      </c>
      <c r="D33" s="4" t="str">
        <f>_xlfn.XLOOKUP($A33,Лист1!$B:$B,Лист1!E:E,"ERR",0)</f>
        <v>2</v>
      </c>
      <c r="E33" s="4" t="str">
        <f>_xlfn.XLOOKUP($A33,Лист1!$B:$B,Лист1!F:F,"ERR",0)</f>
        <v/>
      </c>
      <c r="F33" s="4" t="str">
        <f>_xlfn.XLOOKUP($A33,Лист1!$B:$B,Лист1!G:G,"ERR",0)</f>
        <v/>
      </c>
      <c r="G33" s="4" t="str">
        <f>_xlfn.XLOOKUP($A33,Лист1!$B:$B,Лист1!H:H,"ERR",0)</f>
        <v/>
      </c>
    </row>
    <row r="34" spans="1:7" x14ac:dyDescent="0.25">
      <c r="A34" s="4" t="str">
        <v>212850371</v>
      </c>
      <c r="B34" s="4" t="str">
        <f>_xlfn.XLOOKUP($A34,Лист1!$B:$B,Лист1!C:C,"ERR",0)</f>
        <v/>
      </c>
      <c r="C34" s="4" t="str">
        <f>_xlfn.XLOOKUP($A34,Лист1!$B:$B,Лист1!D:D,"ERR",0)</f>
        <v/>
      </c>
      <c r="D34" s="4" t="str">
        <f>_xlfn.XLOOKUP($A34,Лист1!$B:$B,Лист1!E:E,"ERR",0)</f>
        <v>1</v>
      </c>
      <c r="E34" s="4" t="str">
        <f>_xlfn.XLOOKUP($A34,Лист1!$B:$B,Лист1!F:F,"ERR",0)</f>
        <v>4</v>
      </c>
      <c r="F34" s="4" t="str">
        <f>_xlfn.XLOOKUP($A34,Лист1!$B:$B,Лист1!G:G,"ERR",0)</f>
        <v>3</v>
      </c>
      <c r="G34" s="4" t="str">
        <f>_xlfn.XLOOKUP($A34,Лист1!$B:$B,Лист1!H:H,"ERR",0)</f>
        <v/>
      </c>
    </row>
    <row r="35" spans="1:7" x14ac:dyDescent="0.25">
      <c r="A35" s="4" t="str">
        <v>123855177</v>
      </c>
      <c r="B35" s="4" t="str">
        <f>_xlfn.XLOOKUP($A35,Лист1!$B:$B,Лист1!C:C,"ERR",0)</f>
        <v/>
      </c>
      <c r="C35" s="4" t="str">
        <f>_xlfn.XLOOKUP($A35,Лист1!$B:$B,Лист1!D:D,"ERR",0)</f>
        <v/>
      </c>
      <c r="D35" s="4" t="str">
        <f>_xlfn.XLOOKUP($A35,Лист1!$B:$B,Лист1!E:E,"ERR",0)</f>
        <v>2</v>
      </c>
      <c r="E35" s="4" t="str">
        <f>_xlfn.XLOOKUP($A35,Лист1!$B:$B,Лист1!F:F,"ERR",0)</f>
        <v/>
      </c>
      <c r="F35" s="4" t="str">
        <f>_xlfn.XLOOKUP($A35,Лист1!$B:$B,Лист1!G:G,"ERR",0)</f>
        <v/>
      </c>
      <c r="G35" s="4" t="str">
        <f>_xlfn.XLOOKUP($A35,Лист1!$B:$B,Лист1!H:H,"ERR",0)</f>
        <v/>
      </c>
    </row>
    <row r="36" spans="1:7" x14ac:dyDescent="0.25">
      <c r="A36" s="4" t="str">
        <v>169850977</v>
      </c>
      <c r="B36" s="4" t="str">
        <f>_xlfn.XLOOKUP($A36,Лист1!$B:$B,Лист1!C:C,"ERR",0)</f>
        <v/>
      </c>
      <c r="C36" s="4">
        <f>_xlfn.XLOOKUP($A36,Лист1!$B:$B,Лист1!D:D,"ERR",0)</f>
        <v>2</v>
      </c>
      <c r="D36" s="4" t="str">
        <f>_xlfn.XLOOKUP($A36,Лист1!$B:$B,Лист1!E:E,"ERR",0)</f>
        <v>5</v>
      </c>
      <c r="E36" s="4" t="str">
        <f>_xlfn.XLOOKUP($A36,Лист1!$B:$B,Лист1!F:F,"ERR",0)</f>
        <v>7</v>
      </c>
      <c r="F36" s="4" t="str">
        <f>_xlfn.XLOOKUP($A36,Лист1!$B:$B,Лист1!G:G,"ERR",0)</f>
        <v>5</v>
      </c>
      <c r="G36" s="4" t="str">
        <f>_xlfn.XLOOKUP($A36,Лист1!$B:$B,Лист1!H:H,"ERR",0)</f>
        <v>2</v>
      </c>
    </row>
    <row r="37" spans="1:7" x14ac:dyDescent="0.25">
      <c r="A37" s="4" t="str">
        <v>169850967</v>
      </c>
      <c r="B37" s="4" t="str">
        <f>_xlfn.XLOOKUP($A37,Лист1!$B:$B,Лист1!C:C,"ERR",0)</f>
        <v/>
      </c>
      <c r="C37" s="4">
        <f>_xlfn.XLOOKUP($A37,Лист1!$B:$B,Лист1!D:D,"ERR",0)</f>
        <v>2</v>
      </c>
      <c r="D37" s="4" t="str">
        <f>_xlfn.XLOOKUP($A37,Лист1!$B:$B,Лист1!E:E,"ERR",0)</f>
        <v>5</v>
      </c>
      <c r="E37" s="4" t="str">
        <f>_xlfn.XLOOKUP($A37,Лист1!$B:$B,Лист1!F:F,"ERR",0)</f>
        <v>7</v>
      </c>
      <c r="F37" s="4" t="str">
        <f>_xlfn.XLOOKUP($A37,Лист1!$B:$B,Лист1!G:G,"ERR",0)</f>
        <v>5</v>
      </c>
      <c r="G37" s="4" t="str">
        <f>_xlfn.XLOOKUP($A37,Лист1!$B:$B,Лист1!H:H,"ERR",0)</f>
        <v>2</v>
      </c>
    </row>
    <row r="38" spans="1:7" x14ac:dyDescent="0.25">
      <c r="A38" s="4" t="str">
        <v>293851067</v>
      </c>
      <c r="B38" s="4" t="str">
        <f>_xlfn.XLOOKUP($A38,Лист1!$B:$B,Лист1!C:C,"ERR",0)</f>
        <v/>
      </c>
      <c r="C38" s="4">
        <f>_xlfn.XLOOKUP($A38,Лист1!$B:$B,Лист1!D:D,"ERR",0)</f>
        <v>1</v>
      </c>
      <c r="D38" s="4" t="str">
        <f>_xlfn.XLOOKUP($A38,Лист1!$B:$B,Лист1!E:E,"ERR",0)</f>
        <v>4</v>
      </c>
      <c r="E38" s="4" t="str">
        <f>_xlfn.XLOOKUP($A38,Лист1!$B:$B,Лист1!F:F,"ERR",0)</f>
        <v>6</v>
      </c>
      <c r="F38" s="4" t="str">
        <f>_xlfn.XLOOKUP($A38,Лист1!$B:$B,Лист1!G:G,"ERR",0)</f>
        <v>4</v>
      </c>
      <c r="G38" s="4" t="str">
        <f>_xlfn.XLOOKUP($A38,Лист1!$B:$B,Лист1!H:H,"ERR",0)</f>
        <v>1</v>
      </c>
    </row>
    <row r="39" spans="1:7" x14ac:dyDescent="0.25">
      <c r="A39" s="4" t="str">
        <v>29285017</v>
      </c>
      <c r="B39" s="4">
        <f>_xlfn.XLOOKUP($A39,Лист1!$B:$B,Лист1!C:C,"ERR",0)</f>
        <v>6</v>
      </c>
      <c r="C39" s="4" t="str">
        <f>_xlfn.XLOOKUP($A39,Лист1!$B:$B,Лист1!D:D,"ERR",0)</f>
        <v/>
      </c>
      <c r="D39" s="4" t="str">
        <f>_xlfn.XLOOKUP($A39,Лист1!$B:$B,Лист1!E:E,"ERR",0)</f>
        <v/>
      </c>
      <c r="E39" s="4" t="str">
        <f>_xlfn.XLOOKUP($A39,Лист1!$B:$B,Лист1!F:F,"ERR",0)</f>
        <v/>
      </c>
      <c r="F39" s="4" t="str">
        <f>_xlfn.XLOOKUP($A39,Лист1!$B:$B,Лист1!G:G,"ERR",0)</f>
        <v/>
      </c>
      <c r="G39" s="4" t="str">
        <f>_xlfn.XLOOKUP($A39,Лист1!$B:$B,Лист1!H:H,"ERR",0)</f>
        <v/>
      </c>
    </row>
  </sheetData>
  <conditionalFormatting sqref="A1:G1048576">
    <cfRule type="expression" dxfId="1" priority="1">
      <formula>IF($A1&lt;&gt;"",TRUE,FALSE)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2022-02-11T15:33:37Z</dcterms:modified>
</cp:coreProperties>
</file>