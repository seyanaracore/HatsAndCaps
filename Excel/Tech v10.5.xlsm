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901BA51-C02E-46DE-85C9-8F1F247F600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D37" i="4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<sst xmlns="http://schemas.openxmlformats.org/spreadsheetml/2006/main" count="2420" uniqueCount="887">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</sst>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H5" sqref="H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30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30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3" ca="1" si="2">IF(AU2&lt;&gt;"",VLOOKUP(AU2,INDIRECT(SUBSTITUTE($J2," ","")&amp;"Manufactures"),3,0),"Требуется код страны")</f>
        <v>Требуется код страны</v>
      </c>
      <c r="AW2" s="56" t="str">
        <f t="shared" ref="AW2:AW3" ca="1" si="3">IF(AU2&lt;&gt;"",VLOOKUP(AU2,INDIRECT(SUBSTITUTE($J2," ","")&amp;"Manufactures"),2,0),"Требуется код страны")</f>
        <v>Требуется код страны</v>
      </c>
      <c r="AX2" s="141">
        <f t="shared" ref="AX2:AX30" si="4">0.05+0.05</f>
        <v>0.1</v>
      </c>
      <c r="AY2" s="56">
        <f t="shared" ref="AY2:AY30" si="5">IF(AX2&lt;&gt;"",AX2*1.5,"Требуется нетто")</f>
        <v>0.15000000000000002</v>
      </c>
      <c r="AZ2" s="56" t="str">
        <f t="shared" ref="AZ2:AZ30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30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30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30" si="9">IFERROR(IF(BE2,"-",IFERROR(IF(BD2&gt;0,0,1),"")),"")</f>
        <v/>
      </c>
      <c r="BG2" s="88"/>
    </row>
    <row r="3" spans="1:59" ht="98.1" customHeight="1">
      <c r="C3" s="145"/>
      <c r="G3" s="56"/>
      <c r="I3" s="134"/>
      <c r="J3" s="64"/>
      <c r="K3" s="99"/>
      <c r="L3" s="150"/>
      <c r="M3" s="62"/>
      <c r="N3" s="62"/>
      <c r="O3" s="62"/>
      <c r="P3" s="62"/>
      <c r="Q3" s="132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/>
      <c r="AU3" s="65"/>
      <c r="AV3" s="56"/>
      <c r="BE3" s="102"/>
      <c r="BF3" s="72"/>
    </row>
    <row r="4" spans="1:59" ht="98.1" customHeight="1">
      <c r="C4" s="145"/>
      <c r="G4" s="56"/>
      <c r="J4" s="64"/>
      <c r="K4" s="98"/>
      <c r="M4" s="62"/>
      <c r="N4" s="62"/>
      <c r="O4" s="62"/>
      <c r="P4" s="62"/>
      <c r="Q4" s="132"/>
      <c r="R4" s="64"/>
      <c r="S4" s="62"/>
      <c r="T4" s="58"/>
      <c r="U4" s="58"/>
      <c r="V4" s="58"/>
      <c r="Y4" s="58"/>
      <c r="AA4" s="58"/>
      <c r="AC4" s="58"/>
      <c r="AE4" s="58"/>
      <c r="AG4" s="58"/>
      <c r="AT4" s="57"/>
      <c r="AU4" s="65"/>
      <c r="AV4" s="56"/>
      <c r="BE4" s="102"/>
      <c r="BF4" s="72"/>
    </row>
    <row r="5" spans="1:59" ht="98.1" customHeight="1">
      <c r="C5" s="145"/>
      <c r="G5" s="56"/>
      <c r="J5" s="64"/>
      <c r="K5" s="98"/>
      <c r="M5" s="62"/>
      <c r="N5" s="62"/>
      <c r="O5" s="62"/>
      <c r="P5" s="62"/>
      <c r="Q5" s="132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/>
      <c r="AU5" s="65"/>
      <c r="AV5" s="56"/>
      <c r="BE5" s="102"/>
      <c r="BF5" s="72"/>
    </row>
    <row r="6" spans="1:59" ht="98.1" customHeight="1">
      <c r="C6" s="146"/>
      <c r="G6" s="56"/>
      <c r="J6" s="64"/>
      <c r="K6" s="100"/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/>
      <c r="AU6" s="65"/>
      <c r="AV6" s="56"/>
      <c r="BE6" s="102"/>
      <c r="BF6" s="72"/>
    </row>
    <row r="7" spans="1:59" ht="98.1" customHeight="1">
      <c r="C7" s="146"/>
      <c r="G7" s="56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1" t="s">
        <v>572</v>
      </c>
      <c r="C9" s="162"/>
      <c r="D9" s="163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V1" workbookViewId="0">
      <pane ySplit="1" topLeftCell="A56" activePane="bottomLeft" state="frozen"/>
      <selection pane="bottomLeft" activeCell="AG60" sqref="AG60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0</v>
      </c>
      <c r="AD1" s="75"/>
      <c r="AE1" s="75" t="str">
        <f>RIGHT(TEXT(MAX(AE2:AE10000),"###"),3)</f>
        <v/>
      </c>
      <c r="AF1" s="76" t="str">
        <f>RIGHT("000"&amp;AC1,2)&amp;"-"&amp;RIGHT("000"&amp;AE1,3)</f>
        <v>00-000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8" t="s">
        <v>582</v>
      </c>
      <c r="AJ1" s="142" t="s">
        <v>885</v>
      </c>
      <c r="AK1" s="78" t="s">
        <v>852</v>
      </c>
      <c r="AL1" s="143">
        <v>0</v>
      </c>
    </row>
    <row r="2" spans="1:38">
      <c r="A2" s="81" t="str">
        <f>IF(G2&amp;Q2&lt;&gt;"",W2&amp;Q2,"")</f>
        <v/>
      </c>
      <c r="B2" s="81" t="str">
        <f>IF(C2&lt;&gt;"",LEFT(C2,9),"")</f>
        <v/>
      </c>
      <c r="G2" s="104"/>
      <c r="V2" s="81" t="str">
        <f>W2&amp;H2</f>
        <v/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1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1" t="str">
        <f t="shared" ref="A3:A66" si="2">IF(G3&amp;Q3&lt;&gt;"",W3&amp;Q3,"")</f>
        <v/>
      </c>
      <c r="B3" s="81" t="str">
        <f t="shared" ref="B3:B66" si="3">IF(C3&lt;&gt;"",LEFT(C3,9),"")</f>
        <v/>
      </c>
      <c r="G3" s="104"/>
      <c r="V3" s="81" t="str">
        <f t="shared" ref="V3:V66" si="4">W3&amp;H3</f>
        <v/>
      </c>
      <c r="W3" s="81" t="str">
        <f t="shared" si="0"/>
        <v/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1" t="str">
        <f t="shared" si="2"/>
        <v/>
      </c>
      <c r="B4" s="81" t="str">
        <f t="shared" si="3"/>
        <v/>
      </c>
      <c r="G4" s="104"/>
      <c r="V4" s="81" t="str">
        <f t="shared" si="4"/>
        <v/>
      </c>
      <c r="W4" s="81" t="str">
        <f t="shared" si="0"/>
        <v/>
      </c>
      <c r="X4" s="81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1" t="str">
        <f t="shared" si="2"/>
        <v/>
      </c>
      <c r="B5" s="81" t="str">
        <f t="shared" si="3"/>
        <v/>
      </c>
      <c r="G5" s="104"/>
      <c r="V5" s="81" t="str">
        <f t="shared" si="4"/>
        <v/>
      </c>
      <c r="W5" s="81" t="str">
        <f t="shared" si="0"/>
        <v/>
      </c>
      <c r="X5" s="81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1" t="str">
        <f t="shared" si="2"/>
        <v/>
      </c>
      <c r="B6" s="81" t="str">
        <f t="shared" si="3"/>
        <v/>
      </c>
      <c r="G6" s="104"/>
      <c r="V6" s="81" t="str">
        <f t="shared" si="4"/>
        <v/>
      </c>
      <c r="W6" s="81" t="str">
        <f t="shared" si="0"/>
        <v/>
      </c>
      <c r="X6" s="81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1" t="str">
        <f t="shared" si="2"/>
        <v/>
      </c>
      <c r="B7" s="81" t="str">
        <f t="shared" si="3"/>
        <v/>
      </c>
      <c r="G7" s="104"/>
      <c r="V7" s="81" t="str">
        <f t="shared" si="4"/>
        <v/>
      </c>
      <c r="W7" s="81" t="str">
        <f t="shared" si="0"/>
        <v/>
      </c>
      <c r="X7" s="81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1" t="str">
        <f t="shared" si="2"/>
        <v/>
      </c>
      <c r="B8" s="81" t="str">
        <f t="shared" si="3"/>
        <v/>
      </c>
      <c r="G8" s="104"/>
      <c r="V8" s="81" t="str">
        <f t="shared" si="4"/>
        <v/>
      </c>
      <c r="W8" s="81" t="str">
        <f t="shared" si="0"/>
        <v/>
      </c>
      <c r="X8" s="81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1" t="str">
        <f t="shared" si="2"/>
        <v/>
      </c>
      <c r="B9" s="81" t="str">
        <f t="shared" si="3"/>
        <v/>
      </c>
      <c r="G9" s="104"/>
      <c r="V9" s="81" t="str">
        <f t="shared" si="4"/>
        <v/>
      </c>
      <c r="W9" s="81" t="str">
        <f t="shared" si="0"/>
        <v/>
      </c>
      <c r="X9" s="81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1" t="str">
        <f t="shared" si="2"/>
        <v/>
      </c>
      <c r="B10" s="81" t="str">
        <f t="shared" si="3"/>
        <v/>
      </c>
      <c r="G10" s="104"/>
      <c r="V10" s="81" t="str">
        <f t="shared" si="4"/>
        <v/>
      </c>
      <c r="W10" s="81" t="str">
        <f t="shared" si="0"/>
        <v/>
      </c>
      <c r="X10" s="81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1" t="str">
        <f t="shared" si="2"/>
        <v/>
      </c>
      <c r="B11" s="81" t="str">
        <f t="shared" si="3"/>
        <v/>
      </c>
      <c r="G11" s="104"/>
      <c r="V11" s="81" t="str">
        <f t="shared" si="4"/>
        <v/>
      </c>
      <c r="W11" s="81" t="str">
        <f t="shared" si="0"/>
        <v/>
      </c>
      <c r="X11" s="81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1" t="str">
        <f t="shared" si="2"/>
        <v/>
      </c>
      <c r="B12" s="81" t="str">
        <f t="shared" si="3"/>
        <v/>
      </c>
      <c r="G12" s="104"/>
      <c r="V12" s="81" t="str">
        <f t="shared" si="4"/>
        <v/>
      </c>
      <c r="W12" s="81" t="str">
        <f t="shared" si="0"/>
        <v/>
      </c>
      <c r="X12" s="81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1" t="str">
        <f t="shared" si="2"/>
        <v/>
      </c>
      <c r="B13" s="81" t="str">
        <f t="shared" si="3"/>
        <v/>
      </c>
      <c r="G13" s="104"/>
      <c r="V13" s="81" t="str">
        <f t="shared" si="4"/>
        <v/>
      </c>
      <c r="W13" s="81" t="str">
        <f t="shared" si="0"/>
        <v/>
      </c>
      <c r="X13" s="81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1" t="str">
        <f t="shared" si="2"/>
        <v/>
      </c>
      <c r="B14" s="81" t="str">
        <f t="shared" si="3"/>
        <v/>
      </c>
      <c r="G14" s="104"/>
      <c r="V14" s="81" t="str">
        <f t="shared" si="4"/>
        <v/>
      </c>
      <c r="W14" s="81" t="str">
        <f t="shared" si="0"/>
        <v/>
      </c>
      <c r="X14" s="81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73</vt:i4>
      </vt:variant>
    </vt:vector>
  </HeadingPairs>
  <TitlesOfParts>
    <vt:vector size="81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2022-03-25T14:08:43Z</dcterms:modified>
</cp:coreProperties>
</file>